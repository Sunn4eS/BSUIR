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55" activeTab="4"/>
  </bookViews>
  <sheets>
    <sheet name="Задание" sheetId="1" r:id="rId1"/>
    <sheet name="ОсновныеДанные" sheetId="2" r:id="rId2"/>
    <sheet name="СкладОстатки" sheetId="3" r:id="rId3"/>
    <sheet name="ЗаказыКлиентов" sheetId="4" r:id="rId4"/>
    <sheet name="Расчет_ППМ" sheetId="5" r:id="rId5"/>
  </sheets>
  <calcPr calcId="144525"/>
</workbook>
</file>

<file path=xl/sharedStrings.xml><?xml version="1.0" encoding="utf-8"?>
<sst xmlns="http://schemas.openxmlformats.org/spreadsheetml/2006/main" count="390" uniqueCount="150">
  <si>
    <t>Предприятие выпускает и реализует котлеты киевские, цыплята фаршированные,  пельмени.</t>
  </si>
  <si>
    <t xml:space="preserve">Производство организовано в  цехах: </t>
  </si>
  <si>
    <t>№1. В разделочном цехе выполняют операции по производству фарша</t>
  </si>
  <si>
    <t xml:space="preserve">№2. В цехе  мучных заготовок выполняют операции по производству теста и выпечки блинов </t>
  </si>
  <si>
    <t>№3. В цехе готовой продукции выполняют операции по производству готовой продукции</t>
  </si>
  <si>
    <t>Определить  потребность в материалах на период с учетом  данных, представленных на листах "Основные данные", "Остатки материалов", "Заказы клиентов"</t>
  </si>
  <si>
    <t>1.</t>
  </si>
  <si>
    <t>Спецификация "Фарш говяжий"</t>
  </si>
  <si>
    <t>1 кг</t>
  </si>
  <si>
    <t>Технологическая карта "Фарш говяжий"</t>
  </si>
  <si>
    <t>100 кг</t>
  </si>
  <si>
    <t>Материал</t>
  </si>
  <si>
    <t>норма</t>
  </si>
  <si>
    <t>ед.изм.</t>
  </si>
  <si>
    <t>операция</t>
  </si>
  <si>
    <t>цех</t>
  </si>
  <si>
    <t>трудоем., чел-час</t>
  </si>
  <si>
    <t>станкоемк., маш-ч</t>
  </si>
  <si>
    <t>оборудование</t>
  </si>
  <si>
    <t>материалы</t>
  </si>
  <si>
    <t>говядина</t>
  </si>
  <si>
    <t>кг</t>
  </si>
  <si>
    <t>разрезка мяса на куски</t>
  </si>
  <si>
    <t>№1</t>
  </si>
  <si>
    <t>оборудование 1</t>
  </si>
  <si>
    <t>по спецификации</t>
  </si>
  <si>
    <t>яйцо</t>
  </si>
  <si>
    <t>шт.</t>
  </si>
  <si>
    <t>приготовление фарша</t>
  </si>
  <si>
    <t>оборудование 2</t>
  </si>
  <si>
    <t>лук репчатый</t>
  </si>
  <si>
    <t>перец</t>
  </si>
  <si>
    <t>соль</t>
  </si>
  <si>
    <t>2.</t>
  </si>
  <si>
    <t>Спецификация "Фарш домашний"</t>
  </si>
  <si>
    <t>Технологическая карта "Фарш домашний"</t>
  </si>
  <si>
    <t>Свинина</t>
  </si>
  <si>
    <t>3.</t>
  </si>
  <si>
    <t>Спецификация "Фарш куриный"</t>
  </si>
  <si>
    <t>Технологическая карта "Фарш куриный"</t>
  </si>
  <si>
    <t>тушка цыпленка</t>
  </si>
  <si>
    <t>4.</t>
  </si>
  <si>
    <t>Спецификация "Тесто"</t>
  </si>
  <si>
    <t>Технологическая карта "Тесто"</t>
  </si>
  <si>
    <t>10 кг</t>
  </si>
  <si>
    <t>мука</t>
  </si>
  <si>
    <t>приготовление теста</t>
  </si>
  <si>
    <t>№2</t>
  </si>
  <si>
    <t>оборудование 3</t>
  </si>
  <si>
    <t>сахар</t>
  </si>
  <si>
    <t>разрыхлитель для теста</t>
  </si>
  <si>
    <t>5.</t>
  </si>
  <si>
    <t>Спецификация "Пельмени из говядины"</t>
  </si>
  <si>
    <t>Технологическая карта "Пельмени из говядины"</t>
  </si>
  <si>
    <t>10кг</t>
  </si>
  <si>
    <t>Фарш говяжий</t>
  </si>
  <si>
    <t>Лепка пельменей</t>
  </si>
  <si>
    <t>№3</t>
  </si>
  <si>
    <t>оборудование 4</t>
  </si>
  <si>
    <t>Фарш говяжий, тесто</t>
  </si>
  <si>
    <t xml:space="preserve">Тесто </t>
  </si>
  <si>
    <t>кг.</t>
  </si>
  <si>
    <t>Заморозка пельменей</t>
  </si>
  <si>
    <t>оборудование 5</t>
  </si>
  <si>
    <t>6.</t>
  </si>
  <si>
    <t>Спецификация "Пельмени домашние"</t>
  </si>
  <si>
    <t>Технологическая карта "Пельмени домашние"</t>
  </si>
  <si>
    <t>Фарш домашний</t>
  </si>
  <si>
    <t>Фарш домашний, тесто</t>
  </si>
  <si>
    <t>Тесто</t>
  </si>
  <si>
    <t>7.</t>
  </si>
  <si>
    <t>Спецификация "Котлета по киевски"</t>
  </si>
  <si>
    <t>Технологическая карта "Котлета по киевски"</t>
  </si>
  <si>
    <t>Фарш куриный</t>
  </si>
  <si>
    <t>Лепка котлеты</t>
  </si>
  <si>
    <t>Фарш куриный, масло сливочное, петрушка</t>
  </si>
  <si>
    <t>Масло сливочное</t>
  </si>
  <si>
    <t>обвалка котлеты</t>
  </si>
  <si>
    <t>сухари панировочные</t>
  </si>
  <si>
    <t>Сухари панировочные</t>
  </si>
  <si>
    <t>заморозка котлеты</t>
  </si>
  <si>
    <t>Петрушка</t>
  </si>
  <si>
    <t>8.</t>
  </si>
  <si>
    <t>Спецификация "Блины"</t>
  </si>
  <si>
    <t>Технологическая карта "Блины"</t>
  </si>
  <si>
    <t>выпечка блинов</t>
  </si>
  <si>
    <t>оборудование 6</t>
  </si>
  <si>
    <t>тесто, масло сливочное</t>
  </si>
  <si>
    <t>9.</t>
  </si>
  <si>
    <t>Спецификация "Цыпленок фаршированный"</t>
  </si>
  <si>
    <t>Технологическая карта "Цыпленок фаршированный"</t>
  </si>
  <si>
    <t>Тушка цыпленка</t>
  </si>
  <si>
    <t>фаршировка тушки цыпленка</t>
  </si>
  <si>
    <t>оборудование 7</t>
  </si>
  <si>
    <t>тушка цыпленка, блины, лук, петрушка</t>
  </si>
  <si>
    <t>Блины</t>
  </si>
  <si>
    <t>упаковка тушки цыпленка</t>
  </si>
  <si>
    <t>пленка пищевая</t>
  </si>
  <si>
    <t>Лук зеленый</t>
  </si>
  <si>
    <t>м кв</t>
  </si>
  <si>
    <t>Остатки на начало периода  готовой продукции</t>
  </si>
  <si>
    <t>Кол-во</t>
  </si>
  <si>
    <t>Котлеты киевские</t>
  </si>
  <si>
    <t>Цыплята фаршированные</t>
  </si>
  <si>
    <t>пельмени домашние</t>
  </si>
  <si>
    <t>Политика запасов готовой продукции</t>
  </si>
  <si>
    <t>На конец периода запас должен составлять % от потребности текущего периода</t>
  </si>
  <si>
    <t>Остатки на начало периода полуфабрикатов</t>
  </si>
  <si>
    <t>фарш говяжий</t>
  </si>
  <si>
    <t>фарш куриный</t>
  </si>
  <si>
    <t>Политика запасов полуфабрикатов</t>
  </si>
  <si>
    <t>Остатки на начало периода материалов</t>
  </si>
  <si>
    <t>свинина</t>
  </si>
  <si>
    <t>цыплята</t>
  </si>
  <si>
    <t>шт</t>
  </si>
  <si>
    <t>перец черный</t>
  </si>
  <si>
    <t>гр</t>
  </si>
  <si>
    <t>лук зеленый</t>
  </si>
  <si>
    <t>петрушка свежая</t>
  </si>
  <si>
    <t>Политика запасов материалов</t>
  </si>
  <si>
    <t>Заказы клиентов</t>
  </si>
  <si>
    <t>Котлеты по киевски</t>
  </si>
  <si>
    <t>Цыпленок фаршированный</t>
  </si>
  <si>
    <t>Таблица. Потребность в материалах на период</t>
  </si>
  <si>
    <t>Уровень</t>
  </si>
  <si>
    <t>Ед. изм.</t>
  </si>
  <si>
    <t>Остаток на начало</t>
  </si>
  <si>
    <t>Зависимая потребность</t>
  </si>
  <si>
    <t>Общая потребность</t>
  </si>
  <si>
    <t>% запаса</t>
  </si>
  <si>
    <t>Остаток на конец (норматив)</t>
  </si>
  <si>
    <t>Объем производства</t>
  </si>
  <si>
    <t>Объем закупки</t>
  </si>
  <si>
    <t>Остаток на конец</t>
  </si>
  <si>
    <t>Уровень 0. Готовая продукция (норматив запаса — «СкладОстатки»!C8 = 25%)</t>
  </si>
  <si>
    <t>Котлета по-киевски</t>
  </si>
  <si>
    <t>Пельмени домашние</t>
  </si>
  <si>
    <t>Уровень 1. Полуфабрикаты (норматив запаса — «СкладОстатки»!C16 = 20%)</t>
  </si>
  <si>
    <t>Уровень 2. Закупаемые материалы (норматив запаса — «СкладОстатки»!C32 = 15%)</t>
  </si>
  <si>
    <t>Говядина</t>
  </si>
  <si>
    <t>Яйцо</t>
  </si>
  <si>
    <t>Лук репчатый</t>
  </si>
  <si>
    <t>Перец черный</t>
  </si>
  <si>
    <t>Соль</t>
  </si>
  <si>
    <t>Мука</t>
  </si>
  <si>
    <t>Сахар</t>
  </si>
  <si>
    <t>Разрыхлитель для теста</t>
  </si>
  <si>
    <t>Пленка пищевая</t>
  </si>
  <si>
    <t>м.кв</t>
  </si>
  <si>
    <t xml:space="preserve">Примечания:
1) Расчёт выполнен методом планирования потребности в материалах (MRP) в обратном ходе технологического процесса: уровень 0 → 1 → 2.
2) Независимый спрос (графа «Заказы клиентов») берётся с листа «ЗаказыКлиентов». Зависимый спрос (графа «Зависимая потребность») рассчитывается как сумма произведений объёма производства позиции верхнего уровня на норму расхода из «ОсновныеДанные».
3) Общая потребность = Заказы клиентов + Зависимая потребность.
4) Остаток на конец (норматив) = % запаса × Общая потребность. Нормативы: готовая продукция 25% («СкладОстатки»!C8), полуфабрикаты 20% («СкладОстатки»!C16), материалы 15% («СкладОстатки»!C32).
5) Объём производства (уровни 0–1) / Объём закупки (уровень 2) = MAX(0; Общая потребность + Остаток на конец (норматив) − Остаток на начало).
6) Остаток на конец (факт.) = Остаток на начало + Объём производства + Объём закупки − Общая потребность.
7) Нормы и исходные данные не изменялись, расчёт выполнен только формулами и ссылками.
8) Спецификация «Пельмени из говядины» в расчёт не включена: заказов клиентов на неё нет и она не является компонентом другой продукции. Поэтому «Фарш говяжий» имеет нулевую потребность и не производится.
9) По «Пельмени домашние» и «Блины» заказов клиентов в варианте 3 нет — весь объём выпуска обусловлен зависимой потребностью.
10) В листе «СкладОстатки» позиция B13 «фарш говяжий» (70 кг) продублирована по названию с позицией B11; по смыслу (поз. B13) это остаток «Фарша домашнего», он и использован в строке 12.
11) Разрыхлитель для теста: остаток (100 гр) пересчитан в кг делением на 1000.
</t>
  </si>
</sst>
</file>

<file path=xl/styles.xml><?xml version="1.0" encoding="utf-8"?>
<styleSheet xmlns="http://schemas.openxmlformats.org/spreadsheetml/2006/main">
  <numFmts count="5">
    <numFmt numFmtId="176" formatCode="0.0%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</numFmts>
  <fonts count="26">
    <font>
      <sz val="11"/>
      <color theme="1"/>
      <name val="Calibri"/>
      <charset val="204"/>
      <scheme val="minor"/>
    </font>
    <font>
      <b/>
      <sz val="13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"/>
      <name val="Times New Roman"/>
      <charset val="134"/>
    </font>
    <font>
      <b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1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left" vertical="top" wrapText="1"/>
    </xf>
    <xf numFmtId="176" fontId="3" fillId="0" borderId="1" xfId="0" applyNumberFormat="1" applyFont="1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0" fontId="0" fillId="4" borderId="2" xfId="0" applyFill="1" applyBorder="1"/>
    <xf numFmtId="0" fontId="5" fillId="4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0" fillId="5" borderId="2" xfId="0" applyFill="1" applyBorder="1"/>
    <xf numFmtId="0" fontId="5" fillId="5" borderId="2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2" xfId="0" applyFill="1" applyBorder="1"/>
    <xf numFmtId="0" fontId="5" fillId="6" borderId="2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2" xfId="0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2"/>
  <sheetViews>
    <sheetView workbookViewId="0">
      <selection activeCell="B26" sqref="B26"/>
    </sheetView>
  </sheetViews>
  <sheetFormatPr defaultColWidth="9" defaultRowHeight="14.6" outlineLevelCol="1"/>
  <cols>
    <col min="1" max="1" width="3.14159292035398" customWidth="1"/>
    <col min="2" max="2" width="66.141592920354" customWidth="1"/>
  </cols>
  <sheetData>
    <row r="2" ht="30" customHeight="1" spans="1:2">
      <c r="A2" s="10"/>
      <c r="B2" s="29" t="s">
        <v>0</v>
      </c>
    </row>
    <row r="3" spans="1:2">
      <c r="A3" s="10"/>
      <c r="B3" s="29"/>
    </row>
    <row r="6" ht="14.65" spans="1:2">
      <c r="A6" s="10"/>
      <c r="B6" s="29" t="s">
        <v>1</v>
      </c>
    </row>
    <row r="7" ht="30" customHeight="1" spans="1:2">
      <c r="A7" s="10"/>
      <c r="B7" s="29" t="s">
        <v>2</v>
      </c>
    </row>
    <row r="8" ht="30" customHeight="1" spans="1:2">
      <c r="A8" s="10"/>
      <c r="B8" s="29" t="s">
        <v>3</v>
      </c>
    </row>
    <row r="9" ht="30" customHeight="1" spans="1:2">
      <c r="A9" s="10"/>
      <c r="B9" s="29" t="s">
        <v>4</v>
      </c>
    </row>
    <row r="12" ht="45" customHeight="1" spans="2:2">
      <c r="B12" s="24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opLeftCell="A9" workbookViewId="0">
      <selection activeCell="A58" sqref="A58"/>
    </sheetView>
  </sheetViews>
  <sheetFormatPr defaultColWidth="9" defaultRowHeight="14.6"/>
  <cols>
    <col min="1" max="1" width="4" customWidth="1"/>
    <col min="2" max="2" width="60.141592920354" style="16" customWidth="1"/>
    <col min="3" max="3" width="19.4247787610619" customWidth="1"/>
    <col min="6" max="6" width="41.283185840708" customWidth="1"/>
    <col min="7" max="7" width="11.141592920354" customWidth="1"/>
    <col min="8" max="8" width="18.5663716814159" customWidth="1"/>
    <col min="9" max="9" width="19.5663716814159" customWidth="1"/>
    <col min="10" max="10" width="18.283185840708" customWidth="1"/>
    <col min="11" max="11" width="23.283185840708" customWidth="1"/>
  </cols>
  <sheetData>
    <row r="1" ht="18.75" customHeight="1"/>
    <row r="2" ht="14.65" spans="1:8">
      <c r="A2" t="s">
        <v>6</v>
      </c>
      <c r="B2" s="27" t="s">
        <v>7</v>
      </c>
      <c r="C2" s="28" t="s">
        <v>8</v>
      </c>
      <c r="F2" s="27" t="s">
        <v>9</v>
      </c>
      <c r="G2" s="27"/>
      <c r="H2" s="28" t="s">
        <v>10</v>
      </c>
    </row>
    <row r="3" ht="14.65" spans="2:11">
      <c r="B3" s="29" t="s">
        <v>11</v>
      </c>
      <c r="C3" s="10" t="s">
        <v>12</v>
      </c>
      <c r="D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</row>
    <row r="4" ht="14.65" spans="2:11">
      <c r="B4" s="29" t="s">
        <v>20</v>
      </c>
      <c r="C4" s="10">
        <v>0.8</v>
      </c>
      <c r="D4" s="10" t="s">
        <v>21</v>
      </c>
      <c r="F4" s="10" t="s">
        <v>22</v>
      </c>
      <c r="G4" s="10" t="s">
        <v>23</v>
      </c>
      <c r="H4" s="10">
        <v>5</v>
      </c>
      <c r="I4" s="10">
        <v>5</v>
      </c>
      <c r="J4" s="10" t="s">
        <v>24</v>
      </c>
      <c r="K4" s="10" t="s">
        <v>25</v>
      </c>
    </row>
    <row r="5" ht="14.65" spans="2:11">
      <c r="B5" s="29" t="s">
        <v>26</v>
      </c>
      <c r="C5" s="10">
        <v>2</v>
      </c>
      <c r="D5" s="10" t="s">
        <v>27</v>
      </c>
      <c r="F5" s="10" t="s">
        <v>28</v>
      </c>
      <c r="G5" s="10" t="s">
        <v>23</v>
      </c>
      <c r="H5" s="10">
        <v>2</v>
      </c>
      <c r="I5" s="10">
        <v>2</v>
      </c>
      <c r="J5" s="10" t="s">
        <v>29</v>
      </c>
      <c r="K5" s="10"/>
    </row>
    <row r="6" ht="14.65" spans="2:4">
      <c r="B6" s="29" t="s">
        <v>30</v>
      </c>
      <c r="C6" s="10">
        <v>0.02</v>
      </c>
      <c r="D6" s="10" t="s">
        <v>21</v>
      </c>
    </row>
    <row r="7" ht="14.65" spans="2:4">
      <c r="B7" s="29" t="s">
        <v>31</v>
      </c>
      <c r="C7" s="10">
        <v>0.001</v>
      </c>
      <c r="D7" s="10" t="s">
        <v>21</v>
      </c>
    </row>
    <row r="8" ht="14.65" spans="2:4">
      <c r="B8" s="29" t="s">
        <v>32</v>
      </c>
      <c r="C8" s="10">
        <v>0.001</v>
      </c>
      <c r="D8" s="10" t="s">
        <v>21</v>
      </c>
    </row>
    <row r="11" ht="14.65" spans="1:8">
      <c r="A11" t="s">
        <v>33</v>
      </c>
      <c r="B11" s="27" t="s">
        <v>34</v>
      </c>
      <c r="C11" s="28" t="s">
        <v>8</v>
      </c>
      <c r="F11" s="27" t="s">
        <v>35</v>
      </c>
      <c r="G11" s="27"/>
      <c r="H11" s="28" t="s">
        <v>10</v>
      </c>
    </row>
    <row r="12" ht="14.65" spans="2:11">
      <c r="B12" s="29" t="s">
        <v>11</v>
      </c>
      <c r="C12" s="10" t="s">
        <v>12</v>
      </c>
      <c r="D12" s="10" t="s">
        <v>13</v>
      </c>
      <c r="F12" s="10" t="s">
        <v>14</v>
      </c>
      <c r="G12" s="10" t="s">
        <v>15</v>
      </c>
      <c r="H12" s="10" t="s">
        <v>16</v>
      </c>
      <c r="I12" s="10" t="s">
        <v>17</v>
      </c>
      <c r="J12" s="10" t="s">
        <v>18</v>
      </c>
      <c r="K12" s="10" t="s">
        <v>19</v>
      </c>
    </row>
    <row r="13" ht="14.65" spans="2:11">
      <c r="B13" s="29" t="s">
        <v>20</v>
      </c>
      <c r="C13" s="10">
        <v>0.6</v>
      </c>
      <c r="D13" s="10" t="s">
        <v>21</v>
      </c>
      <c r="F13" s="10" t="s">
        <v>22</v>
      </c>
      <c r="G13" s="10" t="s">
        <v>23</v>
      </c>
      <c r="H13" s="10">
        <v>5</v>
      </c>
      <c r="I13" s="10">
        <v>5</v>
      </c>
      <c r="J13" s="10" t="s">
        <v>24</v>
      </c>
      <c r="K13" s="10" t="s">
        <v>25</v>
      </c>
    </row>
    <row r="14" ht="14.65" spans="2:11">
      <c r="B14" s="29" t="s">
        <v>36</v>
      </c>
      <c r="C14" s="10">
        <v>0.2</v>
      </c>
      <c r="D14" s="10" t="s">
        <v>21</v>
      </c>
      <c r="F14" s="10" t="s">
        <v>28</v>
      </c>
      <c r="G14" s="10" t="s">
        <v>23</v>
      </c>
      <c r="H14" s="10">
        <v>2</v>
      </c>
      <c r="I14" s="10">
        <v>2</v>
      </c>
      <c r="J14" s="10" t="s">
        <v>29</v>
      </c>
      <c r="K14" s="10"/>
    </row>
    <row r="15" ht="14.65" spans="2:4">
      <c r="B15" s="29" t="s">
        <v>26</v>
      </c>
      <c r="C15" s="10">
        <v>2</v>
      </c>
      <c r="D15" s="10" t="s">
        <v>27</v>
      </c>
    </row>
    <row r="16" ht="14.65" spans="2:4">
      <c r="B16" s="29" t="s">
        <v>30</v>
      </c>
      <c r="C16" s="10">
        <v>0.02</v>
      </c>
      <c r="D16" s="10" t="s">
        <v>21</v>
      </c>
    </row>
    <row r="17" ht="14.65" spans="2:4">
      <c r="B17" s="29" t="s">
        <v>31</v>
      </c>
      <c r="C17" s="10">
        <v>0.001</v>
      </c>
      <c r="D17" s="10" t="s">
        <v>21</v>
      </c>
    </row>
    <row r="18" ht="14.65" spans="2:4">
      <c r="B18" s="29" t="s">
        <v>32</v>
      </c>
      <c r="C18" s="10">
        <v>0.001</v>
      </c>
      <c r="D18" s="10" t="s">
        <v>21</v>
      </c>
    </row>
    <row r="20" ht="14.65" spans="1:8">
      <c r="A20" t="s">
        <v>37</v>
      </c>
      <c r="B20" s="27" t="s">
        <v>38</v>
      </c>
      <c r="C20" s="28" t="s">
        <v>8</v>
      </c>
      <c r="F20" s="27" t="s">
        <v>39</v>
      </c>
      <c r="G20" s="27"/>
      <c r="H20" s="28" t="s">
        <v>10</v>
      </c>
    </row>
    <row r="21" ht="14.65" spans="2:11">
      <c r="B21" s="29" t="s">
        <v>11</v>
      </c>
      <c r="C21" s="10" t="s">
        <v>12</v>
      </c>
      <c r="D21" s="10" t="s">
        <v>13</v>
      </c>
      <c r="F21" s="10" t="s">
        <v>14</v>
      </c>
      <c r="G21" s="10" t="s">
        <v>15</v>
      </c>
      <c r="H21" s="10" t="s">
        <v>16</v>
      </c>
      <c r="I21" s="10" t="s">
        <v>17</v>
      </c>
      <c r="J21" s="10" t="s">
        <v>18</v>
      </c>
      <c r="K21" s="10" t="s">
        <v>19</v>
      </c>
    </row>
    <row r="22" ht="14.65" spans="2:11">
      <c r="B22" s="29" t="s">
        <v>40</v>
      </c>
      <c r="C22" s="10">
        <v>0.6</v>
      </c>
      <c r="D22" s="10" t="s">
        <v>21</v>
      </c>
      <c r="F22" s="10" t="s">
        <v>22</v>
      </c>
      <c r="G22" s="10" t="s">
        <v>23</v>
      </c>
      <c r="H22" s="10">
        <v>4</v>
      </c>
      <c r="I22" s="10">
        <v>4</v>
      </c>
      <c r="J22" s="10" t="s">
        <v>24</v>
      </c>
      <c r="K22" s="10" t="s">
        <v>25</v>
      </c>
    </row>
    <row r="23" ht="14.65" spans="2:11">
      <c r="B23" s="29" t="s">
        <v>26</v>
      </c>
      <c r="C23" s="10">
        <v>2</v>
      </c>
      <c r="D23" s="10" t="s">
        <v>27</v>
      </c>
      <c r="F23" s="10" t="s">
        <v>28</v>
      </c>
      <c r="G23" s="10" t="s">
        <v>23</v>
      </c>
      <c r="H23" s="10">
        <v>1.5</v>
      </c>
      <c r="I23" s="10">
        <v>1.5</v>
      </c>
      <c r="J23" s="10" t="s">
        <v>29</v>
      </c>
      <c r="K23" s="10"/>
    </row>
    <row r="24" ht="14.65" spans="2:4">
      <c r="B24" s="29" t="s">
        <v>30</v>
      </c>
      <c r="C24" s="10">
        <v>0.02</v>
      </c>
      <c r="D24" s="10" t="s">
        <v>21</v>
      </c>
    </row>
    <row r="25" ht="14.65" spans="2:4">
      <c r="B25" s="29" t="s">
        <v>31</v>
      </c>
      <c r="C25" s="10">
        <v>0.001</v>
      </c>
      <c r="D25" s="10" t="s">
        <v>21</v>
      </c>
    </row>
    <row r="26" ht="14.65" spans="2:4">
      <c r="B26" s="29" t="s">
        <v>32</v>
      </c>
      <c r="C26" s="10">
        <v>0.001</v>
      </c>
      <c r="D26" s="10" t="s">
        <v>21</v>
      </c>
    </row>
    <row r="28" ht="14.65" spans="1:8">
      <c r="A28" t="s">
        <v>41</v>
      </c>
      <c r="B28" s="27" t="s">
        <v>42</v>
      </c>
      <c r="C28" s="28" t="s">
        <v>8</v>
      </c>
      <c r="F28" s="27" t="s">
        <v>43</v>
      </c>
      <c r="G28" s="27"/>
      <c r="H28" s="28" t="s">
        <v>44</v>
      </c>
    </row>
    <row r="29" ht="14.65" spans="2:11">
      <c r="B29" s="29" t="s">
        <v>11</v>
      </c>
      <c r="C29" s="10" t="s">
        <v>12</v>
      </c>
      <c r="D29" s="10" t="s">
        <v>13</v>
      </c>
      <c r="F29" s="10" t="s">
        <v>14</v>
      </c>
      <c r="G29" s="10" t="s">
        <v>15</v>
      </c>
      <c r="H29" s="10" t="s">
        <v>16</v>
      </c>
      <c r="I29" s="10" t="s">
        <v>17</v>
      </c>
      <c r="J29" s="10" t="s">
        <v>18</v>
      </c>
      <c r="K29" s="10" t="s">
        <v>19</v>
      </c>
    </row>
    <row r="30" ht="14.65" spans="2:11">
      <c r="B30" s="29" t="s">
        <v>45</v>
      </c>
      <c r="C30" s="10">
        <v>0.9</v>
      </c>
      <c r="D30" s="10" t="s">
        <v>21</v>
      </c>
      <c r="F30" s="10" t="s">
        <v>46</v>
      </c>
      <c r="G30" s="10" t="s">
        <v>47</v>
      </c>
      <c r="H30" s="10">
        <v>2</v>
      </c>
      <c r="I30" s="10">
        <v>2</v>
      </c>
      <c r="J30" s="10" t="s">
        <v>48</v>
      </c>
      <c r="K30" s="10" t="s">
        <v>25</v>
      </c>
    </row>
    <row r="31" ht="14.65" spans="2:11">
      <c r="B31" s="29" t="s">
        <v>26</v>
      </c>
      <c r="C31" s="10">
        <v>1</v>
      </c>
      <c r="D31" s="10" t="s">
        <v>27</v>
      </c>
      <c r="F31" s="10"/>
      <c r="G31" s="10"/>
      <c r="H31" s="10"/>
      <c r="I31" s="10"/>
      <c r="J31" s="10"/>
      <c r="K31" s="10"/>
    </row>
    <row r="32" ht="14.65" spans="2:4">
      <c r="B32" s="29" t="s">
        <v>49</v>
      </c>
      <c r="C32" s="10">
        <v>0.02</v>
      </c>
      <c r="D32" s="10" t="s">
        <v>21</v>
      </c>
    </row>
    <row r="33" ht="14.65" spans="2:4">
      <c r="B33" s="29" t="s">
        <v>32</v>
      </c>
      <c r="C33" s="10">
        <v>0.002</v>
      </c>
      <c r="D33" s="10" t="s">
        <v>21</v>
      </c>
    </row>
    <row r="34" ht="14.65" spans="2:4">
      <c r="B34" s="29" t="s">
        <v>50</v>
      </c>
      <c r="C34" s="10">
        <v>0.003</v>
      </c>
      <c r="D34" s="10" t="s">
        <v>21</v>
      </c>
    </row>
    <row r="35" ht="30" customHeight="1" spans="1:8">
      <c r="A35" t="s">
        <v>51</v>
      </c>
      <c r="B35" s="27" t="s">
        <v>52</v>
      </c>
      <c r="C35" s="28" t="s">
        <v>8</v>
      </c>
      <c r="F35" s="27" t="s">
        <v>53</v>
      </c>
      <c r="G35" s="27"/>
      <c r="H35" s="28" t="s">
        <v>54</v>
      </c>
    </row>
    <row r="36" ht="14.65" spans="2:11">
      <c r="B36" s="29" t="s">
        <v>11</v>
      </c>
      <c r="C36" s="10" t="s">
        <v>12</v>
      </c>
      <c r="D36" s="10" t="s">
        <v>13</v>
      </c>
      <c r="F36" s="10" t="s">
        <v>14</v>
      </c>
      <c r="G36" s="10" t="s">
        <v>15</v>
      </c>
      <c r="H36" s="10" t="s">
        <v>16</v>
      </c>
      <c r="I36" s="10" t="s">
        <v>17</v>
      </c>
      <c r="J36" s="10" t="s">
        <v>18</v>
      </c>
      <c r="K36" s="10" t="s">
        <v>19</v>
      </c>
    </row>
    <row r="37" ht="14.65" spans="2:11">
      <c r="B37" s="29" t="s">
        <v>55</v>
      </c>
      <c r="C37" s="10">
        <v>0.7</v>
      </c>
      <c r="D37" s="10" t="s">
        <v>21</v>
      </c>
      <c r="F37" s="10" t="s">
        <v>56</v>
      </c>
      <c r="G37" s="10" t="s">
        <v>57</v>
      </c>
      <c r="H37" s="10">
        <v>0.5</v>
      </c>
      <c r="I37" s="10">
        <v>0.5</v>
      </c>
      <c r="J37" s="10" t="s">
        <v>58</v>
      </c>
      <c r="K37" s="10" t="s">
        <v>59</v>
      </c>
    </row>
    <row r="38" ht="14.65" spans="2:11">
      <c r="B38" s="29" t="s">
        <v>60</v>
      </c>
      <c r="C38" s="10">
        <v>0.3</v>
      </c>
      <c r="D38" s="10" t="s">
        <v>61</v>
      </c>
      <c r="F38" s="10" t="s">
        <v>62</v>
      </c>
      <c r="G38" s="10" t="s">
        <v>57</v>
      </c>
      <c r="H38" s="10"/>
      <c r="I38" s="10">
        <v>3</v>
      </c>
      <c r="J38" s="10" t="s">
        <v>63</v>
      </c>
      <c r="K38" s="10"/>
    </row>
    <row r="40" ht="30" customHeight="1" spans="1:8">
      <c r="A40" t="s">
        <v>64</v>
      </c>
      <c r="B40" s="27" t="s">
        <v>65</v>
      </c>
      <c r="C40" s="28" t="s">
        <v>8</v>
      </c>
      <c r="F40" s="27" t="s">
        <v>66</v>
      </c>
      <c r="G40" s="27"/>
      <c r="H40" s="28" t="s">
        <v>54</v>
      </c>
    </row>
    <row r="41" ht="14.65" spans="2:11">
      <c r="B41" s="29" t="s">
        <v>11</v>
      </c>
      <c r="C41" s="10" t="s">
        <v>12</v>
      </c>
      <c r="D41" s="10" t="s">
        <v>13</v>
      </c>
      <c r="F41" s="10" t="s">
        <v>14</v>
      </c>
      <c r="G41" s="10" t="s">
        <v>15</v>
      </c>
      <c r="H41" s="10" t="s">
        <v>16</v>
      </c>
      <c r="I41" s="10" t="s">
        <v>17</v>
      </c>
      <c r="J41" s="10" t="s">
        <v>18</v>
      </c>
      <c r="K41" s="10" t="s">
        <v>19</v>
      </c>
    </row>
    <row r="42" ht="14.65" spans="2:11">
      <c r="B42" s="29" t="s">
        <v>67</v>
      </c>
      <c r="C42" s="10">
        <v>0.7</v>
      </c>
      <c r="D42" s="10" t="s">
        <v>21</v>
      </c>
      <c r="F42" s="10" t="s">
        <v>56</v>
      </c>
      <c r="G42" s="10" t="s">
        <v>57</v>
      </c>
      <c r="H42" s="10">
        <v>0.5</v>
      </c>
      <c r="I42" s="10">
        <v>0.5</v>
      </c>
      <c r="J42" s="10" t="s">
        <v>58</v>
      </c>
      <c r="K42" s="10" t="s">
        <v>68</v>
      </c>
    </row>
    <row r="43" ht="14.65" spans="2:11">
      <c r="B43" s="29" t="s">
        <v>69</v>
      </c>
      <c r="C43" s="10">
        <v>0.3</v>
      </c>
      <c r="D43" s="10" t="s">
        <v>61</v>
      </c>
      <c r="F43" s="10" t="s">
        <v>62</v>
      </c>
      <c r="G43" s="10" t="s">
        <v>57</v>
      </c>
      <c r="H43" s="10"/>
      <c r="I43" s="10">
        <v>3</v>
      </c>
      <c r="J43" s="10" t="s">
        <v>63</v>
      </c>
      <c r="K43" s="10"/>
    </row>
    <row r="45" ht="30" customHeight="1" spans="1:8">
      <c r="A45" t="s">
        <v>70</v>
      </c>
      <c r="B45" s="27" t="s">
        <v>71</v>
      </c>
      <c r="C45" s="28" t="s">
        <v>8</v>
      </c>
      <c r="F45" s="27" t="s">
        <v>72</v>
      </c>
      <c r="G45" s="27"/>
      <c r="H45" s="28" t="s">
        <v>54</v>
      </c>
    </row>
    <row r="46" ht="14.65" spans="2:11">
      <c r="B46" s="29" t="s">
        <v>11</v>
      </c>
      <c r="C46" s="10" t="s">
        <v>12</v>
      </c>
      <c r="D46" s="10" t="s">
        <v>13</v>
      </c>
      <c r="F46" s="10" t="s">
        <v>14</v>
      </c>
      <c r="G46" s="10" t="s">
        <v>15</v>
      </c>
      <c r="H46" s="10" t="s">
        <v>16</v>
      </c>
      <c r="I46" s="10" t="s">
        <v>17</v>
      </c>
      <c r="J46" s="10" t="s">
        <v>18</v>
      </c>
      <c r="K46" s="10" t="s">
        <v>19</v>
      </c>
    </row>
    <row r="47" ht="14.65" spans="2:11">
      <c r="B47" s="29" t="s">
        <v>73</v>
      </c>
      <c r="C47" s="10">
        <v>0.8</v>
      </c>
      <c r="D47" s="10" t="s">
        <v>21</v>
      </c>
      <c r="F47" s="10" t="s">
        <v>74</v>
      </c>
      <c r="G47" s="10" t="s">
        <v>57</v>
      </c>
      <c r="H47" s="10">
        <v>1</v>
      </c>
      <c r="I47" s="10">
        <v>1</v>
      </c>
      <c r="J47" s="10" t="s">
        <v>58</v>
      </c>
      <c r="K47" s="10" t="s">
        <v>75</v>
      </c>
    </row>
    <row r="48" ht="14.65" spans="2:11">
      <c r="B48" s="29" t="s">
        <v>76</v>
      </c>
      <c r="C48" s="10">
        <v>0.2</v>
      </c>
      <c r="D48" s="10" t="s">
        <v>61</v>
      </c>
      <c r="F48" s="10" t="s">
        <v>77</v>
      </c>
      <c r="G48" s="10" t="s">
        <v>57</v>
      </c>
      <c r="H48" s="10">
        <v>0.5</v>
      </c>
      <c r="I48" s="10"/>
      <c r="J48" s="10"/>
      <c r="K48" s="10" t="s">
        <v>78</v>
      </c>
    </row>
    <row r="49" ht="14.65" spans="2:11">
      <c r="B49" s="29" t="s">
        <v>79</v>
      </c>
      <c r="C49" s="10">
        <v>0.2</v>
      </c>
      <c r="D49" s="10" t="s">
        <v>21</v>
      </c>
      <c r="F49" s="10" t="s">
        <v>80</v>
      </c>
      <c r="G49" s="10" t="s">
        <v>57</v>
      </c>
      <c r="H49" s="10"/>
      <c r="I49" s="10">
        <v>3</v>
      </c>
      <c r="J49" s="10" t="s">
        <v>63</v>
      </c>
      <c r="K49" s="10"/>
    </row>
    <row r="50" ht="14.65" spans="2:4">
      <c r="B50" s="29" t="s">
        <v>81</v>
      </c>
      <c r="C50" s="10">
        <v>0.05</v>
      </c>
      <c r="D50" s="10" t="s">
        <v>21</v>
      </c>
    </row>
    <row r="52" ht="14.65" spans="1:8">
      <c r="A52" t="s">
        <v>82</v>
      </c>
      <c r="B52" s="27" t="s">
        <v>83</v>
      </c>
      <c r="C52" s="28" t="s">
        <v>8</v>
      </c>
      <c r="F52" s="27" t="s">
        <v>84</v>
      </c>
      <c r="G52" s="27"/>
      <c r="H52" s="28" t="s">
        <v>54</v>
      </c>
    </row>
    <row r="53" ht="14.65" spans="2:11">
      <c r="B53" s="29" t="s">
        <v>11</v>
      </c>
      <c r="C53" s="10" t="s">
        <v>12</v>
      </c>
      <c r="D53" s="10" t="s">
        <v>13</v>
      </c>
      <c r="F53" s="10" t="s">
        <v>14</v>
      </c>
      <c r="G53" s="10" t="s">
        <v>15</v>
      </c>
      <c r="H53" s="10" t="s">
        <v>16</v>
      </c>
      <c r="I53" s="10" t="s">
        <v>17</v>
      </c>
      <c r="J53" s="10" t="s">
        <v>18</v>
      </c>
      <c r="K53" s="10" t="s">
        <v>19</v>
      </c>
    </row>
    <row r="54" ht="14.65" spans="2:11">
      <c r="B54" s="29" t="s">
        <v>69</v>
      </c>
      <c r="C54" s="10">
        <v>0.8</v>
      </c>
      <c r="D54" s="10" t="s">
        <v>21</v>
      </c>
      <c r="F54" s="10" t="s">
        <v>85</v>
      </c>
      <c r="G54" s="10" t="s">
        <v>57</v>
      </c>
      <c r="H54" s="10">
        <v>1</v>
      </c>
      <c r="I54" s="10">
        <v>1</v>
      </c>
      <c r="J54" s="10" t="s">
        <v>86</v>
      </c>
      <c r="K54" s="10" t="s">
        <v>87</v>
      </c>
    </row>
    <row r="55" ht="14.65" spans="2:11">
      <c r="B55" s="29" t="s">
        <v>76</v>
      </c>
      <c r="C55" s="10">
        <v>0.2</v>
      </c>
      <c r="D55" s="10" t="s">
        <v>61</v>
      </c>
      <c r="F55" s="10"/>
      <c r="G55" s="10"/>
      <c r="H55" s="10"/>
      <c r="I55" s="10"/>
      <c r="J55" s="10"/>
      <c r="K55" s="10"/>
    </row>
    <row r="56" spans="6:11">
      <c r="F56" s="10"/>
      <c r="G56" s="10"/>
      <c r="H56" s="10"/>
      <c r="I56" s="10"/>
      <c r="J56" s="10"/>
      <c r="K56" s="10"/>
    </row>
    <row r="57" ht="30" customHeight="1" spans="1:8">
      <c r="A57" t="s">
        <v>88</v>
      </c>
      <c r="B57" s="27" t="s">
        <v>89</v>
      </c>
      <c r="C57" s="28" t="s">
        <v>8</v>
      </c>
      <c r="F57" s="27" t="s">
        <v>90</v>
      </c>
      <c r="G57" s="27"/>
      <c r="H57" s="28" t="s">
        <v>54</v>
      </c>
    </row>
    <row r="58" ht="14.65" spans="2:11">
      <c r="B58" s="29" t="s">
        <v>11</v>
      </c>
      <c r="C58" s="10" t="s">
        <v>12</v>
      </c>
      <c r="D58" s="10" t="s">
        <v>13</v>
      </c>
      <c r="F58" s="10" t="s">
        <v>14</v>
      </c>
      <c r="G58" s="10" t="s">
        <v>15</v>
      </c>
      <c r="H58" s="10" t="s">
        <v>16</v>
      </c>
      <c r="I58" s="10" t="s">
        <v>17</v>
      </c>
      <c r="J58" s="10" t="s">
        <v>18</v>
      </c>
      <c r="K58" s="10" t="s">
        <v>19</v>
      </c>
    </row>
    <row r="59" ht="14.65" spans="2:11">
      <c r="B59" s="29" t="s">
        <v>91</v>
      </c>
      <c r="C59" s="10">
        <v>0.8</v>
      </c>
      <c r="D59" s="10" t="s">
        <v>21</v>
      </c>
      <c r="F59" s="10" t="s">
        <v>92</v>
      </c>
      <c r="G59" s="10" t="s">
        <v>57</v>
      </c>
      <c r="H59" s="10">
        <v>2</v>
      </c>
      <c r="I59" s="10"/>
      <c r="J59" s="10" t="s">
        <v>93</v>
      </c>
      <c r="K59" s="10" t="s">
        <v>94</v>
      </c>
    </row>
    <row r="60" ht="14.65" spans="2:11">
      <c r="B60" s="29" t="s">
        <v>95</v>
      </c>
      <c r="C60" s="10">
        <v>0.2</v>
      </c>
      <c r="D60" s="10" t="s">
        <v>61</v>
      </c>
      <c r="F60" s="10" t="s">
        <v>96</v>
      </c>
      <c r="G60" s="10" t="s">
        <v>57</v>
      </c>
      <c r="H60" s="10">
        <v>2</v>
      </c>
      <c r="I60" s="10"/>
      <c r="J60" s="10" t="s">
        <v>93</v>
      </c>
      <c r="K60" s="10" t="s">
        <v>97</v>
      </c>
    </row>
    <row r="61" ht="14.65" spans="2:11">
      <c r="B61" s="29" t="s">
        <v>98</v>
      </c>
      <c r="C61" s="10">
        <v>0.2</v>
      </c>
      <c r="D61" s="10" t="s">
        <v>21</v>
      </c>
      <c r="F61" s="10"/>
      <c r="G61" s="10"/>
      <c r="H61" s="10"/>
      <c r="I61" s="10"/>
      <c r="J61" s="10"/>
      <c r="K61" s="10"/>
    </row>
    <row r="62" ht="14.65" spans="2:4">
      <c r="B62" s="29" t="s">
        <v>81</v>
      </c>
      <c r="C62" s="10">
        <v>0.05</v>
      </c>
      <c r="D62" s="10" t="s">
        <v>21</v>
      </c>
    </row>
    <row r="63" ht="14.65" spans="2:4">
      <c r="B63" s="29" t="s">
        <v>97</v>
      </c>
      <c r="C63" s="10">
        <v>0.2</v>
      </c>
      <c r="D63" s="10" t="s">
        <v>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2"/>
  <sheetViews>
    <sheetView workbookViewId="0">
      <selection activeCell="C10" sqref="C10"/>
    </sheetView>
  </sheetViews>
  <sheetFormatPr defaultColWidth="9" defaultRowHeight="14.6" outlineLevelCol="3"/>
  <cols>
    <col min="1" max="1" width="3.70796460176991" customWidth="1"/>
    <col min="2" max="2" width="66.141592920354" customWidth="1"/>
  </cols>
  <sheetData>
    <row r="2" ht="14.65" spans="1:4">
      <c r="A2" s="11" t="s">
        <v>6</v>
      </c>
      <c r="B2" s="12" t="s">
        <v>100</v>
      </c>
      <c r="C2" s="11" t="s">
        <v>101</v>
      </c>
      <c r="D2" s="11" t="s">
        <v>13</v>
      </c>
    </row>
    <row r="3" ht="14.65" spans="1:4">
      <c r="A3" s="11"/>
      <c r="B3" s="13" t="s">
        <v>102</v>
      </c>
      <c r="C3" s="11">
        <v>25</v>
      </c>
      <c r="D3" s="11" t="s">
        <v>21</v>
      </c>
    </row>
    <row r="4" ht="14.65" spans="1:4">
      <c r="A4" s="11"/>
      <c r="B4" s="13" t="s">
        <v>103</v>
      </c>
      <c r="C4" s="11">
        <v>40</v>
      </c>
      <c r="D4" s="11" t="s">
        <v>21</v>
      </c>
    </row>
    <row r="5" ht="14.65" spans="1:4">
      <c r="A5" s="11"/>
      <c r="B5" s="13" t="s">
        <v>104</v>
      </c>
      <c r="C5" s="11">
        <v>10</v>
      </c>
      <c r="D5" s="11" t="s">
        <v>21</v>
      </c>
    </row>
    <row r="6" spans="1:4">
      <c r="A6" s="14"/>
      <c r="B6" s="15"/>
      <c r="C6" s="14"/>
      <c r="D6" s="14"/>
    </row>
    <row r="7" ht="14.65" spans="1:4">
      <c r="A7" s="11" t="s">
        <v>33</v>
      </c>
      <c r="B7" s="12" t="s">
        <v>105</v>
      </c>
      <c r="C7" s="11"/>
      <c r="D7" s="11"/>
    </row>
    <row r="8" ht="30" customHeight="1" spans="1:4">
      <c r="A8" s="11"/>
      <c r="B8" s="13" t="s">
        <v>106</v>
      </c>
      <c r="C8" s="11">
        <v>25</v>
      </c>
      <c r="D8" s="11"/>
    </row>
    <row r="9" spans="2:2">
      <c r="B9" s="16"/>
    </row>
    <row r="10" ht="14.65" spans="1:4">
      <c r="A10" s="17" t="s">
        <v>37</v>
      </c>
      <c r="B10" s="18" t="s">
        <v>107</v>
      </c>
      <c r="C10" s="17"/>
      <c r="D10" s="17"/>
    </row>
    <row r="11" ht="14.65" spans="1:4">
      <c r="A11" s="17"/>
      <c r="B11" s="19" t="s">
        <v>108</v>
      </c>
      <c r="C11" s="17">
        <v>45</v>
      </c>
      <c r="D11" s="17" t="s">
        <v>21</v>
      </c>
    </row>
    <row r="12" ht="14.65" spans="1:4">
      <c r="A12" s="17"/>
      <c r="B12" s="19" t="s">
        <v>109</v>
      </c>
      <c r="C12" s="17">
        <v>10</v>
      </c>
      <c r="D12" s="17" t="s">
        <v>21</v>
      </c>
    </row>
    <row r="13" ht="14.65" spans="1:4">
      <c r="A13" s="17"/>
      <c r="B13" s="19" t="s">
        <v>108</v>
      </c>
      <c r="C13" s="17">
        <v>70</v>
      </c>
      <c r="D13" s="17" t="s">
        <v>21</v>
      </c>
    </row>
    <row r="14" spans="1:4">
      <c r="A14" s="20"/>
      <c r="B14" s="21"/>
      <c r="C14" s="20"/>
      <c r="D14" s="20"/>
    </row>
    <row r="15" ht="14.65" spans="1:4">
      <c r="A15" s="17" t="s">
        <v>41</v>
      </c>
      <c r="B15" s="18" t="s">
        <v>110</v>
      </c>
      <c r="C15" s="17"/>
      <c r="D15" s="17"/>
    </row>
    <row r="16" ht="30" customHeight="1" spans="1:4">
      <c r="A16" s="17"/>
      <c r="B16" s="19" t="s">
        <v>106</v>
      </c>
      <c r="C16" s="17">
        <v>20</v>
      </c>
      <c r="D16" s="17"/>
    </row>
    <row r="17" spans="2:2">
      <c r="B17" s="16"/>
    </row>
    <row r="18" ht="14.65" spans="1:4">
      <c r="A18" s="22" t="s">
        <v>51</v>
      </c>
      <c r="B18" s="23" t="s">
        <v>111</v>
      </c>
      <c r="C18" s="22"/>
      <c r="D18" s="22"/>
    </row>
    <row r="19" ht="14.65" spans="1:4">
      <c r="A19" s="22"/>
      <c r="B19" s="24" t="s">
        <v>20</v>
      </c>
      <c r="C19" s="22">
        <v>50</v>
      </c>
      <c r="D19" s="22" t="s">
        <v>21</v>
      </c>
    </row>
    <row r="20" ht="14.65" spans="1:4">
      <c r="A20" s="22"/>
      <c r="B20" s="24" t="s">
        <v>112</v>
      </c>
      <c r="C20" s="22">
        <v>2</v>
      </c>
      <c r="D20" s="22" t="s">
        <v>21</v>
      </c>
    </row>
    <row r="21" ht="14.65" spans="1:4">
      <c r="A21" s="22"/>
      <c r="B21" s="24" t="s">
        <v>113</v>
      </c>
      <c r="C21" s="22">
        <v>70</v>
      </c>
      <c r="D21" s="22" t="s">
        <v>21</v>
      </c>
    </row>
    <row r="22" ht="14.65" spans="1:4">
      <c r="A22" s="22"/>
      <c r="B22" s="24" t="s">
        <v>26</v>
      </c>
      <c r="C22" s="22">
        <v>80</v>
      </c>
      <c r="D22" s="22" t="s">
        <v>114</v>
      </c>
    </row>
    <row r="23" ht="14.65" spans="1:4">
      <c r="A23" s="22"/>
      <c r="B23" s="24" t="s">
        <v>30</v>
      </c>
      <c r="C23" s="22">
        <v>9</v>
      </c>
      <c r="D23" s="22" t="s">
        <v>21</v>
      </c>
    </row>
    <row r="24" ht="14.65" spans="1:4">
      <c r="A24" s="22"/>
      <c r="B24" s="24" t="s">
        <v>115</v>
      </c>
      <c r="C24" s="22">
        <v>2</v>
      </c>
      <c r="D24" s="22" t="s">
        <v>21</v>
      </c>
    </row>
    <row r="25" ht="14.65" spans="1:4">
      <c r="A25" s="22"/>
      <c r="B25" s="24" t="s">
        <v>45</v>
      </c>
      <c r="C25" s="22">
        <v>50</v>
      </c>
      <c r="D25" s="22" t="s">
        <v>21</v>
      </c>
    </row>
    <row r="26" ht="14.65" spans="1:4">
      <c r="A26" s="22"/>
      <c r="B26" s="24" t="s">
        <v>32</v>
      </c>
      <c r="C26" s="22">
        <v>10</v>
      </c>
      <c r="D26" s="22" t="s">
        <v>21</v>
      </c>
    </row>
    <row r="27" ht="14.65" spans="1:4">
      <c r="A27" s="22"/>
      <c r="B27" s="24" t="s">
        <v>50</v>
      </c>
      <c r="C27" s="22">
        <v>100</v>
      </c>
      <c r="D27" s="22" t="s">
        <v>116</v>
      </c>
    </row>
    <row r="28" ht="14.65" spans="1:4">
      <c r="A28" s="22"/>
      <c r="B28" s="24" t="s">
        <v>117</v>
      </c>
      <c r="C28" s="22">
        <v>15</v>
      </c>
      <c r="D28" s="22" t="s">
        <v>21</v>
      </c>
    </row>
    <row r="29" ht="14.65" spans="1:4">
      <c r="A29" s="22"/>
      <c r="B29" s="24" t="s">
        <v>118</v>
      </c>
      <c r="C29" s="22">
        <v>5</v>
      </c>
      <c r="D29" s="22" t="s">
        <v>21</v>
      </c>
    </row>
    <row r="30" spans="1:4">
      <c r="A30" s="25"/>
      <c r="B30" s="26"/>
      <c r="C30" s="25"/>
      <c r="D30" s="25"/>
    </row>
    <row r="31" ht="14.65" spans="1:4">
      <c r="A31" s="22" t="s">
        <v>64</v>
      </c>
      <c r="B31" s="23" t="s">
        <v>119</v>
      </c>
      <c r="C31" s="22"/>
      <c r="D31" s="22"/>
    </row>
    <row r="32" ht="30" customHeight="1" spans="1:4">
      <c r="A32" s="22"/>
      <c r="B32" s="24" t="s">
        <v>106</v>
      </c>
      <c r="C32" s="22">
        <v>15</v>
      </c>
      <c r="D32" s="2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8"/>
  <sheetViews>
    <sheetView workbookViewId="0">
      <selection activeCell="C7" sqref="C7"/>
    </sheetView>
  </sheetViews>
  <sheetFormatPr defaultColWidth="9" defaultRowHeight="14.6" outlineLevelRow="7" outlineLevelCol="3"/>
  <cols>
    <col min="1" max="1" width="3" customWidth="1"/>
    <col min="2" max="2" width="56.858407079646" customWidth="1"/>
  </cols>
  <sheetData>
    <row r="3" spans="2:4">
      <c r="B3" s="9" t="s">
        <v>120</v>
      </c>
      <c r="C3" s="10"/>
      <c r="D3" s="10"/>
    </row>
    <row r="4" spans="2:4">
      <c r="B4" s="10" t="s">
        <v>121</v>
      </c>
      <c r="C4" s="10">
        <v>300</v>
      </c>
      <c r="D4" s="10" t="s">
        <v>61</v>
      </c>
    </row>
    <row r="5" spans="2:4">
      <c r="B5" s="10" t="s">
        <v>69</v>
      </c>
      <c r="C5" s="10">
        <v>100</v>
      </c>
      <c r="D5" s="10" t="s">
        <v>61</v>
      </c>
    </row>
    <row r="6" spans="2:4">
      <c r="B6" s="10" t="s">
        <v>73</v>
      </c>
      <c r="C6" s="10">
        <v>250</v>
      </c>
      <c r="D6" s="10" t="s">
        <v>61</v>
      </c>
    </row>
    <row r="7" spans="2:4">
      <c r="B7" s="10" t="s">
        <v>67</v>
      </c>
      <c r="C7" s="10">
        <v>150</v>
      </c>
      <c r="D7" s="10" t="s">
        <v>61</v>
      </c>
    </row>
    <row r="8" spans="2:4">
      <c r="B8" s="10" t="s">
        <v>122</v>
      </c>
      <c r="C8" s="10">
        <v>150</v>
      </c>
      <c r="D8" s="10" t="s">
        <v>61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6"/>
  <sheetViews>
    <sheetView showGridLines="0" tabSelected="1" workbookViewId="0">
      <pane ySplit="3" topLeftCell="A4" activePane="bottomLeft" state="frozen"/>
      <selection/>
      <selection pane="bottomLeft" activeCell="M26" sqref="M26"/>
    </sheetView>
  </sheetViews>
  <sheetFormatPr defaultColWidth="9" defaultRowHeight="14.6"/>
  <cols>
    <col min="1" max="1" width="9" customWidth="1"/>
    <col min="2" max="2" width="26" customWidth="1"/>
    <col min="3" max="3" width="9" customWidth="1"/>
    <col min="4" max="5" width="14" customWidth="1"/>
    <col min="6" max="6" width="16" customWidth="1"/>
    <col min="7" max="7" width="15" customWidth="1"/>
    <col min="8" max="8" width="9" customWidth="1"/>
    <col min="9" max="9" width="14" customWidth="1"/>
    <col min="10" max="10" width="15" customWidth="1"/>
    <col min="11" max="11" width="14" customWidth="1"/>
    <col min="12" max="12" width="15" customWidth="1"/>
  </cols>
  <sheetData>
    <row r="1" ht="16.85" spans="1:1">
      <c r="A1" s="1" t="s">
        <v>123</v>
      </c>
    </row>
    <row r="3" ht="42" customHeight="1" spans="1:12">
      <c r="A3" s="2" t="s">
        <v>124</v>
      </c>
      <c r="B3" s="2" t="s">
        <v>11</v>
      </c>
      <c r="C3" s="2" t="s">
        <v>125</v>
      </c>
      <c r="D3" s="2" t="s">
        <v>126</v>
      </c>
      <c r="E3" s="2" t="s">
        <v>120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</row>
    <row r="4" spans="1:1">
      <c r="A4" s="3" t="s">
        <v>134</v>
      </c>
    </row>
    <row r="5" spans="1:12">
      <c r="A5" s="4">
        <v>0</v>
      </c>
      <c r="B5" s="5" t="s">
        <v>135</v>
      </c>
      <c r="C5" s="4" t="s">
        <v>21</v>
      </c>
      <c r="D5" s="6">
        <f>СкладОстатки!C3</f>
        <v>25</v>
      </c>
      <c r="E5" s="6">
        <f>ЗаказыКлиентов!C4</f>
        <v>300</v>
      </c>
      <c r="F5" s="6">
        <v>0</v>
      </c>
      <c r="G5" s="6">
        <f>E5+F5</f>
        <v>300</v>
      </c>
      <c r="H5" s="8">
        <f>СкладОстатки!$C$8/100</f>
        <v>0.25</v>
      </c>
      <c r="I5" s="6">
        <f>H5*G5</f>
        <v>75</v>
      </c>
      <c r="J5" s="6">
        <f>MAX(0,G5+I5-D5)</f>
        <v>350</v>
      </c>
      <c r="K5" s="6">
        <v>0</v>
      </c>
      <c r="L5" s="6">
        <f>D5+J5+K5-G5</f>
        <v>75</v>
      </c>
    </row>
    <row r="6" spans="1:12">
      <c r="A6" s="4">
        <v>0</v>
      </c>
      <c r="B6" s="5" t="s">
        <v>122</v>
      </c>
      <c r="C6" s="4" t="s">
        <v>21</v>
      </c>
      <c r="D6" s="6">
        <f>СкладОстатки!C4</f>
        <v>40</v>
      </c>
      <c r="E6" s="6">
        <f>ЗаказыКлиентов!C8</f>
        <v>150</v>
      </c>
      <c r="F6" s="6">
        <v>0</v>
      </c>
      <c r="G6" s="6">
        <f>E6+F6</f>
        <v>150</v>
      </c>
      <c r="H6" s="8">
        <f>СкладОстатки!$C$8/100</f>
        <v>0.25</v>
      </c>
      <c r="I6" s="6">
        <f>H6*G6</f>
        <v>37.5</v>
      </c>
      <c r="J6" s="6">
        <f>MAX(0,G6+I6-D6)</f>
        <v>147.5</v>
      </c>
      <c r="K6" s="6">
        <v>0</v>
      </c>
      <c r="L6" s="6">
        <f>D6+J6+K6-G6</f>
        <v>37.5</v>
      </c>
    </row>
    <row r="7" spans="1:12">
      <c r="A7" s="4">
        <v>0</v>
      </c>
      <c r="B7" s="5" t="s">
        <v>136</v>
      </c>
      <c r="C7" s="4" t="s">
        <v>21</v>
      </c>
      <c r="D7" s="6">
        <f>СкладОстатки!C5</f>
        <v>10</v>
      </c>
      <c r="E7" s="6">
        <v>0</v>
      </c>
      <c r="F7" s="6">
        <v>0</v>
      </c>
      <c r="G7" s="6">
        <f>E7+F7</f>
        <v>0</v>
      </c>
      <c r="H7" s="8">
        <f>СкладОстатки!$C$8/100</f>
        <v>0.25</v>
      </c>
      <c r="I7" s="6">
        <f>H7*G7</f>
        <v>0</v>
      </c>
      <c r="J7" s="6">
        <f>MAX(0,G7+I7-D7)</f>
        <v>0</v>
      </c>
      <c r="K7" s="6">
        <v>0</v>
      </c>
      <c r="L7" s="6">
        <f>D7+J7+K7-G7</f>
        <v>10</v>
      </c>
    </row>
    <row r="9" spans="1:1">
      <c r="A9" s="3" t="s">
        <v>137</v>
      </c>
    </row>
    <row r="10" spans="1:12">
      <c r="A10" s="4">
        <v>1</v>
      </c>
      <c r="B10" s="5" t="s">
        <v>95</v>
      </c>
      <c r="C10" s="4" t="s">
        <v>21</v>
      </c>
      <c r="D10" s="6">
        <v>0</v>
      </c>
      <c r="E10" s="6">
        <v>0</v>
      </c>
      <c r="F10" s="6">
        <f>J6*ОсновныеДанные!C60</f>
        <v>29.5</v>
      </c>
      <c r="G10" s="6">
        <f>E10+F10</f>
        <v>29.5</v>
      </c>
      <c r="H10" s="8">
        <f>СкладОстатки!$C$16/100</f>
        <v>0.2</v>
      </c>
      <c r="I10" s="6">
        <f>H10*G10</f>
        <v>5.9</v>
      </c>
      <c r="J10" s="6">
        <f>MAX(0,G10+I10-D10)</f>
        <v>35.4</v>
      </c>
      <c r="K10" s="6">
        <v>0</v>
      </c>
      <c r="L10" s="6">
        <f>D10+J10+K10-G10</f>
        <v>5.9</v>
      </c>
    </row>
    <row r="11" spans="1:12">
      <c r="A11" s="4">
        <v>1</v>
      </c>
      <c r="B11" s="5" t="s">
        <v>73</v>
      </c>
      <c r="C11" s="4" t="s">
        <v>21</v>
      </c>
      <c r="D11" s="6">
        <f>СкладОстатки!C12</f>
        <v>10</v>
      </c>
      <c r="E11" s="6">
        <f>ЗаказыКлиентов!C6</f>
        <v>250</v>
      </c>
      <c r="F11" s="6">
        <f>J5*ОсновныеДанные!C47</f>
        <v>280</v>
      </c>
      <c r="G11" s="6">
        <f>E11+F11</f>
        <v>530</v>
      </c>
      <c r="H11" s="8">
        <f>СкладОстатки!$C$16/100</f>
        <v>0.2</v>
      </c>
      <c r="I11" s="6">
        <f>H11*G11</f>
        <v>106</v>
      </c>
      <c r="J11" s="6">
        <f>MAX(0,G11+I11-D11)</f>
        <v>626</v>
      </c>
      <c r="K11" s="6">
        <v>0</v>
      </c>
      <c r="L11" s="6">
        <f>D11+J11+K11-G11</f>
        <v>106</v>
      </c>
    </row>
    <row r="12" spans="1:12">
      <c r="A12" s="4">
        <v>1</v>
      </c>
      <c r="B12" s="5" t="s">
        <v>67</v>
      </c>
      <c r="C12" s="4" t="s">
        <v>21</v>
      </c>
      <c r="D12" s="6">
        <f>СкладОстатки!C13</f>
        <v>70</v>
      </c>
      <c r="E12" s="6">
        <f>ЗаказыКлиентов!C7</f>
        <v>150</v>
      </c>
      <c r="F12" s="6">
        <f>J7*ОсновныеДанные!C42</f>
        <v>0</v>
      </c>
      <c r="G12" s="6">
        <f>E12+F12</f>
        <v>150</v>
      </c>
      <c r="H12" s="8">
        <f>СкладОстатки!$C$16/100</f>
        <v>0.2</v>
      </c>
      <c r="I12" s="6">
        <f>H12*G12</f>
        <v>30</v>
      </c>
      <c r="J12" s="6">
        <f>MAX(0,G12+I12-D12)</f>
        <v>110</v>
      </c>
      <c r="K12" s="6">
        <v>0</v>
      </c>
      <c r="L12" s="6">
        <f>D12+J12+K12-G12</f>
        <v>30</v>
      </c>
    </row>
    <row r="13" spans="1:12">
      <c r="A13" s="4">
        <v>1</v>
      </c>
      <c r="B13" s="5" t="s">
        <v>55</v>
      </c>
      <c r="C13" s="4" t="s">
        <v>21</v>
      </c>
      <c r="D13" s="6">
        <f>СкладОстатки!C11</f>
        <v>45</v>
      </c>
      <c r="E13" s="6">
        <v>0</v>
      </c>
      <c r="F13" s="6">
        <v>0</v>
      </c>
      <c r="G13" s="6">
        <f>E13+F13</f>
        <v>0</v>
      </c>
      <c r="H13" s="8">
        <f>СкладОстатки!$C$16/100</f>
        <v>0.2</v>
      </c>
      <c r="I13" s="6">
        <f>H13*G13</f>
        <v>0</v>
      </c>
      <c r="J13" s="6">
        <f>MAX(0,G13+I13-D13)</f>
        <v>0</v>
      </c>
      <c r="K13" s="6">
        <v>0</v>
      </c>
      <c r="L13" s="6">
        <f>D13+J13+K13-G13</f>
        <v>45</v>
      </c>
    </row>
    <row r="14" spans="1:12">
      <c r="A14" s="4">
        <v>1</v>
      </c>
      <c r="B14" s="5" t="s">
        <v>69</v>
      </c>
      <c r="C14" s="4" t="s">
        <v>21</v>
      </c>
      <c r="D14" s="6">
        <v>0</v>
      </c>
      <c r="E14" s="6">
        <f>ЗаказыКлиентов!C5</f>
        <v>100</v>
      </c>
      <c r="F14" s="6">
        <f>J10*ОсновныеДанные!C54+J7*ОсновныеДанные!C43</f>
        <v>28.32</v>
      </c>
      <c r="G14" s="6">
        <f>E14+F14</f>
        <v>128.32</v>
      </c>
      <c r="H14" s="8">
        <f>СкладОстатки!$C$16/100</f>
        <v>0.2</v>
      </c>
      <c r="I14" s="6">
        <f>H14*G14</f>
        <v>25.664</v>
      </c>
      <c r="J14" s="6">
        <f>MAX(0,G14+I14-D14)</f>
        <v>153.984</v>
      </c>
      <c r="K14" s="6">
        <v>0</v>
      </c>
      <c r="L14" s="6">
        <f>D14+J14+K14-G14</f>
        <v>25.664</v>
      </c>
    </row>
    <row r="16" spans="1:1">
      <c r="A16" s="3" t="s">
        <v>138</v>
      </c>
    </row>
    <row r="17" spans="1:12">
      <c r="A17" s="4">
        <v>2</v>
      </c>
      <c r="B17" s="5" t="s">
        <v>139</v>
      </c>
      <c r="C17" s="4" t="s">
        <v>21</v>
      </c>
      <c r="D17" s="6">
        <f>СкладОстатки!C19</f>
        <v>50</v>
      </c>
      <c r="E17" s="6">
        <v>0</v>
      </c>
      <c r="F17" s="6">
        <f>J13*ОсновныеДанные!C4+J12*ОсновныеДанные!C13</f>
        <v>66</v>
      </c>
      <c r="G17" s="6">
        <f t="shared" ref="G17:G31" si="0">E17+F17</f>
        <v>66</v>
      </c>
      <c r="H17" s="8">
        <f>СкладОстатки!$C$32/100</f>
        <v>0.15</v>
      </c>
      <c r="I17" s="6">
        <f t="shared" ref="I17:I31" si="1">H17*G17</f>
        <v>9.9</v>
      </c>
      <c r="J17" s="6">
        <v>0</v>
      </c>
      <c r="K17" s="6">
        <f t="shared" ref="K17:K31" si="2">MAX(0,G17+I17-D17)</f>
        <v>25.9</v>
      </c>
      <c r="L17" s="6">
        <f t="shared" ref="L17:L31" si="3">D17+J17+K17-G17</f>
        <v>9.90000000000001</v>
      </c>
    </row>
    <row r="18" spans="1:12">
      <c r="A18" s="4">
        <v>2</v>
      </c>
      <c r="B18" s="5" t="s">
        <v>36</v>
      </c>
      <c r="C18" s="4" t="s">
        <v>21</v>
      </c>
      <c r="D18" s="6">
        <f>СкладОстатки!C20</f>
        <v>2</v>
      </c>
      <c r="E18" s="6">
        <v>0</v>
      </c>
      <c r="F18" s="6">
        <f>J12*ОсновныеДанные!C14</f>
        <v>22</v>
      </c>
      <c r="G18" s="6">
        <f t="shared" si="0"/>
        <v>22</v>
      </c>
      <c r="H18" s="8">
        <f>СкладОстатки!$C$32/100</f>
        <v>0.15</v>
      </c>
      <c r="I18" s="6">
        <f t="shared" si="1"/>
        <v>3.3</v>
      </c>
      <c r="J18" s="6">
        <v>0</v>
      </c>
      <c r="K18" s="6">
        <f t="shared" si="2"/>
        <v>23.3</v>
      </c>
      <c r="L18" s="6">
        <f t="shared" si="3"/>
        <v>3.3</v>
      </c>
    </row>
    <row r="19" spans="1:12">
      <c r="A19" s="4">
        <v>2</v>
      </c>
      <c r="B19" s="5" t="s">
        <v>91</v>
      </c>
      <c r="C19" s="4" t="s">
        <v>21</v>
      </c>
      <c r="D19" s="6">
        <f>СкладОстатки!C21</f>
        <v>70</v>
      </c>
      <c r="E19" s="6">
        <v>0</v>
      </c>
      <c r="F19" s="6">
        <f>J11*ОсновныеДанные!C22+J6*ОсновныеДанные!C59</f>
        <v>493.6</v>
      </c>
      <c r="G19" s="6">
        <f t="shared" si="0"/>
        <v>493.6</v>
      </c>
      <c r="H19" s="8">
        <f>СкладОстатки!$C$32/100</f>
        <v>0.15</v>
      </c>
      <c r="I19" s="6">
        <f t="shared" si="1"/>
        <v>74.04</v>
      </c>
      <c r="J19" s="6">
        <v>0</v>
      </c>
      <c r="K19" s="6">
        <f t="shared" si="2"/>
        <v>497.64</v>
      </c>
      <c r="L19" s="6">
        <f t="shared" si="3"/>
        <v>74.04</v>
      </c>
    </row>
    <row r="20" spans="1:12">
      <c r="A20" s="4">
        <v>2</v>
      </c>
      <c r="B20" s="5" t="s">
        <v>140</v>
      </c>
      <c r="C20" s="4" t="s">
        <v>27</v>
      </c>
      <c r="D20" s="6">
        <f>СкладОстатки!C22</f>
        <v>80</v>
      </c>
      <c r="E20" s="6">
        <v>0</v>
      </c>
      <c r="F20" s="6">
        <f>J13*ОсновныеДанные!C5+J12*ОсновныеДанные!C15+J11*ОсновныеДанные!C23+J14*ОсновныеДанные!C31</f>
        <v>1625.984</v>
      </c>
      <c r="G20" s="6">
        <f t="shared" si="0"/>
        <v>1625.984</v>
      </c>
      <c r="H20" s="8">
        <f>СкладОстатки!$C$32/100</f>
        <v>0.15</v>
      </c>
      <c r="I20" s="6">
        <f t="shared" si="1"/>
        <v>243.8976</v>
      </c>
      <c r="J20" s="6">
        <v>0</v>
      </c>
      <c r="K20" s="6">
        <f t="shared" si="2"/>
        <v>1789.8816</v>
      </c>
      <c r="L20" s="6">
        <f t="shared" si="3"/>
        <v>243.8976</v>
      </c>
    </row>
    <row r="21" spans="1:12">
      <c r="A21" s="4">
        <v>2</v>
      </c>
      <c r="B21" s="5" t="s">
        <v>141</v>
      </c>
      <c r="C21" s="4" t="s">
        <v>21</v>
      </c>
      <c r="D21" s="6">
        <f>СкладОстатки!C23</f>
        <v>9</v>
      </c>
      <c r="E21" s="6">
        <v>0</v>
      </c>
      <c r="F21" s="6">
        <f>J13*ОсновныеДанные!C6+J12*ОсновныеДанные!C16+J11*ОсновныеДанные!C24</f>
        <v>14.72</v>
      </c>
      <c r="G21" s="6">
        <f t="shared" si="0"/>
        <v>14.72</v>
      </c>
      <c r="H21" s="8">
        <f>СкладОстатки!$C$32/100</f>
        <v>0.15</v>
      </c>
      <c r="I21" s="6">
        <f t="shared" si="1"/>
        <v>2.208</v>
      </c>
      <c r="J21" s="6">
        <v>0</v>
      </c>
      <c r="K21" s="6">
        <f t="shared" si="2"/>
        <v>7.928</v>
      </c>
      <c r="L21" s="6">
        <f t="shared" si="3"/>
        <v>2.208</v>
      </c>
    </row>
    <row r="22" spans="1:12">
      <c r="A22" s="4">
        <v>2</v>
      </c>
      <c r="B22" s="5" t="s">
        <v>142</v>
      </c>
      <c r="C22" s="4" t="s">
        <v>21</v>
      </c>
      <c r="D22" s="6">
        <f>СкладОстатки!C24</f>
        <v>2</v>
      </c>
      <c r="E22" s="6">
        <v>0</v>
      </c>
      <c r="F22" s="6">
        <f>J13*ОсновныеДанные!C7+J12*ОсновныеДанные!C17+J11*ОсновныеДанные!C25</f>
        <v>0.736</v>
      </c>
      <c r="G22" s="6">
        <f t="shared" si="0"/>
        <v>0.736</v>
      </c>
      <c r="H22" s="8">
        <f>СкладОстатки!$C$32/100</f>
        <v>0.15</v>
      </c>
      <c r="I22" s="6">
        <f t="shared" si="1"/>
        <v>0.1104</v>
      </c>
      <c r="J22" s="6">
        <v>0</v>
      </c>
      <c r="K22" s="6">
        <f>MAX(0,G22+I22-D22)</f>
        <v>0</v>
      </c>
      <c r="L22" s="6">
        <f t="shared" si="3"/>
        <v>1.264</v>
      </c>
    </row>
    <row r="23" spans="1:12">
      <c r="A23" s="4">
        <v>2</v>
      </c>
      <c r="B23" s="5" t="s">
        <v>143</v>
      </c>
      <c r="C23" s="4" t="s">
        <v>21</v>
      </c>
      <c r="D23" s="6">
        <f>СкладОстатки!C26</f>
        <v>10</v>
      </c>
      <c r="E23" s="6">
        <v>0</v>
      </c>
      <c r="F23" s="6">
        <f>J13*ОсновныеДанные!C8+J12*ОсновныеДанные!C18+J11*ОсновныеДанные!C26+J14*ОсновныеДанные!C33</f>
        <v>1.043968</v>
      </c>
      <c r="G23" s="6">
        <f t="shared" si="0"/>
        <v>1.043968</v>
      </c>
      <c r="H23" s="8">
        <f>СкладОстатки!$C$32/100</f>
        <v>0.15</v>
      </c>
      <c r="I23" s="6">
        <f t="shared" si="1"/>
        <v>0.1565952</v>
      </c>
      <c r="J23" s="6">
        <v>0</v>
      </c>
      <c r="K23" s="6">
        <f t="shared" si="2"/>
        <v>0</v>
      </c>
      <c r="L23" s="6">
        <f t="shared" si="3"/>
        <v>8.956032</v>
      </c>
    </row>
    <row r="24" spans="1:12">
      <c r="A24" s="4">
        <v>2</v>
      </c>
      <c r="B24" s="5" t="s">
        <v>144</v>
      </c>
      <c r="C24" s="4" t="s">
        <v>21</v>
      </c>
      <c r="D24" s="6">
        <f>СкладОстатки!C25</f>
        <v>50</v>
      </c>
      <c r="E24" s="6">
        <v>0</v>
      </c>
      <c r="F24" s="6">
        <f>J14*ОсновныеДанные!C30</f>
        <v>138.5856</v>
      </c>
      <c r="G24" s="6">
        <f t="shared" si="0"/>
        <v>138.5856</v>
      </c>
      <c r="H24" s="8">
        <f>СкладОстатки!$C$32/100</f>
        <v>0.15</v>
      </c>
      <c r="I24" s="6">
        <f t="shared" si="1"/>
        <v>20.78784</v>
      </c>
      <c r="J24" s="6">
        <v>0</v>
      </c>
      <c r="K24" s="6">
        <f t="shared" si="2"/>
        <v>109.37344</v>
      </c>
      <c r="L24" s="6">
        <f t="shared" si="3"/>
        <v>20.78784</v>
      </c>
    </row>
    <row r="25" spans="1:12">
      <c r="A25" s="4">
        <v>2</v>
      </c>
      <c r="B25" s="5" t="s">
        <v>145</v>
      </c>
      <c r="C25" s="4" t="s">
        <v>21</v>
      </c>
      <c r="D25" s="6">
        <v>0</v>
      </c>
      <c r="E25" s="6">
        <v>0</v>
      </c>
      <c r="F25" s="6">
        <f>J14*ОсновныеДанные!C32</f>
        <v>3.07968</v>
      </c>
      <c r="G25" s="6">
        <f t="shared" si="0"/>
        <v>3.07968</v>
      </c>
      <c r="H25" s="8">
        <f>СкладОстатки!$C$32/100</f>
        <v>0.15</v>
      </c>
      <c r="I25" s="6">
        <f t="shared" si="1"/>
        <v>0.461952</v>
      </c>
      <c r="J25" s="6">
        <v>0</v>
      </c>
      <c r="K25" s="6">
        <f t="shared" si="2"/>
        <v>3.541632</v>
      </c>
      <c r="L25" s="6">
        <f t="shared" si="3"/>
        <v>0.461952</v>
      </c>
    </row>
    <row r="26" spans="1:12">
      <c r="A26" s="4">
        <v>2</v>
      </c>
      <c r="B26" s="5" t="s">
        <v>146</v>
      </c>
      <c r="C26" s="4" t="s">
        <v>21</v>
      </c>
      <c r="D26" s="6">
        <f>СкладОстатки!C27/1000</f>
        <v>0.1</v>
      </c>
      <c r="E26" s="6">
        <v>0</v>
      </c>
      <c r="F26" s="6">
        <f>J14*ОсновныеДанные!C34</f>
        <v>0.461952</v>
      </c>
      <c r="G26" s="6">
        <f t="shared" si="0"/>
        <v>0.461952</v>
      </c>
      <c r="H26" s="8">
        <f>СкладОстатки!$C$32/100</f>
        <v>0.15</v>
      </c>
      <c r="I26" s="6">
        <f t="shared" si="1"/>
        <v>0.0692928</v>
      </c>
      <c r="J26" s="6">
        <v>0</v>
      </c>
      <c r="K26" s="6">
        <f t="shared" si="2"/>
        <v>0.4312448</v>
      </c>
      <c r="L26" s="6">
        <f t="shared" si="3"/>
        <v>0.0692928</v>
      </c>
    </row>
    <row r="27" spans="1:12">
      <c r="A27" s="4">
        <v>2</v>
      </c>
      <c r="B27" s="5" t="s">
        <v>76</v>
      </c>
      <c r="C27" s="4" t="s">
        <v>21</v>
      </c>
      <c r="D27" s="6">
        <v>0</v>
      </c>
      <c r="E27" s="6">
        <v>0</v>
      </c>
      <c r="F27" s="6">
        <f>J5*ОсновныеДанные!C48+J10*ОсновныеДанные!C55</f>
        <v>77.08</v>
      </c>
      <c r="G27" s="6">
        <f t="shared" si="0"/>
        <v>77.08</v>
      </c>
      <c r="H27" s="8">
        <f>СкладОстатки!$C$32/100</f>
        <v>0.15</v>
      </c>
      <c r="I27" s="6">
        <f t="shared" si="1"/>
        <v>11.562</v>
      </c>
      <c r="J27" s="6">
        <v>0</v>
      </c>
      <c r="K27" s="6">
        <f t="shared" si="2"/>
        <v>88.642</v>
      </c>
      <c r="L27" s="6">
        <f t="shared" si="3"/>
        <v>11.562</v>
      </c>
    </row>
    <row r="28" spans="1:12">
      <c r="A28" s="4">
        <v>2</v>
      </c>
      <c r="B28" s="5" t="s">
        <v>79</v>
      </c>
      <c r="C28" s="4" t="s">
        <v>21</v>
      </c>
      <c r="D28" s="6">
        <v>0</v>
      </c>
      <c r="E28" s="6">
        <v>0</v>
      </c>
      <c r="F28" s="6">
        <f>J5*ОсновныеДанные!C49</f>
        <v>70</v>
      </c>
      <c r="G28" s="6">
        <f t="shared" si="0"/>
        <v>70</v>
      </c>
      <c r="H28" s="8">
        <f>СкладОстатки!$C$32/100</f>
        <v>0.15</v>
      </c>
      <c r="I28" s="6">
        <f t="shared" si="1"/>
        <v>10.5</v>
      </c>
      <c r="J28" s="6">
        <v>0</v>
      </c>
      <c r="K28" s="6">
        <f t="shared" si="2"/>
        <v>80.5</v>
      </c>
      <c r="L28" s="6">
        <f t="shared" si="3"/>
        <v>10.5</v>
      </c>
    </row>
    <row r="29" spans="1:12">
      <c r="A29" s="4">
        <v>2</v>
      </c>
      <c r="B29" s="5" t="s">
        <v>81</v>
      </c>
      <c r="C29" s="4" t="s">
        <v>21</v>
      </c>
      <c r="D29" s="6">
        <f>СкладОстатки!C29</f>
        <v>5</v>
      </c>
      <c r="E29" s="6">
        <v>0</v>
      </c>
      <c r="F29" s="6">
        <f>J5*ОсновныеДанные!C50+J6*ОсновныеДанные!C62</f>
        <v>24.875</v>
      </c>
      <c r="G29" s="6">
        <f t="shared" si="0"/>
        <v>24.875</v>
      </c>
      <c r="H29" s="8">
        <f>СкладОстатки!$C$32/100</f>
        <v>0.15</v>
      </c>
      <c r="I29" s="6">
        <f t="shared" si="1"/>
        <v>3.73125</v>
      </c>
      <c r="J29" s="6">
        <v>0</v>
      </c>
      <c r="K29" s="6">
        <f t="shared" si="2"/>
        <v>23.60625</v>
      </c>
      <c r="L29" s="6">
        <f t="shared" si="3"/>
        <v>3.73125</v>
      </c>
    </row>
    <row r="30" spans="1:12">
      <c r="A30" s="4">
        <v>2</v>
      </c>
      <c r="B30" s="5" t="s">
        <v>98</v>
      </c>
      <c r="C30" s="4" t="s">
        <v>21</v>
      </c>
      <c r="D30" s="6">
        <f>СкладОстатки!C28</f>
        <v>15</v>
      </c>
      <c r="E30" s="6">
        <v>0</v>
      </c>
      <c r="F30" s="6">
        <f>J6*ОсновныеДанные!C61</f>
        <v>29.5</v>
      </c>
      <c r="G30" s="6">
        <f t="shared" si="0"/>
        <v>29.5</v>
      </c>
      <c r="H30" s="8">
        <f>СкладОстатки!$C$32/100</f>
        <v>0.15</v>
      </c>
      <c r="I30" s="6">
        <f t="shared" si="1"/>
        <v>4.425</v>
      </c>
      <c r="J30" s="6">
        <v>0</v>
      </c>
      <c r="K30" s="6">
        <f t="shared" si="2"/>
        <v>18.925</v>
      </c>
      <c r="L30" s="6">
        <f t="shared" si="3"/>
        <v>4.425</v>
      </c>
    </row>
    <row r="31" spans="1:12">
      <c r="A31" s="4">
        <v>2</v>
      </c>
      <c r="B31" s="5" t="s">
        <v>147</v>
      </c>
      <c r="C31" s="4" t="s">
        <v>148</v>
      </c>
      <c r="D31" s="6">
        <v>0</v>
      </c>
      <c r="E31" s="6">
        <v>0</v>
      </c>
      <c r="F31" s="6">
        <f>J6*ОсновныеДанные!C63</f>
        <v>29.5</v>
      </c>
      <c r="G31" s="6">
        <f t="shared" si="0"/>
        <v>29.5</v>
      </c>
      <c r="H31" s="8">
        <f>СкладОстатки!$C$32/100</f>
        <v>0.15</v>
      </c>
      <c r="I31" s="6">
        <f t="shared" si="1"/>
        <v>4.425</v>
      </c>
      <c r="J31" s="6">
        <v>0</v>
      </c>
      <c r="K31" s="6">
        <f t="shared" si="2"/>
        <v>33.925</v>
      </c>
      <c r="L31" s="6">
        <f t="shared" si="3"/>
        <v>4.425</v>
      </c>
    </row>
    <row r="33" spans="1:1">
      <c r="A33" s="7" t="s">
        <v>149</v>
      </c>
    </row>
  </sheetData>
  <mergeCells count="5">
    <mergeCell ref="A1:L1"/>
    <mergeCell ref="A4:L4"/>
    <mergeCell ref="A9:L9"/>
    <mergeCell ref="A16:L16"/>
    <mergeCell ref="A33:L36"/>
  </mergeCells>
  <printOptions horizontalCentered="1"/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Задание</vt:lpstr>
      <vt:lpstr>ОсновныеДанные</vt:lpstr>
      <vt:lpstr>СкладОстатки</vt:lpstr>
      <vt:lpstr>ЗаказыКлиентов</vt:lpstr>
      <vt:lpstr>Расчет_ППМ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sasha</cp:lastModifiedBy>
  <dcterms:created xsi:type="dcterms:W3CDTF">2017-02-06T14:32:00Z</dcterms:created>
  <dcterms:modified xsi:type="dcterms:W3CDTF">2026-09-30T17:56:36Z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