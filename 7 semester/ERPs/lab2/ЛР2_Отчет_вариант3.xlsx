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тул" sheetId="1" state="visible" r:id="rId1"/>
    <sheet xmlns:r="http://schemas.openxmlformats.org/officeDocument/2006/relationships" name="Исходные данные" sheetId="2" state="visible" r:id="rId2"/>
    <sheet xmlns:r="http://schemas.openxmlformats.org/officeDocument/2006/relationships" name="1. Бюджет продаж" sheetId="3" state="visible" r:id="rId3"/>
    <sheet xmlns:r="http://schemas.openxmlformats.org/officeDocument/2006/relationships" name="2. График платежей покупателей" sheetId="4" state="visible" r:id="rId4"/>
    <sheet xmlns:r="http://schemas.openxmlformats.org/officeDocument/2006/relationships" name="3. Бюджет производства" sheetId="5" state="visible" r:id="rId5"/>
    <sheet xmlns:r="http://schemas.openxmlformats.org/officeDocument/2006/relationships" name="4. Потребность в Материале 1" sheetId="6" state="visible" r:id="rId6"/>
    <sheet xmlns:r="http://schemas.openxmlformats.org/officeDocument/2006/relationships" name="5. Бюджет закупки Материала 1" sheetId="7" state="visible" r:id="rId7"/>
    <sheet xmlns:r="http://schemas.openxmlformats.org/officeDocument/2006/relationships" name="6. График платежей Поставщику" sheetId="8" state="visible" r:id="rId8"/>
    <sheet xmlns:r="http://schemas.openxmlformats.org/officeDocument/2006/relationships" name="7. Потребность в Рабочем 1" sheetId="9" state="visible" r:id="rId9"/>
    <sheet xmlns:r="http://schemas.openxmlformats.org/officeDocument/2006/relationships" name="8. Расходы на оплату труда" sheetId="10" state="visible" r:id="rId10"/>
    <sheet xmlns:r="http://schemas.openxmlformats.org/officeDocument/2006/relationships" name="9. ОПР (накладные)" sheetId="11" state="visible" r:id="rId11"/>
    <sheet xmlns:r="http://schemas.openxmlformats.org/officeDocument/2006/relationships" name="10. ОХР (накладные)" sheetId="12" state="visible" r:id="rId12"/>
    <sheet xmlns:r="http://schemas.openxmlformats.org/officeDocument/2006/relationships" name="11. Коммерческие расходы" sheetId="13" state="visible" r:id="rId13"/>
    <sheet xmlns:r="http://schemas.openxmlformats.org/officeDocument/2006/relationships" name="12. Бюджет себестоимости" sheetId="14" state="visible" r:id="rId14"/>
    <sheet xmlns:r="http://schemas.openxmlformats.org/officeDocument/2006/relationships" name="13. Отчёт о прибылях" sheetId="15" state="visible" r:id="rId15"/>
    <sheet xmlns:r="http://schemas.openxmlformats.org/officeDocument/2006/relationships" name="14. Движение ДС" sheetId="16" state="visible" r:id="rId16"/>
    <sheet xmlns:r="http://schemas.openxmlformats.org/officeDocument/2006/relationships" name="15. Баланс" sheetId="17" state="visible" r:id="rId17"/>
    <sheet xmlns:r="http://schemas.openxmlformats.org/officeDocument/2006/relationships" name="Проверки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3"/>
    </font>
    <font>
      <color rgb="00000000"/>
      <sz val="11"/>
    </font>
    <font>
      <b val="1"/>
      <color rgb="001F4E78"/>
      <sz val="14"/>
    </font>
    <font>
      <color rgb="00000000"/>
      <sz val="10"/>
    </font>
    <font>
      <b val="1"/>
      <color rgb="001F4E78"/>
      <sz val="11"/>
    </font>
    <font>
      <sz val="11"/>
    </font>
    <font>
      <i val="1"/>
      <color rgb="007F6000"/>
      <sz val="9"/>
    </font>
    <font>
      <b val="1"/>
      <color rgb="00FFFFFF"/>
      <sz val="10"/>
    </font>
    <font>
      <i val="1"/>
      <color rgb="00595959"/>
      <sz val="9"/>
    </font>
    <font/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164" fontId="11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vertical="center" wrapText="1"/>
    </xf>
    <xf numFmtId="1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vertical="center" wrapText="1"/>
    </xf>
    <xf numFmtId="3" fontId="12" fillId="3" borderId="1" applyAlignment="1" pivotButton="0" quotePrefix="0" xfId="0">
      <alignment horizontal="right" vertical="center"/>
    </xf>
    <xf numFmtId="164" fontId="12" fillId="3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righ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8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2">
      <c r="A2" s="1" t="inlineStr">
        <is>
          <t>ЛАБОРАТОРНАЯ РАБОТА № 2</t>
        </is>
      </c>
    </row>
    <row r="3">
      <c r="A3" s="2" t="inlineStr">
        <is>
          <t>«Система взаимосвязанных технико-экономических (управленческих) показателей организации»</t>
        </is>
      </c>
    </row>
    <row r="4">
      <c r="A4" s="3" t="inlineStr">
        <is>
          <t>по дисциплине «Внутрифирменное планирование»</t>
        </is>
      </c>
    </row>
    <row r="5">
      <c r="A5" s="4" t="inlineStr">
        <is>
          <t>ВАРИАНТ 3</t>
        </is>
      </c>
    </row>
    <row r="6">
      <c r="A6" s="5" t="inlineStr"/>
    </row>
    <row r="7">
      <c r="A7" s="3" t="inlineStr">
        <is>
          <t>Выполнено: студент(ка) _______________  Группа ______</t>
        </is>
      </c>
    </row>
    <row r="8">
      <c r="A8" s="3" t="inlineStr">
        <is>
          <t>Проверил: _________________</t>
        </is>
      </c>
    </row>
    <row r="9">
      <c r="A9" s="5" t="inlineStr"/>
    </row>
    <row r="10">
      <c r="A10" s="6" t="inlineStr">
        <is>
          <t>Состав системы показателей (управленческих таблиц):</t>
        </is>
      </c>
    </row>
    <row r="11">
      <c r="A11" s="7" t="inlineStr">
        <is>
          <t xml:space="preserve">  1 – Бюджет продаж (рыночное планирование);</t>
        </is>
      </c>
    </row>
    <row r="12">
      <c r="A12" s="7" t="inlineStr">
        <is>
          <t xml:space="preserve">  2 – График поступления платежей от покупателей;</t>
        </is>
      </c>
    </row>
    <row r="13">
      <c r="A13" s="7" t="inlineStr">
        <is>
          <t xml:space="preserve">  3 – Бюджет производства и запасов готовой продукции;</t>
        </is>
      </c>
    </row>
    <row r="14">
      <c r="A14" s="7" t="inlineStr">
        <is>
          <t xml:space="preserve">  4 – Бюджет потребности в Материале 1;</t>
        </is>
      </c>
    </row>
    <row r="15">
      <c r="A15" s="7" t="inlineStr">
        <is>
          <t xml:space="preserve">  5 – Бюджет закупки Материала 1 у Поставщика 1;</t>
        </is>
      </c>
    </row>
    <row r="16">
      <c r="A16" s="7" t="inlineStr">
        <is>
          <t xml:space="preserve">  6 – График платежей Поставщику 1;</t>
        </is>
      </c>
    </row>
    <row r="17">
      <c r="A17" s="7" t="inlineStr">
        <is>
          <t xml:space="preserve">  7 – Бюджет потребности в Рабочем 1;</t>
        </is>
      </c>
    </row>
    <row r="18">
      <c r="A18" s="7" t="inlineStr">
        <is>
          <t xml:space="preserve">  8 – Бюджет расходов на оплату труда Рабочего 1;</t>
        </is>
      </c>
    </row>
    <row r="19">
      <c r="A19" s="7" t="inlineStr">
        <is>
          <t xml:space="preserve">  9 – Бюджет общепроизводственных расходов;</t>
        </is>
      </c>
    </row>
    <row r="20">
      <c r="A20" s="7" t="inlineStr">
        <is>
          <t xml:space="preserve"> 10 – Бюджет общехозяйственных расходов;</t>
        </is>
      </c>
    </row>
    <row r="21">
      <c r="A21" s="7" t="inlineStr">
        <is>
          <t xml:space="preserve"> 11 – Бюджет коммерческих расходов;</t>
        </is>
      </c>
    </row>
    <row r="22">
      <c r="A22" s="7" t="inlineStr">
        <is>
          <t xml:space="preserve"> 12 – Бюджет себестоимости;</t>
        </is>
      </c>
    </row>
    <row r="23">
      <c r="A23" s="7" t="inlineStr">
        <is>
          <t xml:space="preserve"> 13 – Отчёт о прибылях и убытках;</t>
        </is>
      </c>
    </row>
    <row r="24">
      <c r="A24" s="7" t="inlineStr">
        <is>
          <t xml:space="preserve"> 14 – Прогноз движения денежных средств;</t>
        </is>
      </c>
    </row>
    <row r="25">
      <c r="A25" s="7" t="inlineStr">
        <is>
          <t xml:space="preserve"> 15 – Баланс.</t>
        </is>
      </c>
    </row>
    <row r="28">
      <c r="A28" s="8" t="inlineStr">
        <is>
          <t>Примечание. Колонки «факт» и «отклонение», предусмотренные шаблоном, заполняются на этапе контроля выполнения плана; в настоящем отчёте приводится плановая составляющая.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  <col width="8" customWidth="1" min="3" max="3"/>
    <col width="14" customWidth="1" min="4" max="4"/>
    <col width="12" customWidth="1" min="5" max="5"/>
    <col width="60" customWidth="1" min="6" max="6"/>
  </cols>
  <sheetData>
    <row r="1">
      <c r="A1" s="2" t="inlineStr">
        <is>
          <t>Исходные данные (вариант 3)</t>
        </is>
      </c>
    </row>
    <row r="3">
      <c r="A3" s="9" t="inlineStr">
        <is>
          <t>Материал/услуга/ресурс</t>
        </is>
      </c>
      <c r="B3" s="9" t="inlineStr">
        <is>
          <t>Показатель</t>
        </is>
      </c>
      <c r="C3" s="9" t="inlineStr">
        <is>
          <t>Обозн.</t>
        </is>
      </c>
      <c r="D3" s="9" t="inlineStr">
        <is>
          <t>Ед. изм.</t>
        </is>
      </c>
      <c r="E3" s="9" t="inlineStr">
        <is>
          <t>Значение</t>
        </is>
      </c>
      <c r="F3" s="9" t="inlineStr">
        <is>
          <t>Комментарий</t>
        </is>
      </c>
    </row>
    <row r="4">
      <c r="A4" s="10" t="inlineStr">
        <is>
          <t>Продукт А</t>
        </is>
      </c>
      <c r="B4" s="10" t="inlineStr">
        <is>
          <t>Объём продаж в натуральном выражении</t>
        </is>
      </c>
      <c r="C4" s="11" t="inlineStr">
        <is>
          <t>ОП</t>
        </is>
      </c>
      <c r="D4" s="11" t="inlineStr">
        <is>
          <t>шт</t>
        </is>
      </c>
      <c r="E4" s="12" t="n">
        <v>150</v>
      </c>
      <c r="F4" s="10" t="inlineStr"/>
    </row>
    <row r="5">
      <c r="A5" s="10" t="inlineStr">
        <is>
          <t>Продукт В</t>
        </is>
      </c>
      <c r="B5" s="10" t="inlineStr">
        <is>
          <t>Объём продаж в натуральном выражении</t>
        </is>
      </c>
      <c r="C5" s="11" t="inlineStr">
        <is>
          <t>ОП</t>
        </is>
      </c>
      <c r="D5" s="11" t="inlineStr">
        <is>
          <t>шт</t>
        </is>
      </c>
      <c r="E5" s="12" t="n">
        <v>380</v>
      </c>
      <c r="F5" s="10" t="inlineStr"/>
    </row>
    <row r="6">
      <c r="A6" s="10" t="inlineStr">
        <is>
          <t>Продукт А</t>
        </is>
      </c>
      <c r="B6" s="10" t="inlineStr">
        <is>
          <t>Цена реализации</t>
        </is>
      </c>
      <c r="C6" s="11" t="inlineStr">
        <is>
          <t>Ц</t>
        </is>
      </c>
      <c r="D6" s="11" t="inlineStr">
        <is>
          <t>руб.</t>
        </is>
      </c>
      <c r="E6" s="12" t="n">
        <v>5000</v>
      </c>
      <c r="F6" s="10" t="inlineStr"/>
    </row>
    <row r="7">
      <c r="A7" s="10" t="inlineStr">
        <is>
          <t>Продукт В</t>
        </is>
      </c>
      <c r="B7" s="10" t="inlineStr">
        <is>
          <t>Цена реализации</t>
        </is>
      </c>
      <c r="C7" s="11" t="inlineStr">
        <is>
          <t>Ц</t>
        </is>
      </c>
      <c r="D7" s="11" t="inlineStr">
        <is>
          <t>руб.</t>
        </is>
      </c>
      <c r="E7" s="12" t="n">
        <v>4500</v>
      </c>
      <c r="F7" s="10" t="inlineStr"/>
    </row>
    <row r="8">
      <c r="A8" s="10" t="inlineStr">
        <is>
          <t>Продукт А</t>
        </is>
      </c>
      <c r="B8" s="10" t="inlineStr">
        <is>
          <t>Политика взаимоотношений с Покупателем 1</t>
        </is>
      </c>
      <c r="C8" s="11" t="inlineStr"/>
      <c r="D8" s="11" t="inlineStr">
        <is>
          <t>%</t>
        </is>
      </c>
      <c r="E8" s="12" t="n">
        <v>50</v>
      </c>
      <c r="F8" s="10" t="inlineStr">
        <is>
          <t>оплата в периоде отгрузки 50%, в следующем периоде 50%</t>
        </is>
      </c>
    </row>
    <row r="9">
      <c r="A9" s="10" t="inlineStr">
        <is>
          <t>Продукт В</t>
        </is>
      </c>
      <c r="B9" s="10" t="inlineStr">
        <is>
          <t>Политика взаимоотношений с Покупателем 1</t>
        </is>
      </c>
      <c r="C9" s="11" t="inlineStr"/>
      <c r="D9" s="11" t="inlineStr">
        <is>
          <t>%</t>
        </is>
      </c>
      <c r="E9" s="12" t="n">
        <v>50</v>
      </c>
      <c r="F9" s="10" t="inlineStr">
        <is>
          <t>оплата в периоде отгрузки 50%, в следующем периоде 50%</t>
        </is>
      </c>
    </row>
    <row r="10">
      <c r="A10" s="10" t="inlineStr">
        <is>
          <t>Продукт А</t>
        </is>
      </c>
      <c r="B10" s="10" t="inlineStr">
        <is>
          <t>Остаток на начало года</t>
        </is>
      </c>
      <c r="C10" s="11" t="inlineStr"/>
      <c r="D10" s="11" t="inlineStr">
        <is>
          <t>шт</t>
        </is>
      </c>
      <c r="E10" s="12" t="n">
        <v>25</v>
      </c>
      <c r="F10" s="10" t="inlineStr">
        <is>
          <t>В исходных данных указано 250 – условно принято 25 (по согласованию), т.к. иначе объём производства А в 1 кв. отрицательный</t>
        </is>
      </c>
    </row>
    <row r="11">
      <c r="A11" s="10" t="inlineStr">
        <is>
          <t>Продукт В</t>
        </is>
      </c>
      <c r="B11" s="10" t="inlineStr">
        <is>
          <t>Остаток на начало года</t>
        </is>
      </c>
      <c r="C11" s="11" t="inlineStr"/>
      <c r="D11" s="11" t="inlineStr">
        <is>
          <t>шт</t>
        </is>
      </c>
      <c r="E11" s="12" t="n">
        <v>10</v>
      </c>
      <c r="F11" s="10" t="inlineStr"/>
    </row>
    <row r="12">
      <c r="A12" s="10" t="inlineStr">
        <is>
          <t>Продукт А</t>
        </is>
      </c>
      <c r="B12" s="10" t="inlineStr">
        <is>
          <t>Политика запасов по Продукту А</t>
        </is>
      </c>
      <c r="C12" s="11" t="inlineStr"/>
      <c r="D12" s="11" t="inlineStr">
        <is>
          <t>%</t>
        </is>
      </c>
      <c r="E12" s="12" t="n">
        <v>40</v>
      </c>
      <c r="F12" s="10" t="inlineStr">
        <is>
          <t>на конец квартала запас = 40% потребностей следующего периода</t>
        </is>
      </c>
    </row>
    <row r="13">
      <c r="A13" s="10" t="inlineStr">
        <is>
          <t>Продукт В</t>
        </is>
      </c>
      <c r="B13" s="10" t="inlineStr">
        <is>
          <t>Политика запасов по Продукту В</t>
        </is>
      </c>
      <c r="C13" s="11" t="inlineStr"/>
      <c r="D13" s="11" t="inlineStr">
        <is>
          <t>%</t>
        </is>
      </c>
      <c r="E13" s="12" t="n">
        <v>10</v>
      </c>
      <c r="F13" s="10" t="inlineStr">
        <is>
          <t>на конец квартала запас = 10% потребностей следующего периода</t>
        </is>
      </c>
    </row>
    <row r="14">
      <c r="A14" s="10" t="inlineStr">
        <is>
          <t>Продукт А</t>
        </is>
      </c>
      <c r="B14" s="10" t="inlineStr">
        <is>
          <t>Спецификация: Материал 1 / Рабочий 1</t>
        </is>
      </c>
      <c r="C14" s="11" t="inlineStr">
        <is>
          <t>М1/Р1</t>
        </is>
      </c>
      <c r="D14" s="11" t="inlineStr">
        <is>
          <t>м; чел-ч</t>
        </is>
      </c>
      <c r="E14" s="11" t="inlineStr">
        <is>
          <t>8; 10</t>
        </is>
      </c>
      <c r="F14" s="10" t="inlineStr">
        <is>
          <t>норма расхода на единицу</t>
        </is>
      </c>
    </row>
    <row r="15">
      <c r="A15" s="10" t="inlineStr">
        <is>
          <t>Продукт В</t>
        </is>
      </c>
      <c r="B15" s="10" t="inlineStr">
        <is>
          <t>Спецификация: Материал 1 / Рабочий 1</t>
        </is>
      </c>
      <c r="C15" s="11" t="inlineStr">
        <is>
          <t>М1/Р1</t>
        </is>
      </c>
      <c r="D15" s="11" t="inlineStr">
        <is>
          <t>м; чел-ч</t>
        </is>
      </c>
      <c r="E15" s="11" t="inlineStr">
        <is>
          <t>5; 2</t>
        </is>
      </c>
      <c r="F15" s="10" t="inlineStr">
        <is>
          <t>норма расхода на единицу</t>
        </is>
      </c>
    </row>
    <row r="16">
      <c r="A16" s="10" t="inlineStr">
        <is>
          <t>Материал 1</t>
        </is>
      </c>
      <c r="B16" s="10" t="inlineStr">
        <is>
          <t>Цена закупки</t>
        </is>
      </c>
      <c r="C16" s="11" t="inlineStr">
        <is>
          <t>Цм</t>
        </is>
      </c>
      <c r="D16" s="11" t="inlineStr">
        <is>
          <t>руб.</t>
        </is>
      </c>
      <c r="E16" s="12" t="n">
        <v>100</v>
      </c>
      <c r="F16" s="10" t="inlineStr"/>
    </row>
    <row r="17">
      <c r="A17" s="10" t="inlineStr">
        <is>
          <t>Материал 1</t>
        </is>
      </c>
      <c r="B17" s="10" t="inlineStr">
        <is>
          <t>Политика запасов по Материалу 1</t>
        </is>
      </c>
      <c r="C17" s="11" t="inlineStr"/>
      <c r="D17" s="11" t="inlineStr">
        <is>
          <t>%</t>
        </is>
      </c>
      <c r="E17" s="12" t="n">
        <v>10</v>
      </c>
      <c r="F17" s="10" t="inlineStr">
        <is>
          <t>на конец квартала запас = 10% потребностей следующего периода</t>
        </is>
      </c>
    </row>
    <row r="18">
      <c r="A18" s="10" t="inlineStr">
        <is>
          <t>Материал 1</t>
        </is>
      </c>
      <c r="B18" s="10" t="inlineStr">
        <is>
          <t>Политика взаимоотношений с Поставщиком 1</t>
        </is>
      </c>
      <c r="C18" s="11" t="inlineStr"/>
      <c r="D18" s="11" t="inlineStr">
        <is>
          <t>%</t>
        </is>
      </c>
      <c r="E18" s="12" t="n">
        <v>90</v>
      </c>
      <c r="F18" s="10" t="inlineStr">
        <is>
          <t>оплата 90% в периоде поставки, 10% – в следующем периоде</t>
        </is>
      </c>
    </row>
    <row r="19">
      <c r="A19" s="10" t="inlineStr">
        <is>
          <t>Материал 1</t>
        </is>
      </c>
      <c r="B19" s="10" t="inlineStr">
        <is>
          <t>Остаток на начало года</t>
        </is>
      </c>
      <c r="C19" s="11" t="inlineStr"/>
      <c r="D19" s="11" t="inlineStr">
        <is>
          <t>м</t>
        </is>
      </c>
      <c r="E19" s="12" t="n">
        <v>60</v>
      </c>
      <c r="F19" s="10" t="inlineStr"/>
    </row>
    <row r="20">
      <c r="A20" s="10" t="inlineStr">
        <is>
          <t>Рабочий 1</t>
        </is>
      </c>
      <c r="B20" s="10" t="inlineStr">
        <is>
          <t>Часовая тарифная ставка</t>
        </is>
      </c>
      <c r="C20" s="11" t="inlineStr">
        <is>
          <t>ЧТС</t>
        </is>
      </c>
      <c r="D20" s="11" t="inlineStr">
        <is>
          <t>руб.</t>
        </is>
      </c>
      <c r="E20" s="12" t="n">
        <v>120</v>
      </c>
      <c r="F20" s="10" t="inlineStr"/>
    </row>
    <row r="21">
      <c r="A21" s="10" t="inlineStr">
        <is>
          <t>Отчисления в ФСЗН</t>
        </is>
      </c>
      <c r="B21" s="10" t="inlineStr"/>
      <c r="C21" s="11" t="inlineStr"/>
      <c r="D21" s="11" t="inlineStr">
        <is>
          <t>%</t>
        </is>
      </c>
      <c r="E21" s="12" t="n">
        <v>35</v>
      </c>
      <c r="F21" s="10" t="inlineStr">
        <is>
          <t>от фонда оплаты труда</t>
        </is>
      </c>
    </row>
    <row r="22">
      <c r="A22" s="10" t="inlineStr"/>
      <c r="B22" s="10" t="inlineStr">
        <is>
          <t>Электроэнергия на производственные цели</t>
        </is>
      </c>
      <c r="C22" s="11" t="inlineStr"/>
      <c r="D22" s="11" t="inlineStr">
        <is>
          <t>руб./год</t>
        </is>
      </c>
      <c r="E22" s="12" t="n">
        <v>35000</v>
      </c>
      <c r="F22" s="10" t="inlineStr"/>
    </row>
    <row r="23">
      <c r="A23" s="10" t="inlineStr"/>
      <c r="B23" s="10" t="inlineStr">
        <is>
          <t>Амортизация производственного оборудования</t>
        </is>
      </c>
      <c r="C23" s="11" t="inlineStr"/>
      <c r="D23" s="11" t="inlineStr">
        <is>
          <t>руб./год</t>
        </is>
      </c>
      <c r="E23" s="12" t="n">
        <v>20000</v>
      </c>
      <c r="F23" s="10" t="inlineStr"/>
    </row>
    <row r="24">
      <c r="A24" s="10" t="inlineStr"/>
      <c r="B24" s="10" t="inlineStr">
        <is>
          <t>Электроэнергия на общехозяйственные цели</t>
        </is>
      </c>
      <c r="C24" s="11" t="inlineStr"/>
      <c r="D24" s="11" t="inlineStr">
        <is>
          <t>руб./год</t>
        </is>
      </c>
      <c r="E24" s="12" t="n">
        <v>40000</v>
      </c>
      <c r="F24" s="10" t="inlineStr"/>
    </row>
    <row r="25">
      <c r="A25" s="10" t="inlineStr"/>
      <c r="B25" s="10" t="inlineStr">
        <is>
          <t>Телефон, Интернет</t>
        </is>
      </c>
      <c r="C25" s="11" t="inlineStr"/>
      <c r="D25" s="11" t="inlineStr">
        <is>
          <t>руб./год</t>
        </is>
      </c>
      <c r="E25" s="12" t="n">
        <v>42000</v>
      </c>
      <c r="F25" s="10" t="inlineStr"/>
    </row>
    <row r="26">
      <c r="A26" s="10" t="inlineStr"/>
      <c r="B26" s="10" t="inlineStr">
        <is>
          <t>ЗП АУП производства</t>
        </is>
      </c>
      <c r="C26" s="11" t="inlineStr"/>
      <c r="D26" s="11" t="inlineStr">
        <is>
          <t>руб./год</t>
        </is>
      </c>
      <c r="E26" s="12" t="n">
        <v>65200</v>
      </c>
      <c r="F26" s="10" t="inlineStr"/>
    </row>
    <row r="27">
      <c r="A27" s="10" t="inlineStr"/>
      <c r="B27" s="10" t="inlineStr">
        <is>
          <t>ЗП АУП</t>
        </is>
      </c>
      <c r="C27" s="11" t="inlineStr"/>
      <c r="D27" s="11" t="inlineStr">
        <is>
          <t>руб./год</t>
        </is>
      </c>
      <c r="E27" s="12" t="n">
        <v>52000</v>
      </c>
      <c r="F27" s="10" t="inlineStr"/>
    </row>
    <row r="28">
      <c r="A28" s="10" t="inlineStr"/>
      <c r="B28" s="10" t="inlineStr">
        <is>
          <t>Командировочные расходы</t>
        </is>
      </c>
      <c r="C28" s="11" t="inlineStr"/>
      <c r="D28" s="11" t="inlineStr">
        <is>
          <t>руб./год</t>
        </is>
      </c>
      <c r="E28" s="12" t="n">
        <v>53000</v>
      </c>
      <c r="F28" s="10" t="inlineStr"/>
    </row>
    <row r="29">
      <c r="A29" s="10" t="inlineStr"/>
      <c r="B29" s="10" t="inlineStr">
        <is>
          <t>Реклама</t>
        </is>
      </c>
      <c r="C29" s="11" t="inlineStr"/>
      <c r="D29" s="11" t="inlineStr">
        <is>
          <t>руб./год</t>
        </is>
      </c>
      <c r="E29" s="12" t="n">
        <v>29000</v>
      </c>
      <c r="F29" s="10" t="inlineStr"/>
    </row>
    <row r="30">
      <c r="A30" s="10" t="inlineStr"/>
      <c r="B30" s="10" t="inlineStr">
        <is>
          <t>Расходы на упаковку</t>
        </is>
      </c>
      <c r="C30" s="11" t="inlineStr"/>
      <c r="D30" s="11" t="inlineStr">
        <is>
          <t>руб./год</t>
        </is>
      </c>
      <c r="E30" s="12" t="n">
        <v>24000</v>
      </c>
      <c r="F30" s="10" t="inlineStr"/>
    </row>
    <row r="31">
      <c r="A31" s="10" t="inlineStr"/>
      <c r="B31" s="10" t="inlineStr">
        <is>
          <t>ТЗР, норматив в квартал</t>
        </is>
      </c>
      <c r="C31" s="11" t="inlineStr"/>
      <c r="D31" s="11" t="inlineStr">
        <is>
          <t>руб./кв</t>
        </is>
      </c>
      <c r="E31" s="12" t="n">
        <v>5500</v>
      </c>
      <c r="F31" s="10" t="inlineStr"/>
    </row>
    <row r="32">
      <c r="A32" s="10" t="inlineStr"/>
      <c r="B32" s="10" t="inlineStr">
        <is>
          <t>Налог на прибыль</t>
        </is>
      </c>
      <c r="C32" s="11" t="inlineStr"/>
      <c r="D32" s="11" t="inlineStr">
        <is>
          <t>%</t>
        </is>
      </c>
      <c r="E32" s="12" t="n">
        <v>24</v>
      </c>
      <c r="F32" s="10" t="inlineStr"/>
    </row>
    <row r="33">
      <c r="A33" s="10" t="inlineStr"/>
      <c r="B33" s="10" t="inlineStr">
        <is>
          <t>Остаток денежных средств на начало</t>
        </is>
      </c>
      <c r="C33" s="11" t="inlineStr"/>
      <c r="D33" s="11" t="inlineStr">
        <is>
          <t>руб.</t>
        </is>
      </c>
      <c r="E33" s="12" t="n">
        <v>200000</v>
      </c>
      <c r="F33" s="10" t="inlineStr"/>
    </row>
    <row r="34">
      <c r="A34" s="10" t="inlineStr"/>
      <c r="B34" s="10" t="inlineStr">
        <is>
          <t>Объём реализации распределяется по кварталам равномерно (остаток – в 4-й квартал)</t>
        </is>
      </c>
      <c r="C34" s="11" t="inlineStr"/>
      <c r="D34" s="11" t="inlineStr"/>
      <c r="E34" s="11" t="inlineStr"/>
      <c r="F34" s="10" t="inlineStr"/>
    </row>
    <row r="35">
      <c r="A35" s="8" t="inlineStr">
        <is>
          <t>Накладные расходы распределены равномерно по кварталам. Политика оплаты: расходы (кроме закупки материала) оплачиваются в квартале возникновения.</t>
        </is>
      </c>
    </row>
  </sheetData>
  <mergeCells count="2">
    <mergeCell ref="A1:F1"/>
    <mergeCell ref="A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55" customWidth="1" min="9" max="9"/>
  </cols>
  <sheetData>
    <row r="1">
      <c r="A1" s="2" t="inlineStr">
        <is>
          <t>1. Бюджет продаж</t>
        </is>
      </c>
    </row>
    <row r="2">
      <c r="A2" s="13" t="inlineStr">
        <is>
          <t>Рыночное планирование — Подразделение по продажам (сбыту). Плановый период: год, разбивка квартальная.</t>
        </is>
      </c>
    </row>
    <row r="4">
      <c r="A4" s="9" t="inlineStr">
        <is>
          <t>№ п/п</t>
        </is>
      </c>
      <c r="B4" s="9" t="inlineStr">
        <is>
          <t>Наименование показателя</t>
        </is>
      </c>
      <c r="C4" s="9" t="inlineStr">
        <is>
          <t>Ед. изм.</t>
        </is>
      </c>
      <c r="D4" s="9" t="inlineStr">
        <is>
          <t>Квартал 1</t>
        </is>
      </c>
      <c r="E4" s="9" t="inlineStr">
        <is>
          <t>Квартал 2</t>
        </is>
      </c>
      <c r="F4" s="9" t="inlineStr">
        <is>
          <t>Квартал 3</t>
        </is>
      </c>
      <c r="G4" s="9" t="inlineStr">
        <is>
          <t>Квартал 4</t>
        </is>
      </c>
      <c r="H4" s="9" t="inlineStr">
        <is>
          <t>Итого за год</t>
        </is>
      </c>
      <c r="I4" s="9" t="inlineStr">
        <is>
          <t>Порядок расчёта (ссылка)</t>
        </is>
      </c>
    </row>
    <row r="5">
      <c r="A5" s="14" t="inlineStr">
        <is>
          <t>1</t>
        </is>
      </c>
      <c r="B5" s="15" t="inlineStr">
        <is>
          <t>Объём продаж «Продукт А»</t>
        </is>
      </c>
      <c r="C5" s="14" t="inlineStr">
        <is>
          <t>шт</t>
        </is>
      </c>
      <c r="D5" s="16" t="n">
        <v>37</v>
      </c>
      <c r="E5" s="16" t="n">
        <v>37</v>
      </c>
      <c r="F5" s="16" t="n">
        <v>37</v>
      </c>
      <c r="G5" s="16" t="n">
        <v>39</v>
      </c>
      <c r="H5" s="16" t="n">
        <v>150</v>
      </c>
      <c r="I5" s="17" t="inlineStr">
        <is>
          <t>Исходные данные (ОП_А=150); равномерно по кварталам, остаток на 4 кв.</t>
        </is>
      </c>
    </row>
    <row r="6">
      <c r="A6" s="14" t="inlineStr">
        <is>
          <t>2</t>
        </is>
      </c>
      <c r="B6" s="15" t="inlineStr">
        <is>
          <t>Объём продаж «Продукт В»</t>
        </is>
      </c>
      <c r="C6" s="14" t="inlineStr">
        <is>
          <t>шт</t>
        </is>
      </c>
      <c r="D6" s="16" t="n">
        <v>95</v>
      </c>
      <c r="E6" s="16" t="n">
        <v>95</v>
      </c>
      <c r="F6" s="16" t="n">
        <v>95</v>
      </c>
      <c r="G6" s="16" t="n">
        <v>95</v>
      </c>
      <c r="H6" s="16" t="n">
        <v>380</v>
      </c>
      <c r="I6" s="17" t="inlineStr">
        <is>
          <t>Исходные данные (ОП_В=380); равномерно по кварталам</t>
        </is>
      </c>
    </row>
    <row r="7">
      <c r="A7" s="14" t="inlineStr">
        <is>
          <t>3</t>
        </is>
      </c>
      <c r="B7" s="15" t="inlineStr">
        <is>
          <t>Цена «Продукт А»</t>
        </is>
      </c>
      <c r="C7" s="14" t="inlineStr">
        <is>
          <t>руб.</t>
        </is>
      </c>
      <c r="D7" s="18" t="n">
        <v>5000</v>
      </c>
      <c r="E7" s="18" t="n">
        <v>5000</v>
      </c>
      <c r="F7" s="18" t="n">
        <v>5000</v>
      </c>
      <c r="G7" s="18" t="n">
        <v>5000</v>
      </c>
      <c r="H7" s="18" t="n">
        <v>5000</v>
      </c>
      <c r="I7" s="17" t="inlineStr">
        <is>
          <t>Исходные данные (Ц_А=5000)</t>
        </is>
      </c>
    </row>
    <row r="8">
      <c r="A8" s="14" t="inlineStr">
        <is>
          <t>4</t>
        </is>
      </c>
      <c r="B8" s="15" t="inlineStr">
        <is>
          <t>Цена «Продукт В»</t>
        </is>
      </c>
      <c r="C8" s="14" t="inlineStr">
        <is>
          <t>руб.</t>
        </is>
      </c>
      <c r="D8" s="18" t="n">
        <v>4500</v>
      </c>
      <c r="E8" s="18" t="n">
        <v>4500</v>
      </c>
      <c r="F8" s="18" t="n">
        <v>4500</v>
      </c>
      <c r="G8" s="18" t="n">
        <v>4500</v>
      </c>
      <c r="H8" s="18" t="n">
        <v>4500</v>
      </c>
      <c r="I8" s="17" t="inlineStr">
        <is>
          <t>Исходные данные (Ц_В=4500)</t>
        </is>
      </c>
    </row>
    <row r="9">
      <c r="A9" s="14" t="inlineStr">
        <is>
          <t>5</t>
        </is>
      </c>
      <c r="B9" s="15" t="inlineStr">
        <is>
          <t>Объём продаж «Продукт А»</t>
        </is>
      </c>
      <c r="C9" s="14" t="inlineStr">
        <is>
          <t>руб.</t>
        </is>
      </c>
      <c r="D9" s="19" t="n">
        <v>185000</v>
      </c>
      <c r="E9" s="19" t="n">
        <v>185000</v>
      </c>
      <c r="F9" s="19" t="n">
        <v>185000</v>
      </c>
      <c r="G9" s="19" t="n">
        <v>195000</v>
      </c>
      <c r="H9" s="19" t="n">
        <v>750000</v>
      </c>
      <c r="I9" s="17">
        <f> стр.1 × стр.3</f>
        <v/>
      </c>
    </row>
    <row r="10">
      <c r="A10" s="14" t="inlineStr">
        <is>
          <t>6</t>
        </is>
      </c>
      <c r="B10" s="15" t="inlineStr">
        <is>
          <t>Объём продаж «Продукт В»</t>
        </is>
      </c>
      <c r="C10" s="14" t="inlineStr">
        <is>
          <t>руб.</t>
        </is>
      </c>
      <c r="D10" s="19" t="n">
        <v>427500</v>
      </c>
      <c r="E10" s="19" t="n">
        <v>427500</v>
      </c>
      <c r="F10" s="19" t="n">
        <v>427500</v>
      </c>
      <c r="G10" s="19" t="n">
        <v>427500</v>
      </c>
      <c r="H10" s="19" t="n">
        <v>1710000</v>
      </c>
      <c r="I10" s="17">
        <f> стр.2 × стр.4</f>
        <v/>
      </c>
    </row>
    <row r="11">
      <c r="A11" s="20" t="inlineStr">
        <is>
          <t>7</t>
        </is>
      </c>
      <c r="B11" s="21" t="inlineStr">
        <is>
          <t>ИТОГО объём продаж</t>
        </is>
      </c>
      <c r="C11" s="20" t="inlineStr">
        <is>
          <t>руб.</t>
        </is>
      </c>
      <c r="D11" s="22" t="n">
        <v>612500</v>
      </c>
      <c r="E11" s="22" t="n">
        <v>612500</v>
      </c>
      <c r="F11" s="22" t="n">
        <v>612500</v>
      </c>
      <c r="G11" s="22" t="n">
        <v>622500</v>
      </c>
      <c r="H11" s="22" t="n">
        <v>2460000</v>
      </c>
      <c r="I11" s="17">
        <f> стр.5 + стр.6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55" customWidth="1" min="9" max="9"/>
  </cols>
  <sheetData>
    <row r="1">
      <c r="A1" s="2" t="inlineStr">
        <is>
          <t>2. График платежей покупателей</t>
        </is>
      </c>
    </row>
    <row r="2">
      <c r="A2" s="13" t="inlineStr">
        <is>
          <t>Политика расчетов с покупателем: 50% в квартале покупки, 50% в квартале, следующем за кварталом покупки.</t>
        </is>
      </c>
    </row>
    <row r="4">
      <c r="A4" s="9" t="inlineStr">
        <is>
          <t>№ п/п</t>
        </is>
      </c>
      <c r="B4" s="9" t="inlineStr">
        <is>
          <t>Наименование показателя</t>
        </is>
      </c>
      <c r="C4" s="9" t="inlineStr">
        <is>
          <t>Ед. изм.</t>
        </is>
      </c>
      <c r="D4" s="9" t="inlineStr">
        <is>
          <t>Квартал 1</t>
        </is>
      </c>
      <c r="E4" s="9" t="inlineStr">
        <is>
          <t>Квартал 2</t>
        </is>
      </c>
      <c r="F4" s="9" t="inlineStr">
        <is>
          <t>Квартал 3</t>
        </is>
      </c>
      <c r="G4" s="9" t="inlineStr">
        <is>
          <t>Квартал 4</t>
        </is>
      </c>
      <c r="H4" s="9" t="inlineStr">
        <is>
          <t>Итого за год</t>
        </is>
      </c>
      <c r="I4" s="9" t="inlineStr">
        <is>
          <t>Порядок расчёта (ссылка)</t>
        </is>
      </c>
    </row>
    <row r="5">
      <c r="A5" s="14" t="inlineStr">
        <is>
          <t>1</t>
        </is>
      </c>
      <c r="B5" s="15" t="inlineStr">
        <is>
          <t>Платежи 1-го квартала, руб.</t>
        </is>
      </c>
      <c r="C5" s="14" t="inlineStr">
        <is>
          <t>руб.</t>
        </is>
      </c>
      <c r="D5" s="19" t="n">
        <v>306250</v>
      </c>
      <c r="E5" s="19" t="n">
        <v>306250</v>
      </c>
      <c r="F5" s="19" t="n">
        <v>0</v>
      </c>
      <c r="G5" s="19" t="n">
        <v>0</v>
      </c>
      <c r="H5" s="19" t="n">
        <v>612500</v>
      </c>
      <c r="I5" s="17">
        <f> 50% от объёма продаж 1 кв. №1 стр.7</f>
        <v/>
      </c>
    </row>
    <row r="6">
      <c r="A6" s="14" t="inlineStr">
        <is>
          <t>2</t>
        </is>
      </c>
      <c r="B6" s="15" t="inlineStr">
        <is>
          <t>Платежи 2-го квартала, руб.</t>
        </is>
      </c>
      <c r="C6" s="14" t="inlineStr">
        <is>
          <t>руб.</t>
        </is>
      </c>
      <c r="D6" s="19" t="n">
        <v>0</v>
      </c>
      <c r="E6" s="19" t="n">
        <v>306250</v>
      </c>
      <c r="F6" s="19" t="n">
        <v>306250</v>
      </c>
      <c r="G6" s="19" t="n">
        <v>0</v>
      </c>
      <c r="H6" s="19" t="n">
        <v>612500</v>
      </c>
      <c r="I6" s="17">
        <f> 50% прод. 1 кв. + 50% прод. 2 кв.</f>
        <v/>
      </c>
    </row>
    <row r="7">
      <c r="A7" s="14" t="inlineStr">
        <is>
          <t>3</t>
        </is>
      </c>
      <c r="B7" s="15" t="inlineStr">
        <is>
          <t>Платежи 3-го квартала, руб.</t>
        </is>
      </c>
      <c r="C7" s="14" t="inlineStr">
        <is>
          <t>руб.</t>
        </is>
      </c>
      <c r="D7" s="19" t="n">
        <v>0</v>
      </c>
      <c r="E7" s="19" t="n">
        <v>0</v>
      </c>
      <c r="F7" s="19" t="n">
        <v>306250</v>
      </c>
      <c r="G7" s="19" t="n">
        <v>306250</v>
      </c>
      <c r="H7" s="19" t="n">
        <v>612500</v>
      </c>
      <c r="I7" s="17">
        <f> 50% прод. 2 кв. + 50% прод. 3 кв.</f>
        <v/>
      </c>
    </row>
    <row r="8">
      <c r="A8" s="14" t="inlineStr">
        <is>
          <t>4</t>
        </is>
      </c>
      <c r="B8" s="15" t="inlineStr">
        <is>
          <t>Платежи 4-го квартала, руб.</t>
        </is>
      </c>
      <c r="C8" s="14" t="inlineStr">
        <is>
          <t>руб.</t>
        </is>
      </c>
      <c r="D8" s="19" t="n">
        <v>0</v>
      </c>
      <c r="E8" s="19" t="n">
        <v>0</v>
      </c>
      <c r="F8" s="19" t="n">
        <v>0</v>
      </c>
      <c r="G8" s="19" t="n">
        <v>311250</v>
      </c>
      <c r="H8" s="19" t="n">
        <v>311250</v>
      </c>
      <c r="I8" s="17">
        <f> 50% прод. 3 кв. + 50% прод. 4 кв.</f>
        <v/>
      </c>
    </row>
    <row r="9">
      <c r="A9" s="20" t="inlineStr">
        <is>
          <t>5</t>
        </is>
      </c>
      <c r="B9" s="21" t="inlineStr">
        <is>
          <t>ИТОГО поступление от покупателей</t>
        </is>
      </c>
      <c r="C9" s="20" t="inlineStr">
        <is>
          <t>руб.</t>
        </is>
      </c>
      <c r="D9" s="22" t="n">
        <v>306250</v>
      </c>
      <c r="E9" s="22" t="n">
        <v>612500</v>
      </c>
      <c r="F9" s="22" t="n">
        <v>612500</v>
      </c>
      <c r="G9" s="22" t="n">
        <v>617500</v>
      </c>
      <c r="H9" s="22" t="n">
        <v>2148750</v>
      </c>
      <c r="I9" s="17">
        <f> стр.1 + стр.2 + стр.3 + стр.4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55" customWidth="1" min="9" max="9"/>
  </cols>
  <sheetData>
    <row r="1">
      <c r="A1" s="2" t="inlineStr">
        <is>
          <t>3. Бюджет производства</t>
        </is>
      </c>
    </row>
    <row r="2">
      <c r="A2" s="13" t="inlineStr">
        <is>
          <t>Политика запасов ГП: на конец квартала запас «А» = 40%, «В» = 10% от потребностей следующего квартала (для 4-го кв. следующие потребности приняты равными 1-му кв.)</t>
        </is>
      </c>
    </row>
    <row r="4">
      <c r="A4" s="9" t="inlineStr">
        <is>
          <t>№ п/п</t>
        </is>
      </c>
      <c r="B4" s="9" t="inlineStr">
        <is>
          <t>Наименование показателя</t>
        </is>
      </c>
      <c r="C4" s="9" t="inlineStr">
        <is>
          <t>Ед. изм.</t>
        </is>
      </c>
      <c r="D4" s="9" t="inlineStr">
        <is>
          <t>Квартал 1</t>
        </is>
      </c>
      <c r="E4" s="9" t="inlineStr">
        <is>
          <t>Квартал 2</t>
        </is>
      </c>
      <c r="F4" s="9" t="inlineStr">
        <is>
          <t>Квартал 3</t>
        </is>
      </c>
      <c r="G4" s="9" t="inlineStr">
        <is>
          <t>Квартал 4</t>
        </is>
      </c>
      <c r="H4" s="9" t="inlineStr">
        <is>
          <t>Итого за год</t>
        </is>
      </c>
      <c r="I4" s="9" t="inlineStr">
        <is>
          <t>Порядок расчёта (ссылка)</t>
        </is>
      </c>
    </row>
    <row r="5">
      <c r="A5" s="14" t="inlineStr">
        <is>
          <t>1</t>
        </is>
      </c>
      <c r="B5" s="15" t="inlineStr">
        <is>
          <t>Объём продаж «Продукт А»</t>
        </is>
      </c>
      <c r="C5" s="14" t="inlineStr">
        <is>
          <t>шт</t>
        </is>
      </c>
      <c r="D5" s="16" t="n">
        <v>37</v>
      </c>
      <c r="E5" s="16" t="n">
        <v>37</v>
      </c>
      <c r="F5" s="16" t="n">
        <v>37</v>
      </c>
      <c r="G5" s="16" t="n">
        <v>39</v>
      </c>
      <c r="H5" s="16" t="n">
        <v>150</v>
      </c>
      <c r="I5" s="17" t="inlineStr">
        <is>
          <t>из №1 стр.1</t>
        </is>
      </c>
    </row>
    <row r="6">
      <c r="A6" s="14" t="inlineStr">
        <is>
          <t>2</t>
        </is>
      </c>
      <c r="B6" s="15" t="inlineStr">
        <is>
          <t>Остаток на начало «Продукт А»</t>
        </is>
      </c>
      <c r="C6" s="14" t="inlineStr">
        <is>
          <t>шт</t>
        </is>
      </c>
      <c r="D6" s="16" t="n">
        <v>25</v>
      </c>
      <c r="E6" s="16" t="n">
        <v>14.8</v>
      </c>
      <c r="F6" s="16" t="n">
        <v>14.8</v>
      </c>
      <c r="G6" s="16" t="n">
        <v>15.6</v>
      </c>
      <c r="H6" s="16" t="n">
        <v>25</v>
      </c>
      <c r="I6" s="17" t="inlineStr">
        <is>
          <t>Исходные данные (начало года); далее = остаток на конец пред. кв.</t>
        </is>
      </c>
    </row>
    <row r="7">
      <c r="A7" s="14" t="inlineStr">
        <is>
          <t>3</t>
        </is>
      </c>
      <c r="B7" s="15" t="inlineStr">
        <is>
          <t>Остаток на конец «Продукт А»</t>
        </is>
      </c>
      <c r="C7" s="14" t="inlineStr">
        <is>
          <t>шт</t>
        </is>
      </c>
      <c r="D7" s="16" t="n">
        <v>14.8</v>
      </c>
      <c r="E7" s="16" t="n">
        <v>14.8</v>
      </c>
      <c r="F7" s="16" t="n">
        <v>15.6</v>
      </c>
      <c r="G7" s="16" t="n">
        <v>14.8</v>
      </c>
      <c r="H7" s="16" t="n">
        <v>14.8</v>
      </c>
      <c r="I7" s="17">
        <f> 40% от продаж следующего квартала (стр.1)</f>
        <v/>
      </c>
    </row>
    <row r="8">
      <c r="A8" s="14" t="inlineStr">
        <is>
          <t>4</t>
        </is>
      </c>
      <c r="B8" s="15" t="inlineStr">
        <is>
          <t>Объём производства «Продукт А»</t>
        </is>
      </c>
      <c r="C8" s="14" t="inlineStr">
        <is>
          <t>шт</t>
        </is>
      </c>
      <c r="D8" s="16" t="n">
        <v>26.8</v>
      </c>
      <c r="E8" s="16" t="n">
        <v>37</v>
      </c>
      <c r="F8" s="16" t="n">
        <v>37.8</v>
      </c>
      <c r="G8" s="16" t="n">
        <v>38.2</v>
      </c>
      <c r="H8" s="16" t="n">
        <v>139.8</v>
      </c>
      <c r="I8" s="17">
        <f> стр.1 − стр.2 + стр.3</f>
        <v/>
      </c>
    </row>
    <row r="9">
      <c r="A9" s="14" t="inlineStr">
        <is>
          <t>5</t>
        </is>
      </c>
      <c r="B9" s="15" t="inlineStr">
        <is>
          <t>Объём продаж «Продукт В»</t>
        </is>
      </c>
      <c r="C9" s="14" t="inlineStr">
        <is>
          <t>шт</t>
        </is>
      </c>
      <c r="D9" s="16" t="n">
        <v>95</v>
      </c>
      <c r="E9" s="16" t="n">
        <v>95</v>
      </c>
      <c r="F9" s="16" t="n">
        <v>95</v>
      </c>
      <c r="G9" s="16" t="n">
        <v>95</v>
      </c>
      <c r="H9" s="16" t="n">
        <v>380</v>
      </c>
      <c r="I9" s="17" t="inlineStr">
        <is>
          <t>из №1 стр.2</t>
        </is>
      </c>
    </row>
    <row r="10">
      <c r="A10" s="14" t="inlineStr">
        <is>
          <t>6</t>
        </is>
      </c>
      <c r="B10" s="15" t="inlineStr">
        <is>
          <t>Остаток на начало «Продукт В»</t>
        </is>
      </c>
      <c r="C10" s="14" t="inlineStr">
        <is>
          <t>шт</t>
        </is>
      </c>
      <c r="D10" s="16" t="n">
        <v>10</v>
      </c>
      <c r="E10" s="16" t="n">
        <v>9.5</v>
      </c>
      <c r="F10" s="16" t="n">
        <v>9.5</v>
      </c>
      <c r="G10" s="16" t="n">
        <v>9.5</v>
      </c>
      <c r="H10" s="16" t="n">
        <v>10</v>
      </c>
      <c r="I10" s="17" t="inlineStr">
        <is>
          <t>Исходные данные (начало года); далее = остаток на конец пред. кв.</t>
        </is>
      </c>
    </row>
    <row r="11">
      <c r="A11" s="14" t="inlineStr">
        <is>
          <t>7</t>
        </is>
      </c>
      <c r="B11" s="15" t="inlineStr">
        <is>
          <t>Остаток на конец «Продукт В»</t>
        </is>
      </c>
      <c r="C11" s="14" t="inlineStr">
        <is>
          <t>шт</t>
        </is>
      </c>
      <c r="D11" s="16" t="n">
        <v>9.5</v>
      </c>
      <c r="E11" s="16" t="n">
        <v>9.5</v>
      </c>
      <c r="F11" s="16" t="n">
        <v>9.5</v>
      </c>
      <c r="G11" s="16" t="n">
        <v>9.5</v>
      </c>
      <c r="H11" s="16" t="n">
        <v>9.5</v>
      </c>
      <c r="I11" s="17">
        <f> 10% от продаж следующего квартала (стр.5)</f>
        <v/>
      </c>
    </row>
    <row r="12">
      <c r="A12" s="14" t="inlineStr">
        <is>
          <t>8</t>
        </is>
      </c>
      <c r="B12" s="15" t="inlineStr">
        <is>
          <t>Объём производства «Продукт В»</t>
        </is>
      </c>
      <c r="C12" s="14" t="inlineStr">
        <is>
          <t>шт</t>
        </is>
      </c>
      <c r="D12" s="16" t="n">
        <v>94.5</v>
      </c>
      <c r="E12" s="16" t="n">
        <v>95</v>
      </c>
      <c r="F12" s="16" t="n">
        <v>95</v>
      </c>
      <c r="G12" s="16" t="n">
        <v>95</v>
      </c>
      <c r="H12" s="16" t="n">
        <v>379.5</v>
      </c>
      <c r="I12" s="17">
        <f> стр.5 − стр.6 + стр.7</f>
        <v/>
      </c>
    </row>
    <row r="13">
      <c r="A13" s="14" t="inlineStr">
        <is>
          <t>9</t>
        </is>
      </c>
      <c r="B13" s="15" t="inlineStr">
        <is>
          <t>Плановая себестоимость единицы «Продукт А»</t>
        </is>
      </c>
      <c r="C13" s="14" t="inlineStr">
        <is>
          <t>руб.</t>
        </is>
      </c>
      <c r="D13" s="16" t="n">
        <v>2563.8</v>
      </c>
      <c r="E13" s="16" t="n">
        <v>2563.8</v>
      </c>
      <c r="F13" s="16" t="n">
        <v>2563.8</v>
      </c>
      <c r="G13" s="16" t="n">
        <v>2563.8</v>
      </c>
      <c r="H13" s="16" t="n">
        <v>2563.8</v>
      </c>
      <c r="I13" s="17" t="inlineStr">
        <is>
          <t>из №12 (производственная себестоимость ед.)</t>
        </is>
      </c>
    </row>
    <row r="14">
      <c r="A14" s="14" t="inlineStr">
        <is>
          <t>10</t>
        </is>
      </c>
      <c r="B14" s="15" t="inlineStr">
        <is>
          <t>Плановая себестоимость единицы «Продукт В»</t>
        </is>
      </c>
      <c r="C14" s="14" t="inlineStr">
        <is>
          <t>руб.</t>
        </is>
      </c>
      <c r="D14" s="16" t="n">
        <v>967.1</v>
      </c>
      <c r="E14" s="16" t="n">
        <v>967.1</v>
      </c>
      <c r="F14" s="16" t="n">
        <v>967.1</v>
      </c>
      <c r="G14" s="16" t="n">
        <v>967.1</v>
      </c>
      <c r="H14" s="16" t="n">
        <v>967.1</v>
      </c>
      <c r="I14" s="17" t="inlineStr">
        <is>
          <t>из №12 (производственная себестоимость ед.)</t>
        </is>
      </c>
    </row>
    <row r="15">
      <c r="A15" s="14" t="inlineStr">
        <is>
          <t>11</t>
        </is>
      </c>
      <c r="B15" s="15" t="inlineStr">
        <is>
          <t>Объём производства «Продукт А», руб.</t>
        </is>
      </c>
      <c r="C15" s="14" t="inlineStr">
        <is>
          <t>руб.</t>
        </is>
      </c>
      <c r="D15" s="19" t="n">
        <v>68710</v>
      </c>
      <c r="E15" s="19" t="n">
        <v>94861</v>
      </c>
      <c r="F15" s="19" t="n">
        <v>96912</v>
      </c>
      <c r="G15" s="19" t="n">
        <v>97937</v>
      </c>
      <c r="H15" s="19" t="n">
        <v>358420</v>
      </c>
      <c r="I15" s="17">
        <f> стр.4 × стр.9</f>
        <v/>
      </c>
    </row>
    <row r="16">
      <c r="A16" s="14" t="inlineStr">
        <is>
          <t>12</t>
        </is>
      </c>
      <c r="B16" s="15" t="inlineStr">
        <is>
          <t>Объём производства «Продукт В», руб.</t>
        </is>
      </c>
      <c r="C16" s="14" t="inlineStr">
        <is>
          <t>руб.</t>
        </is>
      </c>
      <c r="D16" s="19" t="n">
        <v>91395</v>
      </c>
      <c r="E16" s="19" t="n">
        <v>91879</v>
      </c>
      <c r="F16" s="19" t="n">
        <v>91879</v>
      </c>
      <c r="G16" s="19" t="n">
        <v>91879</v>
      </c>
      <c r="H16" s="19" t="n">
        <v>367032</v>
      </c>
      <c r="I16" s="17">
        <f> стр.8 × стр.10</f>
        <v/>
      </c>
    </row>
    <row r="17">
      <c r="A17" s="20" t="inlineStr">
        <is>
          <t>13</t>
        </is>
      </c>
      <c r="B17" s="21" t="inlineStr">
        <is>
          <t>ИТОГО объём производства</t>
        </is>
      </c>
      <c r="C17" s="20" t="inlineStr">
        <is>
          <t>руб.</t>
        </is>
      </c>
      <c r="D17" s="22" t="n">
        <v>160105</v>
      </c>
      <c r="E17" s="22" t="n">
        <v>186740</v>
      </c>
      <c r="F17" s="22" t="n">
        <v>188791</v>
      </c>
      <c r="G17" s="22" t="n">
        <v>189816</v>
      </c>
      <c r="H17" s="22" t="n">
        <v>725452</v>
      </c>
      <c r="I17" s="17">
        <f> стр.11 + стр.12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55" customWidth="1" min="9" max="9"/>
  </cols>
  <sheetData>
    <row r="1">
      <c r="A1" s="2" t="inlineStr">
        <is>
          <t>4. Потребность в Материале 1</t>
        </is>
      </c>
    </row>
    <row r="2">
      <c r="A2" s="13" t="inlineStr">
        <is>
          <t>Норма расхода: «А» – 8 м/шт, «В» – 5 м/шт.</t>
        </is>
      </c>
    </row>
    <row r="4">
      <c r="A4" s="9" t="inlineStr">
        <is>
          <t>№ п/п</t>
        </is>
      </c>
      <c r="B4" s="9" t="inlineStr">
        <is>
          <t>Наименование показателя</t>
        </is>
      </c>
      <c r="C4" s="9" t="inlineStr">
        <is>
          <t>Ед. изм.</t>
        </is>
      </c>
      <c r="D4" s="9" t="inlineStr">
        <is>
          <t>Квартал 1</t>
        </is>
      </c>
      <c r="E4" s="9" t="inlineStr">
        <is>
          <t>Квартал 2</t>
        </is>
      </c>
      <c r="F4" s="9" t="inlineStr">
        <is>
          <t>Квартал 3</t>
        </is>
      </c>
      <c r="G4" s="9" t="inlineStr">
        <is>
          <t>Квартал 4</t>
        </is>
      </c>
      <c r="H4" s="9" t="inlineStr">
        <is>
          <t>Итого за год</t>
        </is>
      </c>
      <c r="I4" s="9" t="inlineStr">
        <is>
          <t>Порядок расчёта (ссылка)</t>
        </is>
      </c>
    </row>
    <row r="5">
      <c r="A5" s="14" t="inlineStr">
        <is>
          <t>1</t>
        </is>
      </c>
      <c r="B5" s="15" t="inlineStr">
        <is>
          <t>Объём производства «Продукт А»</t>
        </is>
      </c>
      <c r="C5" s="14" t="inlineStr">
        <is>
          <t>шт</t>
        </is>
      </c>
      <c r="D5" s="16" t="n">
        <v>26.8</v>
      </c>
      <c r="E5" s="16" t="n">
        <v>37</v>
      </c>
      <c r="F5" s="16" t="n">
        <v>37.8</v>
      </c>
      <c r="G5" s="16" t="n">
        <v>38.2</v>
      </c>
      <c r="H5" s="16" t="n">
        <v>139.8</v>
      </c>
      <c r="I5" s="17" t="inlineStr">
        <is>
          <t>из №3 стр.4</t>
        </is>
      </c>
    </row>
    <row r="6">
      <c r="A6" s="14" t="inlineStr">
        <is>
          <t>2</t>
        </is>
      </c>
      <c r="B6" s="15" t="inlineStr">
        <is>
          <t>Объём производства «Продукт В»</t>
        </is>
      </c>
      <c r="C6" s="14" t="inlineStr">
        <is>
          <t>шт</t>
        </is>
      </c>
      <c r="D6" s="16" t="n">
        <v>94.5</v>
      </c>
      <c r="E6" s="16" t="n">
        <v>95</v>
      </c>
      <c r="F6" s="16" t="n">
        <v>95</v>
      </c>
      <c r="G6" s="16" t="n">
        <v>95</v>
      </c>
      <c r="H6" s="16" t="n">
        <v>379.5</v>
      </c>
      <c r="I6" s="17" t="inlineStr">
        <is>
          <t>из №3 стр.8</t>
        </is>
      </c>
    </row>
    <row r="7">
      <c r="A7" s="14" t="inlineStr">
        <is>
          <t>3</t>
        </is>
      </c>
      <c r="B7" s="15" t="inlineStr">
        <is>
          <t>Норма расхода материала на «Продукт А»</t>
        </is>
      </c>
      <c r="C7" s="14" t="inlineStr">
        <is>
          <t>м/шт</t>
        </is>
      </c>
      <c r="D7" s="16" t="n">
        <v>8</v>
      </c>
      <c r="E7" s="16" t="n">
        <v>8</v>
      </c>
      <c r="F7" s="16" t="n">
        <v>8</v>
      </c>
      <c r="G7" s="16" t="n">
        <v>8</v>
      </c>
      <c r="H7" s="16" t="n">
        <v>8</v>
      </c>
      <c r="I7" s="17" t="inlineStr">
        <is>
          <t>Исходные данные</t>
        </is>
      </c>
    </row>
    <row r="8">
      <c r="A8" s="14" t="inlineStr">
        <is>
          <t>4</t>
        </is>
      </c>
      <c r="B8" s="15" t="inlineStr">
        <is>
          <t>Норма расхода материала на «Продукт В»</t>
        </is>
      </c>
      <c r="C8" s="14" t="inlineStr">
        <is>
          <t>м/шт</t>
        </is>
      </c>
      <c r="D8" s="16" t="n">
        <v>5</v>
      </c>
      <c r="E8" s="16" t="n">
        <v>5</v>
      </c>
      <c r="F8" s="16" t="n">
        <v>5</v>
      </c>
      <c r="G8" s="16" t="n">
        <v>5</v>
      </c>
      <c r="H8" s="16" t="n">
        <v>5</v>
      </c>
      <c r="I8" s="17" t="inlineStr">
        <is>
          <t>Исходные данные</t>
        </is>
      </c>
    </row>
    <row r="9">
      <c r="A9" s="14" t="inlineStr">
        <is>
          <t>5</t>
        </is>
      </c>
      <c r="B9" s="15" t="inlineStr">
        <is>
          <t>Потребность на объём производства «Продукт А»</t>
        </is>
      </c>
      <c r="C9" s="14" t="inlineStr">
        <is>
          <t>м</t>
        </is>
      </c>
      <c r="D9" s="16" t="n">
        <v>214.4</v>
      </c>
      <c r="E9" s="16" t="n">
        <v>296</v>
      </c>
      <c r="F9" s="16" t="n">
        <v>302.4</v>
      </c>
      <c r="G9" s="16" t="n">
        <v>305.6</v>
      </c>
      <c r="H9" s="16" t="n">
        <v>1118.4</v>
      </c>
      <c r="I9" s="17">
        <f> стр.1 × стр.3</f>
        <v/>
      </c>
    </row>
    <row r="10">
      <c r="A10" s="14" t="inlineStr">
        <is>
          <t>6</t>
        </is>
      </c>
      <c r="B10" s="15" t="inlineStr">
        <is>
          <t>Потребность на объём производства «Продукт В»</t>
        </is>
      </c>
      <c r="C10" s="14" t="inlineStr">
        <is>
          <t>м</t>
        </is>
      </c>
      <c r="D10" s="16" t="n">
        <v>472.5</v>
      </c>
      <c r="E10" s="16" t="n">
        <v>475</v>
      </c>
      <c r="F10" s="16" t="n">
        <v>475</v>
      </c>
      <c r="G10" s="16" t="n">
        <v>475</v>
      </c>
      <c r="H10" s="16" t="n">
        <v>1897.5</v>
      </c>
      <c r="I10" s="17">
        <f> стр.2 × стр.4</f>
        <v/>
      </c>
    </row>
    <row r="11">
      <c r="A11" s="20" t="inlineStr">
        <is>
          <t>7</t>
        </is>
      </c>
      <c r="B11" s="21" t="inlineStr">
        <is>
          <t>ИТОГО потребность на объём производства</t>
        </is>
      </c>
      <c r="C11" s="20" t="inlineStr">
        <is>
          <t>м</t>
        </is>
      </c>
      <c r="D11" s="23" t="n">
        <v>686.9</v>
      </c>
      <c r="E11" s="23" t="n">
        <v>771</v>
      </c>
      <c r="F11" s="23" t="n">
        <v>777.4</v>
      </c>
      <c r="G11" s="23" t="n">
        <v>780.6</v>
      </c>
      <c r="H11" s="23" t="n">
        <v>3015.9</v>
      </c>
      <c r="I11" s="17">
        <f> стр.5 + стр.6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55" customWidth="1" min="9" max="9"/>
  </cols>
  <sheetData>
    <row r="1">
      <c r="A1" s="2" t="inlineStr">
        <is>
          <t>5. Бюджет закупки Материала 1</t>
        </is>
      </c>
    </row>
    <row r="2">
      <c r="A2" s="13" t="inlineStr">
        <is>
          <t>Политика запасов материала: на конец квартала запас = 10% от потребностей следующего квартала.</t>
        </is>
      </c>
    </row>
    <row r="4">
      <c r="A4" s="9" t="inlineStr">
        <is>
          <t>№ п/п</t>
        </is>
      </c>
      <c r="B4" s="9" t="inlineStr">
        <is>
          <t>Наименование показателя</t>
        </is>
      </c>
      <c r="C4" s="9" t="inlineStr">
        <is>
          <t>Ед. изм.</t>
        </is>
      </c>
      <c r="D4" s="9" t="inlineStr">
        <is>
          <t>Квартал 1</t>
        </is>
      </c>
      <c r="E4" s="9" t="inlineStr">
        <is>
          <t>Квартал 2</t>
        </is>
      </c>
      <c r="F4" s="9" t="inlineStr">
        <is>
          <t>Квартал 3</t>
        </is>
      </c>
      <c r="G4" s="9" t="inlineStr">
        <is>
          <t>Квартал 4</t>
        </is>
      </c>
      <c r="H4" s="9" t="inlineStr">
        <is>
          <t>Итого за год</t>
        </is>
      </c>
      <c r="I4" s="9" t="inlineStr">
        <is>
          <t>Порядок расчёта (ссылка)</t>
        </is>
      </c>
    </row>
    <row r="5">
      <c r="A5" s="14" t="inlineStr">
        <is>
          <t>1</t>
        </is>
      </c>
      <c r="B5" s="15" t="inlineStr">
        <is>
          <t>ИТОГО потребность на объём производства</t>
        </is>
      </c>
      <c r="C5" s="14" t="inlineStr">
        <is>
          <t>м</t>
        </is>
      </c>
      <c r="D5" s="16" t="n">
        <v>686.9</v>
      </c>
      <c r="E5" s="16" t="n">
        <v>771</v>
      </c>
      <c r="F5" s="16" t="n">
        <v>777.4</v>
      </c>
      <c r="G5" s="16" t="n">
        <v>780.6</v>
      </c>
      <c r="H5" s="16" t="n">
        <v>3015.9</v>
      </c>
      <c r="I5" s="17" t="inlineStr">
        <is>
          <t>из №4 стр.7</t>
        </is>
      </c>
    </row>
    <row r="6">
      <c r="A6" s="14" t="inlineStr">
        <is>
          <t>2</t>
        </is>
      </c>
      <c r="B6" s="15" t="inlineStr">
        <is>
          <t>Остаток на начало</t>
        </is>
      </c>
      <c r="C6" s="14" t="inlineStr">
        <is>
          <t>м</t>
        </is>
      </c>
      <c r="D6" s="16" t="n">
        <v>60</v>
      </c>
      <c r="E6" s="16" t="n">
        <v>77.09999999999999</v>
      </c>
      <c r="F6" s="16" t="n">
        <v>77.7</v>
      </c>
      <c r="G6" s="16" t="n">
        <v>78.09999999999999</v>
      </c>
      <c r="H6" s="16" t="n">
        <v>60</v>
      </c>
      <c r="I6" s="17" t="inlineStr">
        <is>
          <t>Исходные данные (60 м); далее = остаток на конец пред. кв.</t>
        </is>
      </c>
    </row>
    <row r="7">
      <c r="A7" s="14" t="inlineStr">
        <is>
          <t>3</t>
        </is>
      </c>
      <c r="B7" s="15" t="inlineStr">
        <is>
          <t>Остаток на конец</t>
        </is>
      </c>
      <c r="C7" s="14" t="inlineStr">
        <is>
          <t>м</t>
        </is>
      </c>
      <c r="D7" s="16" t="n">
        <v>77.09999999999999</v>
      </c>
      <c r="E7" s="16" t="n">
        <v>77.7</v>
      </c>
      <c r="F7" s="16" t="n">
        <v>78.09999999999999</v>
      </c>
      <c r="G7" s="16" t="n">
        <v>68.7</v>
      </c>
      <c r="H7" s="16" t="n">
        <v>68.7</v>
      </c>
      <c r="I7" s="17">
        <f> 10% от потребности следующего квартала (стр.1)</f>
        <v/>
      </c>
    </row>
    <row r="8">
      <c r="A8" s="14" t="inlineStr">
        <is>
          <t>4</t>
        </is>
      </c>
      <c r="B8" s="15" t="inlineStr">
        <is>
          <t>К закупке</t>
        </is>
      </c>
      <c r="C8" s="14" t="inlineStr">
        <is>
          <t>м</t>
        </is>
      </c>
      <c r="D8" s="16" t="n">
        <v>704</v>
      </c>
      <c r="E8" s="16" t="n">
        <v>771.6</v>
      </c>
      <c r="F8" s="16" t="n">
        <v>777.7</v>
      </c>
      <c r="G8" s="16" t="n">
        <v>771.2</v>
      </c>
      <c r="H8" s="16" t="n">
        <v>3024.6</v>
      </c>
      <c r="I8" s="17">
        <f> стр.1 − стр.2 + стр.3</f>
        <v/>
      </c>
    </row>
    <row r="9">
      <c r="A9" s="14" t="inlineStr">
        <is>
          <t>5</t>
        </is>
      </c>
      <c r="B9" s="15" t="inlineStr">
        <is>
          <t>Цена закупки 1 м</t>
        </is>
      </c>
      <c r="C9" s="14" t="inlineStr">
        <is>
          <t>руб.</t>
        </is>
      </c>
      <c r="D9" s="18" t="n">
        <v>100</v>
      </c>
      <c r="E9" s="18" t="n">
        <v>100</v>
      </c>
      <c r="F9" s="18" t="n">
        <v>100</v>
      </c>
      <c r="G9" s="18" t="n">
        <v>100</v>
      </c>
      <c r="H9" s="18" t="n">
        <v>100</v>
      </c>
      <c r="I9" s="17" t="inlineStr">
        <is>
          <t>Исходные данные</t>
        </is>
      </c>
    </row>
    <row r="10">
      <c r="A10" s="14" t="inlineStr">
        <is>
          <t>6</t>
        </is>
      </c>
      <c r="B10" s="15" t="inlineStr">
        <is>
          <t>Стоимость закупки</t>
        </is>
      </c>
      <c r="C10" s="14" t="inlineStr">
        <is>
          <t>руб.</t>
        </is>
      </c>
      <c r="D10" s="19" t="n">
        <v>70400</v>
      </c>
      <c r="E10" s="19" t="n">
        <v>77164</v>
      </c>
      <c r="F10" s="19" t="n">
        <v>77772</v>
      </c>
      <c r="G10" s="19" t="n">
        <v>77123</v>
      </c>
      <c r="H10" s="19" t="n">
        <v>302459</v>
      </c>
      <c r="I10" s="17">
        <f> стр.4 × стр.5</f>
        <v/>
      </c>
    </row>
    <row r="11">
      <c r="A11" s="14" t="inlineStr">
        <is>
          <t>7</t>
        </is>
      </c>
      <c r="B11" s="15" t="inlineStr">
        <is>
          <t>Транспортно-заготовительные расходы (ТЗР)</t>
        </is>
      </c>
      <c r="C11" s="14" t="inlineStr">
        <is>
          <t>руб.</t>
        </is>
      </c>
      <c r="D11" s="19" t="n">
        <v>5500</v>
      </c>
      <c r="E11" s="19" t="n">
        <v>5500</v>
      </c>
      <c r="F11" s="19" t="n">
        <v>5500</v>
      </c>
      <c r="G11" s="19" t="n">
        <v>5500</v>
      </c>
      <c r="H11" s="19" t="n">
        <v>22000</v>
      </c>
      <c r="I11" s="17" t="inlineStr">
        <is>
          <t>Исходные данные: норматив 5500 руб./кв.</t>
        </is>
      </c>
    </row>
    <row r="12">
      <c r="A12" s="20" t="inlineStr">
        <is>
          <t>8</t>
        </is>
      </c>
      <c r="B12" s="21" t="inlineStr">
        <is>
          <t>ИТОГО закупка</t>
        </is>
      </c>
      <c r="C12" s="20" t="inlineStr">
        <is>
          <t>руб.</t>
        </is>
      </c>
      <c r="D12" s="22" t="n">
        <v>75900</v>
      </c>
      <c r="E12" s="22" t="n">
        <v>82664</v>
      </c>
      <c r="F12" s="22" t="n">
        <v>83272</v>
      </c>
      <c r="G12" s="22" t="n">
        <v>82623</v>
      </c>
      <c r="H12" s="22" t="n">
        <v>324459</v>
      </c>
      <c r="I12" s="17">
        <f> стр.6 + стр.7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55" customWidth="1" min="9" max="9"/>
  </cols>
  <sheetData>
    <row r="1">
      <c r="A1" s="2" t="inlineStr">
        <is>
          <t>6. График платежей Поставщику</t>
        </is>
      </c>
    </row>
    <row r="2">
      <c r="A2" s="13" t="inlineStr">
        <is>
          <t>Политика расчетов с поставщиком: 90% в квартале поставки, 10% – в квартале, следующем за кварталом поставки.</t>
        </is>
      </c>
    </row>
    <row r="4">
      <c r="A4" s="9" t="inlineStr">
        <is>
          <t>№ п/п</t>
        </is>
      </c>
      <c r="B4" s="9" t="inlineStr">
        <is>
          <t>Наименование показателя</t>
        </is>
      </c>
      <c r="C4" s="9" t="inlineStr">
        <is>
          <t>Ед. изм.</t>
        </is>
      </c>
      <c r="D4" s="9" t="inlineStr">
        <is>
          <t>Квартал 1</t>
        </is>
      </c>
      <c r="E4" s="9" t="inlineStr">
        <is>
          <t>Квартал 2</t>
        </is>
      </c>
      <c r="F4" s="9" t="inlineStr">
        <is>
          <t>Квартал 3</t>
        </is>
      </c>
      <c r="G4" s="9" t="inlineStr">
        <is>
          <t>Квартал 4</t>
        </is>
      </c>
      <c r="H4" s="9" t="inlineStr">
        <is>
          <t>Итого за год</t>
        </is>
      </c>
      <c r="I4" s="9" t="inlineStr">
        <is>
          <t>Порядок расчёта (ссылка)</t>
        </is>
      </c>
    </row>
    <row r="5">
      <c r="A5" s="14" t="inlineStr">
        <is>
          <t>1</t>
        </is>
      </c>
      <c r="B5" s="15" t="inlineStr">
        <is>
          <t>Платежи 1-го квартала, руб.</t>
        </is>
      </c>
      <c r="C5" s="14" t="inlineStr">
        <is>
          <t>руб.</t>
        </is>
      </c>
      <c r="D5" s="19" t="n">
        <v>63360</v>
      </c>
      <c r="E5" s="19" t="n">
        <v>7040</v>
      </c>
      <c r="F5" s="19" t="n">
        <v>0</v>
      </c>
      <c r="G5" s="19" t="n">
        <v>0</v>
      </c>
      <c r="H5" s="19" t="n">
        <v>70400</v>
      </c>
      <c r="I5" s="17">
        <f> 90% стоимости закупки 1 кв. №5 стр.6 + ,,,</f>
        <v/>
      </c>
    </row>
    <row r="6">
      <c r="A6" s="14" t="inlineStr">
        <is>
          <t>2</t>
        </is>
      </c>
      <c r="B6" s="15" t="inlineStr">
        <is>
          <t>Платежи 2-го квартала, руб.</t>
        </is>
      </c>
      <c r="C6" s="14" t="inlineStr">
        <is>
          <t>руб.</t>
        </is>
      </c>
      <c r="D6" s="19" t="n">
        <v>0</v>
      </c>
      <c r="E6" s="19" t="n">
        <v>69448</v>
      </c>
      <c r="F6" s="19" t="n">
        <v>7716</v>
      </c>
      <c r="G6" s="19" t="n">
        <v>0</v>
      </c>
      <c r="H6" s="19" t="n">
        <v>77164</v>
      </c>
      <c r="I6" s="17">
        <f> 10% зак. 1 кв. + 90% зак. 2 кв.</f>
        <v/>
      </c>
    </row>
    <row r="7">
      <c r="A7" s="14" t="inlineStr">
        <is>
          <t>3</t>
        </is>
      </c>
      <c r="B7" s="15" t="inlineStr">
        <is>
          <t>Платежи 3-го квартала, руб.</t>
        </is>
      </c>
      <c r="C7" s="14" t="inlineStr">
        <is>
          <t>руб.</t>
        </is>
      </c>
      <c r="D7" s="19" t="n">
        <v>0</v>
      </c>
      <c r="E7" s="19" t="n">
        <v>0</v>
      </c>
      <c r="F7" s="19" t="n">
        <v>69995</v>
      </c>
      <c r="G7" s="19" t="n">
        <v>7777</v>
      </c>
      <c r="H7" s="19" t="n">
        <v>77772</v>
      </c>
      <c r="I7" s="17">
        <f> 10% зак. 2 кв. + 90% зак. 3 кв.</f>
        <v/>
      </c>
    </row>
    <row r="8">
      <c r="A8" s="14" t="inlineStr">
        <is>
          <t>4</t>
        </is>
      </c>
      <c r="B8" s="15" t="inlineStr">
        <is>
          <t>Платежи 4-го квартала, руб.</t>
        </is>
      </c>
      <c r="C8" s="14" t="inlineStr">
        <is>
          <t>руб.</t>
        </is>
      </c>
      <c r="D8" s="19" t="n">
        <v>0</v>
      </c>
      <c r="E8" s="19" t="n">
        <v>0</v>
      </c>
      <c r="F8" s="19" t="n">
        <v>0</v>
      </c>
      <c r="G8" s="19" t="n">
        <v>69411</v>
      </c>
      <c r="H8" s="19" t="n">
        <v>69411</v>
      </c>
      <c r="I8" s="17">
        <f> 10% зак. 3 кв. + 90% зак. 4 кв.</f>
        <v/>
      </c>
    </row>
    <row r="9">
      <c r="A9" s="20" t="inlineStr">
        <is>
          <t>5</t>
        </is>
      </c>
      <c r="B9" s="21" t="inlineStr">
        <is>
          <t>ИТОГО платежи поставщику</t>
        </is>
      </c>
      <c r="C9" s="20" t="inlineStr">
        <is>
          <t>руб.</t>
        </is>
      </c>
      <c r="D9" s="22" t="n">
        <v>63360</v>
      </c>
      <c r="E9" s="22" t="n">
        <v>76488</v>
      </c>
      <c r="F9" s="22" t="n">
        <v>77711</v>
      </c>
      <c r="G9" s="22" t="n">
        <v>77188</v>
      </c>
      <c r="H9" s="22" t="n">
        <v>294747</v>
      </c>
      <c r="I9" s="17">
        <f> стр.1 + стр.2 + стр.3 + стр.4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55" customWidth="1" min="9" max="9"/>
  </cols>
  <sheetData>
    <row r="1">
      <c r="A1" s="2" t="inlineStr">
        <is>
          <t>7. Потребность в Рабочем 1</t>
        </is>
      </c>
    </row>
    <row r="2">
      <c r="A2" s="13" t="inlineStr">
        <is>
          <t>Трудоёмкость: «А» – 10 чел-ч/шт, «В» – 2 чел-ч/шт.</t>
        </is>
      </c>
    </row>
    <row r="4">
      <c r="A4" s="9" t="inlineStr">
        <is>
          <t>№ п/п</t>
        </is>
      </c>
      <c r="B4" s="9" t="inlineStr">
        <is>
          <t>Наименование показателя</t>
        </is>
      </c>
      <c r="C4" s="9" t="inlineStr">
        <is>
          <t>Ед. изм.</t>
        </is>
      </c>
      <c r="D4" s="9" t="inlineStr">
        <is>
          <t>Квартал 1</t>
        </is>
      </c>
      <c r="E4" s="9" t="inlineStr">
        <is>
          <t>Квартал 2</t>
        </is>
      </c>
      <c r="F4" s="9" t="inlineStr">
        <is>
          <t>Квартал 3</t>
        </is>
      </c>
      <c r="G4" s="9" t="inlineStr">
        <is>
          <t>Квартал 4</t>
        </is>
      </c>
      <c r="H4" s="9" t="inlineStr">
        <is>
          <t>Итого за год</t>
        </is>
      </c>
      <c r="I4" s="9" t="inlineStr">
        <is>
          <t>Порядок расчёта (ссылка)</t>
        </is>
      </c>
    </row>
    <row r="5">
      <c r="A5" s="14" t="inlineStr">
        <is>
          <t>1</t>
        </is>
      </c>
      <c r="B5" s="15" t="inlineStr">
        <is>
          <t>Объём производства «Продукт А»</t>
        </is>
      </c>
      <c r="C5" s="14" t="inlineStr">
        <is>
          <t>шт</t>
        </is>
      </c>
      <c r="D5" s="16" t="n">
        <v>26.8</v>
      </c>
      <c r="E5" s="16" t="n">
        <v>37</v>
      </c>
      <c r="F5" s="16" t="n">
        <v>37.8</v>
      </c>
      <c r="G5" s="16" t="n">
        <v>38.2</v>
      </c>
      <c r="H5" s="16" t="n">
        <v>139.8</v>
      </c>
      <c r="I5" s="17" t="inlineStr">
        <is>
          <t>из №3 стр.4</t>
        </is>
      </c>
    </row>
    <row r="6">
      <c r="A6" s="14" t="inlineStr">
        <is>
          <t>2</t>
        </is>
      </c>
      <c r="B6" s="15" t="inlineStr">
        <is>
          <t>Объём производства «Продукт В»</t>
        </is>
      </c>
      <c r="C6" s="14" t="inlineStr">
        <is>
          <t>шт</t>
        </is>
      </c>
      <c r="D6" s="16" t="n">
        <v>94.5</v>
      </c>
      <c r="E6" s="16" t="n">
        <v>95</v>
      </c>
      <c r="F6" s="16" t="n">
        <v>95</v>
      </c>
      <c r="G6" s="16" t="n">
        <v>95</v>
      </c>
      <c r="H6" s="16" t="n">
        <v>379.5</v>
      </c>
      <c r="I6" s="17" t="inlineStr">
        <is>
          <t>из №3 стр.8</t>
        </is>
      </c>
    </row>
    <row r="7">
      <c r="A7" s="14" t="inlineStr">
        <is>
          <t>3</t>
        </is>
      </c>
      <c r="B7" s="15" t="inlineStr">
        <is>
          <t>Трудоёмкость на «Продукт А»</t>
        </is>
      </c>
      <c r="C7" s="14" t="inlineStr">
        <is>
          <t>чел-ч/шт</t>
        </is>
      </c>
      <c r="D7" s="16" t="n">
        <v>10</v>
      </c>
      <c r="E7" s="16" t="n">
        <v>10</v>
      </c>
      <c r="F7" s="16" t="n">
        <v>10</v>
      </c>
      <c r="G7" s="16" t="n">
        <v>10</v>
      </c>
      <c r="H7" s="16" t="n">
        <v>10</v>
      </c>
      <c r="I7" s="17" t="inlineStr">
        <is>
          <t>Исходные данные</t>
        </is>
      </c>
    </row>
    <row r="8">
      <c r="A8" s="14" t="inlineStr">
        <is>
          <t>4</t>
        </is>
      </c>
      <c r="B8" s="15" t="inlineStr">
        <is>
          <t>Трудоёмкость на «Продукт В»</t>
        </is>
      </c>
      <c r="C8" s="14" t="inlineStr">
        <is>
          <t>чел-ч/шт</t>
        </is>
      </c>
      <c r="D8" s="16" t="n">
        <v>2</v>
      </c>
      <c r="E8" s="16" t="n">
        <v>2</v>
      </c>
      <c r="F8" s="16" t="n">
        <v>2</v>
      </c>
      <c r="G8" s="16" t="n">
        <v>2</v>
      </c>
      <c r="H8" s="16" t="n">
        <v>2</v>
      </c>
      <c r="I8" s="17" t="inlineStr">
        <is>
          <t>Исходные данные</t>
        </is>
      </c>
    </row>
    <row r="9">
      <c r="A9" s="14" t="inlineStr">
        <is>
          <t>5</t>
        </is>
      </c>
      <c r="B9" s="15" t="inlineStr">
        <is>
          <t>Трудоёмкость на объём производства «Продукт А»</t>
        </is>
      </c>
      <c r="C9" s="14" t="inlineStr">
        <is>
          <t>чел-ч</t>
        </is>
      </c>
      <c r="D9" s="16" t="n">
        <v>268</v>
      </c>
      <c r="E9" s="16" t="n">
        <v>370</v>
      </c>
      <c r="F9" s="16" t="n">
        <v>378</v>
      </c>
      <c r="G9" s="16" t="n">
        <v>382</v>
      </c>
      <c r="H9" s="16" t="n">
        <v>1398</v>
      </c>
      <c r="I9" s="17">
        <f> стр.1 × стр.3</f>
        <v/>
      </c>
    </row>
    <row r="10">
      <c r="A10" s="14" t="inlineStr">
        <is>
          <t>6</t>
        </is>
      </c>
      <c r="B10" s="15" t="inlineStr">
        <is>
          <t>Трудоёмкость на объём производства «Продукт В»</t>
        </is>
      </c>
      <c r="C10" s="14" t="inlineStr">
        <is>
          <t>чел-ч</t>
        </is>
      </c>
      <c r="D10" s="16" t="n">
        <v>189</v>
      </c>
      <c r="E10" s="16" t="n">
        <v>190</v>
      </c>
      <c r="F10" s="16" t="n">
        <v>190</v>
      </c>
      <c r="G10" s="16" t="n">
        <v>190</v>
      </c>
      <c r="H10" s="16" t="n">
        <v>759</v>
      </c>
      <c r="I10" s="17">
        <f> стр.2 × стр.4</f>
        <v/>
      </c>
    </row>
    <row r="11">
      <c r="A11" s="20" t="inlineStr">
        <is>
          <t>7</t>
        </is>
      </c>
      <c r="B11" s="21" t="inlineStr">
        <is>
          <t>ИТОГО трудоёмкость на объём производства</t>
        </is>
      </c>
      <c r="C11" s="20" t="inlineStr">
        <is>
          <t>чел-ч</t>
        </is>
      </c>
      <c r="D11" s="23" t="n">
        <v>457</v>
      </c>
      <c r="E11" s="23" t="n">
        <v>560</v>
      </c>
      <c r="F11" s="23" t="n">
        <v>568</v>
      </c>
      <c r="G11" s="23" t="n">
        <v>572</v>
      </c>
      <c r="H11" s="23" t="n">
        <v>2157</v>
      </c>
      <c r="I11" s="17">
        <f> стр.5 + стр.6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55" customWidth="1" min="9" max="9"/>
  </cols>
  <sheetData>
    <row r="1">
      <c r="A1" s="2" t="inlineStr">
        <is>
          <t>8. Расходы на оплату труда</t>
        </is>
      </c>
    </row>
    <row r="2">
      <c r="A2" s="13" t="inlineStr">
        <is>
          <t>Часовая тарифная ставка Рабочего 1 – 120 руб./чел-ч; отчисления в ФСЗН – 35%.</t>
        </is>
      </c>
    </row>
    <row r="4">
      <c r="A4" s="9" t="inlineStr">
        <is>
          <t>№ п/п</t>
        </is>
      </c>
      <c r="B4" s="9" t="inlineStr">
        <is>
          <t>Наименование показателя</t>
        </is>
      </c>
      <c r="C4" s="9" t="inlineStr">
        <is>
          <t>Ед. изм.</t>
        </is>
      </c>
      <c r="D4" s="9" t="inlineStr">
        <is>
          <t>Квартал 1</t>
        </is>
      </c>
      <c r="E4" s="9" t="inlineStr">
        <is>
          <t>Квартал 2</t>
        </is>
      </c>
      <c r="F4" s="9" t="inlineStr">
        <is>
          <t>Квартал 3</t>
        </is>
      </c>
      <c r="G4" s="9" t="inlineStr">
        <is>
          <t>Квартал 4</t>
        </is>
      </c>
      <c r="H4" s="9" t="inlineStr">
        <is>
          <t>Итого за год</t>
        </is>
      </c>
      <c r="I4" s="9" t="inlineStr">
        <is>
          <t>Порядок расчёта (ссылка)</t>
        </is>
      </c>
    </row>
    <row r="5">
      <c r="A5" s="14" t="inlineStr">
        <is>
          <t>1</t>
        </is>
      </c>
      <c r="B5" s="15" t="inlineStr">
        <is>
          <t>ИТОГО трудоёмкость на объём производства</t>
        </is>
      </c>
      <c r="C5" s="14" t="inlineStr">
        <is>
          <t>чел-ч</t>
        </is>
      </c>
      <c r="D5" s="16" t="n">
        <v>457</v>
      </c>
      <c r="E5" s="16" t="n">
        <v>560</v>
      </c>
      <c r="F5" s="16" t="n">
        <v>568</v>
      </c>
      <c r="G5" s="16" t="n">
        <v>572</v>
      </c>
      <c r="H5" s="16" t="n">
        <v>2157</v>
      </c>
      <c r="I5" s="17" t="inlineStr">
        <is>
          <t>из №7 стр.7</t>
        </is>
      </c>
    </row>
    <row r="6">
      <c r="A6" s="14" t="inlineStr">
        <is>
          <t>2</t>
        </is>
      </c>
      <c r="B6" s="15" t="inlineStr">
        <is>
          <t>Часовая тарифная ставка</t>
        </is>
      </c>
      <c r="C6" s="14" t="inlineStr">
        <is>
          <t>руб.</t>
        </is>
      </c>
      <c r="D6" s="18" t="n">
        <v>120</v>
      </c>
      <c r="E6" s="18" t="n">
        <v>120</v>
      </c>
      <c r="F6" s="18" t="n">
        <v>120</v>
      </c>
      <c r="G6" s="18" t="n">
        <v>120</v>
      </c>
      <c r="H6" s="18" t="n">
        <v>120</v>
      </c>
      <c r="I6" s="17" t="inlineStr">
        <is>
          <t>Исходные данные</t>
        </is>
      </c>
    </row>
    <row r="7">
      <c r="A7" s="14" t="inlineStr">
        <is>
          <t>3</t>
        </is>
      </c>
      <c r="B7" s="15" t="inlineStr">
        <is>
          <t>Заработная плата основных производственных рабочих</t>
        </is>
      </c>
      <c r="C7" s="14" t="inlineStr">
        <is>
          <t>руб.</t>
        </is>
      </c>
      <c r="D7" s="19" t="n">
        <v>54840</v>
      </c>
      <c r="E7" s="19" t="n">
        <v>67200</v>
      </c>
      <c r="F7" s="19" t="n">
        <v>68160</v>
      </c>
      <c r="G7" s="19" t="n">
        <v>68640</v>
      </c>
      <c r="H7" s="19" t="n">
        <v>258840</v>
      </c>
      <c r="I7" s="17">
        <f> стр.1 × стр.2</f>
        <v/>
      </c>
    </row>
    <row r="8">
      <c r="A8" s="14" t="inlineStr">
        <is>
          <t>4</t>
        </is>
      </c>
      <c r="B8" s="15" t="inlineStr">
        <is>
          <t>Отчисления на заработную плату (ФСЗН, 35%)</t>
        </is>
      </c>
      <c r="C8" s="14" t="inlineStr">
        <is>
          <t>руб.</t>
        </is>
      </c>
      <c r="D8" s="19" t="n">
        <v>19194</v>
      </c>
      <c r="E8" s="19" t="n">
        <v>23520</v>
      </c>
      <c r="F8" s="19" t="n">
        <v>23856</v>
      </c>
      <c r="G8" s="19" t="n">
        <v>24024</v>
      </c>
      <c r="H8" s="19" t="n">
        <v>90594</v>
      </c>
      <c r="I8" s="17">
        <f> стр.3 × 0,35</f>
        <v/>
      </c>
    </row>
    <row r="9">
      <c r="A9" s="20" t="inlineStr">
        <is>
          <t>5</t>
        </is>
      </c>
      <c r="B9" s="21" t="inlineStr">
        <is>
          <t>ИТОГО расходы на оплату труда</t>
        </is>
      </c>
      <c r="C9" s="20" t="inlineStr">
        <is>
          <t>руб.</t>
        </is>
      </c>
      <c r="D9" s="22" t="n">
        <v>74034</v>
      </c>
      <c r="E9" s="22" t="n">
        <v>90720</v>
      </c>
      <c r="F9" s="22" t="n">
        <v>92016</v>
      </c>
      <c r="G9" s="22" t="n">
        <v>92664</v>
      </c>
      <c r="H9" s="22" t="n">
        <v>349434</v>
      </c>
      <c r="I9" s="17">
        <f> стр.3 + стр.4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55" customWidth="1" min="9" max="9"/>
  </cols>
  <sheetData>
    <row r="1">
      <c r="A1" s="2" t="inlineStr">
        <is>
          <t>9. ОПР (накладные)</t>
        </is>
      </c>
    </row>
    <row r="2">
      <c r="A2" s="13" t="inlineStr">
        <is>
          <t>Накладные расходы подразделения «Производство». Расходы распределены равномерно по кварталам.</t>
        </is>
      </c>
    </row>
    <row r="4">
      <c r="A4" s="9" t="inlineStr">
        <is>
          <t>№ п/п</t>
        </is>
      </c>
      <c r="B4" s="9" t="inlineStr">
        <is>
          <t>Наименование показателя</t>
        </is>
      </c>
      <c r="C4" s="9" t="inlineStr">
        <is>
          <t>Ед. изм.</t>
        </is>
      </c>
      <c r="D4" s="9" t="inlineStr">
        <is>
          <t>Квартал 1</t>
        </is>
      </c>
      <c r="E4" s="9" t="inlineStr">
        <is>
          <t>Квартал 2</t>
        </is>
      </c>
      <c r="F4" s="9" t="inlineStr">
        <is>
          <t>Квартал 3</t>
        </is>
      </c>
      <c r="G4" s="9" t="inlineStr">
        <is>
          <t>Квартал 4</t>
        </is>
      </c>
      <c r="H4" s="9" t="inlineStr">
        <is>
          <t>Итого за год</t>
        </is>
      </c>
      <c r="I4" s="9" t="inlineStr">
        <is>
          <t>Порядок расчёта (ссылка)</t>
        </is>
      </c>
    </row>
    <row r="5">
      <c r="A5" s="14" t="inlineStr">
        <is>
          <t>1</t>
        </is>
      </c>
      <c r="B5" s="15" t="inlineStr">
        <is>
          <t>Электроэнергия на производственные цели</t>
        </is>
      </c>
      <c r="C5" s="14" t="inlineStr">
        <is>
          <t>руб.</t>
        </is>
      </c>
      <c r="D5" s="19" t="n">
        <v>8750</v>
      </c>
      <c r="E5" s="19" t="n">
        <v>8750</v>
      </c>
      <c r="F5" s="19" t="n">
        <v>8750</v>
      </c>
      <c r="G5" s="19" t="n">
        <v>8750</v>
      </c>
      <c r="H5" s="19" t="n">
        <v>35000</v>
      </c>
      <c r="I5" s="17" t="inlineStr">
        <is>
          <t>Исходные данные: 35000 руб./год</t>
        </is>
      </c>
    </row>
    <row r="6">
      <c r="A6" s="14" t="inlineStr">
        <is>
          <t>2</t>
        </is>
      </c>
      <c r="B6" s="15" t="inlineStr">
        <is>
          <t>Амортизация производственного оборудования</t>
        </is>
      </c>
      <c r="C6" s="14" t="inlineStr">
        <is>
          <t>руб.</t>
        </is>
      </c>
      <c r="D6" s="19" t="n">
        <v>5000</v>
      </c>
      <c r="E6" s="19" t="n">
        <v>5000</v>
      </c>
      <c r="F6" s="19" t="n">
        <v>5000</v>
      </c>
      <c r="G6" s="19" t="n">
        <v>5000</v>
      </c>
      <c r="H6" s="19" t="n">
        <v>20000</v>
      </c>
      <c r="I6" s="17" t="inlineStr">
        <is>
          <t>Исходные данные: 20000 руб./год</t>
        </is>
      </c>
    </row>
    <row r="7">
      <c r="A7" s="14" t="inlineStr">
        <is>
          <t>3</t>
        </is>
      </c>
      <c r="B7" s="15" t="inlineStr">
        <is>
          <t>Заработная плата АУП производства</t>
        </is>
      </c>
      <c r="C7" s="14" t="inlineStr">
        <is>
          <t>руб.</t>
        </is>
      </c>
      <c r="D7" s="19" t="n">
        <v>16300</v>
      </c>
      <c r="E7" s="19" t="n">
        <v>16300</v>
      </c>
      <c r="F7" s="19" t="n">
        <v>16300</v>
      </c>
      <c r="G7" s="19" t="n">
        <v>16300</v>
      </c>
      <c r="H7" s="19" t="n">
        <v>65200</v>
      </c>
      <c r="I7" s="17" t="inlineStr">
        <is>
          <t>Исходные данные: 65200 руб./год</t>
        </is>
      </c>
    </row>
    <row r="8">
      <c r="A8" s="14" t="inlineStr">
        <is>
          <t>4</t>
        </is>
      </c>
      <c r="B8" s="15" t="inlineStr">
        <is>
          <t>Отчисления на заработную плату (ФСЗН, 35%)</t>
        </is>
      </c>
      <c r="C8" s="14" t="inlineStr">
        <is>
          <t>руб.</t>
        </is>
      </c>
      <c r="D8" s="19" t="n">
        <v>5705</v>
      </c>
      <c r="E8" s="19" t="n">
        <v>5705</v>
      </c>
      <c r="F8" s="19" t="n">
        <v>5705</v>
      </c>
      <c r="G8" s="19" t="n">
        <v>5705</v>
      </c>
      <c r="H8" s="19" t="n">
        <v>22820</v>
      </c>
      <c r="I8" s="17">
        <f> стр.3 × 0,35</f>
        <v/>
      </c>
    </row>
    <row r="9">
      <c r="A9" s="20" t="inlineStr">
        <is>
          <t>5</t>
        </is>
      </c>
      <c r="B9" s="21" t="inlineStr">
        <is>
          <t>ИТОГО общепроизводственные расходы</t>
        </is>
      </c>
      <c r="C9" s="20" t="inlineStr">
        <is>
          <t>руб.</t>
        </is>
      </c>
      <c r="D9" s="22" t="n">
        <v>35755</v>
      </c>
      <c r="E9" s="22" t="n">
        <v>35755</v>
      </c>
      <c r="F9" s="22" t="n">
        <v>35755</v>
      </c>
      <c r="G9" s="22" t="n">
        <v>35755</v>
      </c>
      <c r="H9" s="22" t="n">
        <v>143020</v>
      </c>
      <c r="I9" s="17">
        <f> стр.1 + стр.2 + стр.3 + стр.4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55" customWidth="1" min="9" max="9"/>
  </cols>
  <sheetData>
    <row r="1">
      <c r="A1" s="2" t="inlineStr">
        <is>
          <t>10. ОХР (накладные)</t>
        </is>
      </c>
    </row>
    <row r="2">
      <c r="A2" s="13" t="inlineStr">
        <is>
          <t>Накладные расходы администрации. Расходы распределены равномерно по кварталам.</t>
        </is>
      </c>
    </row>
    <row r="4">
      <c r="A4" s="9" t="inlineStr">
        <is>
          <t>№ п/п</t>
        </is>
      </c>
      <c r="B4" s="9" t="inlineStr">
        <is>
          <t>Наименование показателя</t>
        </is>
      </c>
      <c r="C4" s="9" t="inlineStr">
        <is>
          <t>Ед. изм.</t>
        </is>
      </c>
      <c r="D4" s="9" t="inlineStr">
        <is>
          <t>Квартал 1</t>
        </is>
      </c>
      <c r="E4" s="9" t="inlineStr">
        <is>
          <t>Квартал 2</t>
        </is>
      </c>
      <c r="F4" s="9" t="inlineStr">
        <is>
          <t>Квартал 3</t>
        </is>
      </c>
      <c r="G4" s="9" t="inlineStr">
        <is>
          <t>Квартал 4</t>
        </is>
      </c>
      <c r="H4" s="9" t="inlineStr">
        <is>
          <t>Итого за год</t>
        </is>
      </c>
      <c r="I4" s="9" t="inlineStr">
        <is>
          <t>Порядок расчёта (ссылка)</t>
        </is>
      </c>
    </row>
    <row r="5">
      <c r="A5" s="14" t="inlineStr">
        <is>
          <t>1</t>
        </is>
      </c>
      <c r="B5" s="15" t="inlineStr">
        <is>
          <t>Электроэнергия на общехозяйственные цели</t>
        </is>
      </c>
      <c r="C5" s="14" t="inlineStr">
        <is>
          <t>руб.</t>
        </is>
      </c>
      <c r="D5" s="19" t="n">
        <v>10000</v>
      </c>
      <c r="E5" s="19" t="n">
        <v>10000</v>
      </c>
      <c r="F5" s="19" t="n">
        <v>10000</v>
      </c>
      <c r="G5" s="19" t="n">
        <v>10000</v>
      </c>
      <c r="H5" s="19" t="n">
        <v>40000</v>
      </c>
      <c r="I5" s="17" t="inlineStr">
        <is>
          <t>Исходные данные: 40000 руб./год</t>
        </is>
      </c>
    </row>
    <row r="6">
      <c r="A6" s="14" t="inlineStr">
        <is>
          <t>2</t>
        </is>
      </c>
      <c r="B6" s="15" t="inlineStr">
        <is>
          <t>Телефон, Интернет</t>
        </is>
      </c>
      <c r="C6" s="14" t="inlineStr">
        <is>
          <t>руб.</t>
        </is>
      </c>
      <c r="D6" s="19" t="n">
        <v>10500</v>
      </c>
      <c r="E6" s="19" t="n">
        <v>10500</v>
      </c>
      <c r="F6" s="19" t="n">
        <v>10500</v>
      </c>
      <c r="G6" s="19" t="n">
        <v>10500</v>
      </c>
      <c r="H6" s="19" t="n">
        <v>42000</v>
      </c>
      <c r="I6" s="17" t="inlineStr">
        <is>
          <t>Исходные данные: 42000 руб./год</t>
        </is>
      </c>
    </row>
    <row r="7">
      <c r="A7" s="14" t="inlineStr">
        <is>
          <t>3</t>
        </is>
      </c>
      <c r="B7" s="15" t="inlineStr">
        <is>
          <t>Заработная плата АУП</t>
        </is>
      </c>
      <c r="C7" s="14" t="inlineStr">
        <is>
          <t>руб.</t>
        </is>
      </c>
      <c r="D7" s="19" t="n">
        <v>13000</v>
      </c>
      <c r="E7" s="19" t="n">
        <v>13000</v>
      </c>
      <c r="F7" s="19" t="n">
        <v>13000</v>
      </c>
      <c r="G7" s="19" t="n">
        <v>13000</v>
      </c>
      <c r="H7" s="19" t="n">
        <v>52000</v>
      </c>
      <c r="I7" s="17" t="inlineStr">
        <is>
          <t>Исходные данные: 52000 руб./год</t>
        </is>
      </c>
    </row>
    <row r="8">
      <c r="A8" s="14" t="inlineStr">
        <is>
          <t>4</t>
        </is>
      </c>
      <c r="B8" s="15" t="inlineStr">
        <is>
          <t>Отчисления на заработную плату (ФСЗН, 35%)</t>
        </is>
      </c>
      <c r="C8" s="14" t="inlineStr">
        <is>
          <t>руб.</t>
        </is>
      </c>
      <c r="D8" s="19" t="n">
        <v>4550</v>
      </c>
      <c r="E8" s="19" t="n">
        <v>4550</v>
      </c>
      <c r="F8" s="19" t="n">
        <v>4550</v>
      </c>
      <c r="G8" s="19" t="n">
        <v>4550</v>
      </c>
      <c r="H8" s="19" t="n">
        <v>18200</v>
      </c>
      <c r="I8" s="17">
        <f> стр.3 × 0,35</f>
        <v/>
      </c>
    </row>
    <row r="9">
      <c r="A9" s="20" t="inlineStr">
        <is>
          <t>5</t>
        </is>
      </c>
      <c r="B9" s="21" t="inlineStr">
        <is>
          <t>ИТОГО общехозяйственные расходы</t>
        </is>
      </c>
      <c r="C9" s="20" t="inlineStr">
        <is>
          <t>руб.</t>
        </is>
      </c>
      <c r="D9" s="22" t="n">
        <v>38050</v>
      </c>
      <c r="E9" s="22" t="n">
        <v>38050</v>
      </c>
      <c r="F9" s="22" t="n">
        <v>38050</v>
      </c>
      <c r="G9" s="22" t="n">
        <v>38050</v>
      </c>
      <c r="H9" s="22" t="n">
        <v>152200</v>
      </c>
      <c r="I9" s="17">
        <f> стр.1 + стр.2 + стр.3 + стр.4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55" customWidth="1" min="9" max="9"/>
  </cols>
  <sheetData>
    <row r="1">
      <c r="A1" s="2" t="inlineStr">
        <is>
          <t>11. Коммерческие расходы</t>
        </is>
      </c>
    </row>
    <row r="2">
      <c r="A2" s="13" t="inlineStr">
        <is>
          <t>Расходы на сбыт. Распределены равномерно по кварталам.</t>
        </is>
      </c>
    </row>
    <row r="4">
      <c r="A4" s="9" t="inlineStr">
        <is>
          <t>№ п/п</t>
        </is>
      </c>
      <c r="B4" s="9" t="inlineStr">
        <is>
          <t>Наименование показателя</t>
        </is>
      </c>
      <c r="C4" s="9" t="inlineStr">
        <is>
          <t>Ед. изм.</t>
        </is>
      </c>
      <c r="D4" s="9" t="inlineStr">
        <is>
          <t>Квартал 1</t>
        </is>
      </c>
      <c r="E4" s="9" t="inlineStr">
        <is>
          <t>Квартал 2</t>
        </is>
      </c>
      <c r="F4" s="9" t="inlineStr">
        <is>
          <t>Квартал 3</t>
        </is>
      </c>
      <c r="G4" s="9" t="inlineStr">
        <is>
          <t>Квартал 4</t>
        </is>
      </c>
      <c r="H4" s="9" t="inlineStr">
        <is>
          <t>Итого за год</t>
        </is>
      </c>
      <c r="I4" s="9" t="inlineStr">
        <is>
          <t>Порядок расчёта (ссылка)</t>
        </is>
      </c>
    </row>
    <row r="5">
      <c r="A5" s="14" t="inlineStr">
        <is>
          <t>1</t>
        </is>
      </c>
      <c r="B5" s="15" t="inlineStr">
        <is>
          <t>Реклама</t>
        </is>
      </c>
      <c r="C5" s="14" t="inlineStr">
        <is>
          <t>руб.</t>
        </is>
      </c>
      <c r="D5" s="19" t="n">
        <v>7250</v>
      </c>
      <c r="E5" s="19" t="n">
        <v>7250</v>
      </c>
      <c r="F5" s="19" t="n">
        <v>7250</v>
      </c>
      <c r="G5" s="19" t="n">
        <v>7250</v>
      </c>
      <c r="H5" s="19" t="n">
        <v>29000</v>
      </c>
      <c r="I5" s="17" t="inlineStr">
        <is>
          <t>Исходные данные: 29000 руб./год</t>
        </is>
      </c>
    </row>
    <row r="6">
      <c r="A6" s="14" t="inlineStr">
        <is>
          <t>2</t>
        </is>
      </c>
      <c r="B6" s="15" t="inlineStr">
        <is>
          <t>Расходы на упаковку</t>
        </is>
      </c>
      <c r="C6" s="14" t="inlineStr">
        <is>
          <t>руб.</t>
        </is>
      </c>
      <c r="D6" s="19" t="n">
        <v>6000</v>
      </c>
      <c r="E6" s="19" t="n">
        <v>6000</v>
      </c>
      <c r="F6" s="19" t="n">
        <v>6000</v>
      </c>
      <c r="G6" s="19" t="n">
        <v>6000</v>
      </c>
      <c r="H6" s="19" t="n">
        <v>24000</v>
      </c>
      <c r="I6" s="17" t="inlineStr">
        <is>
          <t>Исходные данные: 24000 руб./год</t>
        </is>
      </c>
    </row>
    <row r="7">
      <c r="A7" s="14" t="inlineStr">
        <is>
          <t>3</t>
        </is>
      </c>
      <c r="B7" s="15" t="inlineStr">
        <is>
          <t>Командировочные расходы</t>
        </is>
      </c>
      <c r="C7" s="14" t="inlineStr">
        <is>
          <t>руб.</t>
        </is>
      </c>
      <c r="D7" s="19" t="n">
        <v>13250</v>
      </c>
      <c r="E7" s="19" t="n">
        <v>13250</v>
      </c>
      <c r="F7" s="19" t="n">
        <v>13250</v>
      </c>
      <c r="G7" s="19" t="n">
        <v>13250</v>
      </c>
      <c r="H7" s="19" t="n">
        <v>53000</v>
      </c>
      <c r="I7" s="17" t="inlineStr">
        <is>
          <t>Исходные данные: 53000 руб./год</t>
        </is>
      </c>
    </row>
    <row r="8">
      <c r="A8" s="20" t="inlineStr">
        <is>
          <t>4</t>
        </is>
      </c>
      <c r="B8" s="21" t="inlineStr">
        <is>
          <t>ИТОГО коммерческие расходы</t>
        </is>
      </c>
      <c r="C8" s="20" t="inlineStr">
        <is>
          <t>руб.</t>
        </is>
      </c>
      <c r="D8" s="22" t="n">
        <v>26500</v>
      </c>
      <c r="E8" s="22" t="n">
        <v>26500</v>
      </c>
      <c r="F8" s="22" t="n">
        <v>26500</v>
      </c>
      <c r="G8" s="22" t="n">
        <v>26500</v>
      </c>
      <c r="H8" s="22" t="n">
        <v>106000</v>
      </c>
      <c r="I8" s="17">
        <f> стр.1 + стр.2 + стр.3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Бюджет себестоимости (№12)</t>
        </is>
      </c>
    </row>
    <row r="2">
      <c r="A2" s="13" t="inlineStr">
        <is>
          <t>Финансовое планирование. Показатели по продуктам за плановый год.</t>
        </is>
      </c>
    </row>
    <row r="4">
      <c r="A4" s="9" t="inlineStr">
        <is>
          <t>№</t>
        </is>
      </c>
      <c r="B4" s="9" t="inlineStr">
        <is>
          <t>Статья затрат / показатель</t>
        </is>
      </c>
      <c r="C4" s="9" t="inlineStr">
        <is>
          <t>Продукт А</t>
        </is>
      </c>
      <c r="D4" s="9" t="inlineStr">
        <is>
          <t>Продукт В</t>
        </is>
      </c>
      <c r="E4" s="9" t="inlineStr">
        <is>
          <t>Итого</t>
        </is>
      </c>
    </row>
    <row r="5">
      <c r="A5" s="14" t="inlineStr">
        <is>
          <t>1</t>
        </is>
      </c>
      <c r="B5" s="15" t="inlineStr">
        <is>
          <t>Объём производства, шт</t>
        </is>
      </c>
      <c r="C5" s="16" t="n">
        <v>139.8</v>
      </c>
      <c r="D5" s="16" t="n">
        <v>379.5</v>
      </c>
      <c r="E5" s="16" t="n">
        <v>519.3</v>
      </c>
    </row>
    <row r="6">
      <c r="A6" s="24" t="inlineStr">
        <is>
          <t>2</t>
        </is>
      </c>
      <c r="B6" s="25" t="inlineStr">
        <is>
          <t>Прямые расходы, в том числе:</t>
        </is>
      </c>
    </row>
    <row r="7">
      <c r="A7" s="14" t="inlineStr">
        <is>
          <t>3</t>
        </is>
      </c>
      <c r="B7" s="15" t="inlineStr">
        <is>
          <t>….затраты на Материал 1 (норма × объём × цена)</t>
        </is>
      </c>
      <c r="C7" s="19" t="n">
        <v>111840</v>
      </c>
      <c r="D7" s="19" t="n">
        <v>189750</v>
      </c>
      <c r="E7" s="19" t="n">
        <v>301590</v>
      </c>
    </row>
    <row r="8">
      <c r="A8" s="14" t="inlineStr">
        <is>
          <t>4</t>
        </is>
      </c>
      <c r="B8" s="15" t="inlineStr">
        <is>
          <t>….транспортно-заготовительные расходы (ТЗР)</t>
        </is>
      </c>
      <c r="C8" s="19" t="n">
        <v>8158</v>
      </c>
      <c r="D8" s="19" t="n">
        <v>13842</v>
      </c>
      <c r="E8" s="19" t="n">
        <v>22000</v>
      </c>
    </row>
    <row r="9">
      <c r="A9" s="14" t="inlineStr">
        <is>
          <t>5</t>
        </is>
      </c>
      <c r="B9" s="15" t="inlineStr">
        <is>
          <t>….затраты на оплату труда Рабочего 1</t>
        </is>
      </c>
      <c r="C9" s="19" t="n">
        <v>167760</v>
      </c>
      <c r="D9" s="19" t="n">
        <v>91080</v>
      </c>
      <c r="E9" s="19" t="n">
        <v>258840</v>
      </c>
    </row>
    <row r="10">
      <c r="A10" s="20" t="inlineStr">
        <is>
          <t>6</t>
        </is>
      </c>
      <c r="B10" s="21" t="inlineStr">
        <is>
          <t>ИТОГО прямые расходы</t>
        </is>
      </c>
      <c r="C10" s="22" t="n">
        <v>287758</v>
      </c>
      <c r="D10" s="22" t="n">
        <v>294672</v>
      </c>
      <c r="E10" s="22" t="n">
        <v>582430</v>
      </c>
    </row>
    <row r="11">
      <c r="A11" s="24" t="inlineStr">
        <is>
          <t>7</t>
        </is>
      </c>
      <c r="B11" s="25" t="inlineStr">
        <is>
          <t>Косвенные расходы (производственные):</t>
        </is>
      </c>
    </row>
    <row r="12">
      <c r="A12" s="14" t="inlineStr">
        <is>
          <t>8</t>
        </is>
      </c>
      <c r="B12" s="15" t="inlineStr">
        <is>
          <t>….общепроизводственные расходы (ОПР)</t>
        </is>
      </c>
      <c r="C12" s="19" t="n">
        <v>70661</v>
      </c>
      <c r="D12" s="19" t="n">
        <v>72359</v>
      </c>
      <c r="E12" s="19" t="n">
        <v>143020</v>
      </c>
    </row>
    <row r="13">
      <c r="A13" s="20" t="inlineStr">
        <is>
          <t>9</t>
        </is>
      </c>
      <c r="B13" s="21" t="inlineStr">
        <is>
          <t>Производственная себестоимость</t>
        </is>
      </c>
      <c r="C13" s="22" t="n">
        <v>358420</v>
      </c>
      <c r="D13" s="22" t="n">
        <v>367030</v>
      </c>
      <c r="E13" s="22" t="n">
        <v>725450</v>
      </c>
    </row>
    <row r="14">
      <c r="A14" s="14" t="inlineStr">
        <is>
          <t>10</t>
        </is>
      </c>
      <c r="B14" s="15" t="inlineStr">
        <is>
          <t>Себестоимость единицы продукции, руб.</t>
        </is>
      </c>
      <c r="C14" s="16" t="n">
        <v>2563.8</v>
      </c>
      <c r="D14" s="16" t="n">
        <v>967.1</v>
      </c>
      <c r="E14" s="14" t="inlineStr">
        <is>
          <t>—</t>
        </is>
      </c>
    </row>
    <row r="15">
      <c r="A15" s="8" t="inlineStr">
        <is>
          <t>Расчёт: Ставка ТЗР = 22000 / 301590 = 7,3% (ТЗР распределены пропорционально расходам на Материал 1). ОПР распределены пропорционально прямым расходам: доля А = 49,4%, доля В = 50,6%. Общехозяйственные расходы (ОХР) и коммерческие расходы являются расходами периода, в производственную себестоимость не включаются и отражаются соответственно в отчёте о прибылях и убытках как управленческие и коммерческие расходы.</t>
        </is>
      </c>
    </row>
    <row r="16">
      <c r="A16" s="13" t="inlineStr">
        <is>
          <t>• Плановая (нормативная) себестоимость «Продукта А» = 2563,8 руб./шт.</t>
        </is>
      </c>
    </row>
    <row r="17">
      <c r="A17" s="13" t="inlineStr">
        <is>
          <t>• Плановая (нормативная) себестоимость «Продукта В» = 967,1 руб./шт.</t>
        </is>
      </c>
    </row>
    <row r="18">
      <c r="A18" s="13" t="inlineStr">
        <is>
          <t>• Ставка ОПР = 143020 / 582430 = 24,6% (по прямым расходам).</t>
        </is>
      </c>
    </row>
    <row r="19">
      <c r="A19" s="13" t="inlineStr">
        <is>
          <t>• Себестоимость производства = прямые расходы + ОПР (стр.9 = стр.6 + стр.8).</t>
        </is>
      </c>
    </row>
    <row r="20">
      <c r="A20" s="13" t="inlineStr">
        <is>
          <t>• Себестоимость продаж (в №13) = себестоимость единицы × объём продаж.</t>
        </is>
      </c>
    </row>
  </sheetData>
  <mergeCells count="8">
    <mergeCell ref="A20:E20"/>
    <mergeCell ref="A2:E2"/>
    <mergeCell ref="A16:E16"/>
    <mergeCell ref="A15:E15"/>
    <mergeCell ref="A19:E19"/>
    <mergeCell ref="A1:E1"/>
    <mergeCell ref="A17:E17"/>
    <mergeCell ref="A18:E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55" customWidth="1" min="9" max="9"/>
  </cols>
  <sheetData>
    <row r="1">
      <c r="A1" s="2" t="inlineStr">
        <is>
          <t>13. Отчёт о прибылях</t>
        </is>
      </c>
    </row>
    <row r="2">
      <c r="A2" s="13" t="inlineStr">
        <is>
          <t>Финансовое планирование. Себестоимость продаж исчислена по плановой производственной себестоимости единицы.</t>
        </is>
      </c>
    </row>
    <row r="4">
      <c r="A4" s="9" t="inlineStr">
        <is>
          <t>№ п/п</t>
        </is>
      </c>
      <c r="B4" s="9" t="inlineStr">
        <is>
          <t>Наименование показателя</t>
        </is>
      </c>
      <c r="C4" s="9" t="inlineStr">
        <is>
          <t>Ед. изм.</t>
        </is>
      </c>
      <c r="D4" s="9" t="inlineStr">
        <is>
          <t>Квартал 1</t>
        </is>
      </c>
      <c r="E4" s="9" t="inlineStr">
        <is>
          <t>Квартал 2</t>
        </is>
      </c>
      <c r="F4" s="9" t="inlineStr">
        <is>
          <t>Квартал 3</t>
        </is>
      </c>
      <c r="G4" s="9" t="inlineStr">
        <is>
          <t>Квартал 4</t>
        </is>
      </c>
      <c r="H4" s="9" t="inlineStr">
        <is>
          <t>Итого за год</t>
        </is>
      </c>
      <c r="I4" s="9" t="inlineStr">
        <is>
          <t>Порядок расчёта (ссылка)</t>
        </is>
      </c>
    </row>
    <row r="5">
      <c r="A5" s="14" t="inlineStr">
        <is>
          <t>1</t>
        </is>
      </c>
      <c r="B5" s="15" t="inlineStr">
        <is>
          <t>Выручка (объём продаж)</t>
        </is>
      </c>
      <c r="C5" s="14" t="inlineStr">
        <is>
          <t>руб.</t>
        </is>
      </c>
      <c r="D5" s="19" t="n">
        <v>612500</v>
      </c>
      <c r="E5" s="19" t="n">
        <v>612500</v>
      </c>
      <c r="F5" s="19" t="n">
        <v>612500</v>
      </c>
      <c r="G5" s="19" t="n">
        <v>622500</v>
      </c>
      <c r="H5" s="19" t="n">
        <v>2460000</v>
      </c>
      <c r="I5" s="17" t="inlineStr">
        <is>
          <t>из №1 стр.7</t>
        </is>
      </c>
    </row>
    <row r="6">
      <c r="A6" s="14" t="inlineStr">
        <is>
          <t>2</t>
        </is>
      </c>
      <c r="B6" s="15" t="inlineStr">
        <is>
          <t>Себестоимость продаж</t>
        </is>
      </c>
      <c r="C6" s="14" t="inlineStr">
        <is>
          <t>руб.</t>
        </is>
      </c>
      <c r="D6" s="19" t="n">
        <v>186739</v>
      </c>
      <c r="E6" s="19" t="n">
        <v>186739</v>
      </c>
      <c r="F6" s="19" t="n">
        <v>186739</v>
      </c>
      <c r="G6" s="19" t="n">
        <v>191867</v>
      </c>
      <c r="H6" s="19" t="n">
        <v>752084</v>
      </c>
      <c r="I6" s="17">
        <f> ед. себестоимость (№12 стр.10) × объём продаж (№1)</f>
        <v/>
      </c>
    </row>
    <row r="7">
      <c r="A7" s="14" t="inlineStr">
        <is>
          <t>3</t>
        </is>
      </c>
      <c r="B7" s="15" t="inlineStr">
        <is>
          <t>Валовая прибыль</t>
        </is>
      </c>
      <c r="C7" s="14" t="inlineStr">
        <is>
          <t>руб.</t>
        </is>
      </c>
      <c r="D7" s="19" t="n">
        <v>425761</v>
      </c>
      <c r="E7" s="19" t="n">
        <v>425761</v>
      </c>
      <c r="F7" s="19" t="n">
        <v>425761</v>
      </c>
      <c r="G7" s="19" t="n">
        <v>430633</v>
      </c>
      <c r="H7" s="19" t="n">
        <v>1707916</v>
      </c>
      <c r="I7" s="17">
        <f> стр.1 − стр.2</f>
        <v/>
      </c>
    </row>
    <row r="8">
      <c r="A8" s="14" t="inlineStr">
        <is>
          <t>4</t>
        </is>
      </c>
      <c r="B8" s="15" t="inlineStr">
        <is>
          <t>Управленческие расходы (ОХР)</t>
        </is>
      </c>
      <c r="C8" s="14" t="inlineStr">
        <is>
          <t>руб.</t>
        </is>
      </c>
      <c r="D8" s="19" t="n">
        <v>38050</v>
      </c>
      <c r="E8" s="19" t="n">
        <v>38050</v>
      </c>
      <c r="F8" s="19" t="n">
        <v>38050</v>
      </c>
      <c r="G8" s="19" t="n">
        <v>38050</v>
      </c>
      <c r="H8" s="19" t="n">
        <v>152200</v>
      </c>
      <c r="I8" s="17" t="inlineStr">
        <is>
          <t>из №10 стр.5</t>
        </is>
      </c>
    </row>
    <row r="9">
      <c r="A9" s="14" t="inlineStr">
        <is>
          <t>5</t>
        </is>
      </c>
      <c r="B9" s="15" t="inlineStr">
        <is>
          <t>Коммерческие расходы</t>
        </is>
      </c>
      <c r="C9" s="14" t="inlineStr">
        <is>
          <t>руб.</t>
        </is>
      </c>
      <c r="D9" s="19" t="n">
        <v>26500</v>
      </c>
      <c r="E9" s="19" t="n">
        <v>26500</v>
      </c>
      <c r="F9" s="19" t="n">
        <v>26500</v>
      </c>
      <c r="G9" s="19" t="n">
        <v>26500</v>
      </c>
      <c r="H9" s="19" t="n">
        <v>106000</v>
      </c>
      <c r="I9" s="17" t="inlineStr">
        <is>
          <t>из №11 стр.4</t>
        </is>
      </c>
    </row>
    <row r="10">
      <c r="A10" s="20" t="inlineStr">
        <is>
          <t>6</t>
        </is>
      </c>
      <c r="B10" s="21" t="inlineStr">
        <is>
          <t>Прибыль до налогообложения</t>
        </is>
      </c>
      <c r="C10" s="20" t="inlineStr">
        <is>
          <t>руб.</t>
        </is>
      </c>
      <c r="D10" s="22" t="n">
        <v>361211</v>
      </c>
      <c r="E10" s="22" t="n">
        <v>361211</v>
      </c>
      <c r="F10" s="22" t="n">
        <v>361211</v>
      </c>
      <c r="G10" s="22" t="n">
        <v>366083</v>
      </c>
      <c r="H10" s="22" t="n">
        <v>1449716</v>
      </c>
      <c r="I10" s="17">
        <f> стр.3 − стр.4 − стр.5</f>
        <v/>
      </c>
    </row>
    <row r="11">
      <c r="A11" s="14" t="inlineStr">
        <is>
          <t>7</t>
        </is>
      </c>
      <c r="B11" s="15" t="inlineStr">
        <is>
          <t>Налог на прибыль (24%)</t>
        </is>
      </c>
      <c r="C11" s="14" t="inlineStr">
        <is>
          <t>руб.</t>
        </is>
      </c>
      <c r="D11" s="19" t="n">
        <v>86691</v>
      </c>
      <c r="E11" s="19" t="n">
        <v>86691</v>
      </c>
      <c r="F11" s="19" t="n">
        <v>86691</v>
      </c>
      <c r="G11" s="19" t="n">
        <v>87860</v>
      </c>
      <c r="H11" s="19" t="n">
        <v>347933</v>
      </c>
      <c r="I11" s="17">
        <f> стр.6 × 0,24</f>
        <v/>
      </c>
    </row>
    <row r="12">
      <c r="A12" s="20" t="inlineStr">
        <is>
          <t>8</t>
        </is>
      </c>
      <c r="B12" s="21" t="inlineStr">
        <is>
          <t>Чистая прибыль</t>
        </is>
      </c>
      <c r="C12" s="20" t="inlineStr">
        <is>
          <t>руб.</t>
        </is>
      </c>
      <c r="D12" s="22" t="n">
        <v>274520</v>
      </c>
      <c r="E12" s="22" t="n">
        <v>274520</v>
      </c>
      <c r="F12" s="22" t="n">
        <v>274520</v>
      </c>
      <c r="G12" s="22" t="n">
        <v>278223</v>
      </c>
      <c r="H12" s="22" t="n">
        <v>1101783</v>
      </c>
      <c r="I12" s="17">
        <f> стр.6 − стр.7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55" customWidth="1" min="9" max="9"/>
  </cols>
  <sheetData>
    <row r="1">
      <c r="A1" s="2" t="inlineStr">
        <is>
          <t>14. Движение ДС</t>
        </is>
      </c>
    </row>
    <row r="2">
      <c r="A2" s="13" t="inlineStr">
        <is>
          <t>Финансовое планирование. Поток денежных средств (план). Инвестиционная и финансовая деятельность не планируются.</t>
        </is>
      </c>
    </row>
    <row r="4">
      <c r="A4" s="9" t="inlineStr">
        <is>
          <t>№ п/п</t>
        </is>
      </c>
      <c r="B4" s="9" t="inlineStr">
        <is>
          <t>Наименование показателя</t>
        </is>
      </c>
      <c r="C4" s="9" t="inlineStr">
        <is>
          <t>Ед. изм.</t>
        </is>
      </c>
      <c r="D4" s="9" t="inlineStr">
        <is>
          <t>Квартал 1</t>
        </is>
      </c>
      <c r="E4" s="9" t="inlineStr">
        <is>
          <t>Квартал 2</t>
        </is>
      </c>
      <c r="F4" s="9" t="inlineStr">
        <is>
          <t>Квартал 3</t>
        </is>
      </c>
      <c r="G4" s="9" t="inlineStr">
        <is>
          <t>Квартал 4</t>
        </is>
      </c>
      <c r="H4" s="9" t="inlineStr">
        <is>
          <t>Итого за год</t>
        </is>
      </c>
      <c r="I4" s="9" t="inlineStr">
        <is>
          <t>Порядок расчёта (ссылка)</t>
        </is>
      </c>
    </row>
    <row r="5">
      <c r="A5" s="14" t="inlineStr">
        <is>
          <t>1</t>
        </is>
      </c>
      <c r="B5" s="15" t="inlineStr">
        <is>
          <t>Операционная деятельность</t>
        </is>
      </c>
      <c r="C5" s="14" t="n"/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7" t="inlineStr"/>
    </row>
    <row r="6">
      <c r="A6" s="14" t="inlineStr">
        <is>
          <t>2</t>
        </is>
      </c>
      <c r="B6" s="15" t="inlineStr">
        <is>
          <t>…Поступление от покупателей</t>
        </is>
      </c>
      <c r="C6" s="14" t="inlineStr">
        <is>
          <t>руб.</t>
        </is>
      </c>
      <c r="D6" s="19" t="n">
        <v>306250</v>
      </c>
      <c r="E6" s="19" t="n">
        <v>612500</v>
      </c>
      <c r="F6" s="19" t="n">
        <v>612500</v>
      </c>
      <c r="G6" s="19" t="n">
        <v>617500</v>
      </c>
      <c r="H6" s="19" t="n">
        <v>2148750</v>
      </c>
      <c r="I6" s="17" t="inlineStr">
        <is>
          <t>из №2 стр.5</t>
        </is>
      </c>
    </row>
    <row r="7">
      <c r="A7" s="20" t="inlineStr">
        <is>
          <t>3</t>
        </is>
      </c>
      <c r="B7" s="21" t="inlineStr">
        <is>
          <t>Приток</t>
        </is>
      </c>
      <c r="C7" s="20" t="inlineStr">
        <is>
          <t>руб.</t>
        </is>
      </c>
      <c r="D7" s="22" t="n">
        <v>306250</v>
      </c>
      <c r="E7" s="22" t="n">
        <v>612500</v>
      </c>
      <c r="F7" s="22" t="n">
        <v>612500</v>
      </c>
      <c r="G7" s="22" t="n">
        <v>617500</v>
      </c>
      <c r="H7" s="22" t="n">
        <v>2148750</v>
      </c>
      <c r="I7" s="17">
        <f> стр.2</f>
        <v/>
      </c>
    </row>
    <row r="8">
      <c r="A8" s="14" t="inlineStr">
        <is>
          <t>4</t>
        </is>
      </c>
      <c r="B8" s="15" t="inlineStr">
        <is>
          <t>Отток, в том числе:</t>
        </is>
      </c>
      <c r="C8" s="14" t="n"/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7" t="inlineStr"/>
    </row>
    <row r="9">
      <c r="A9" s="14" t="inlineStr">
        <is>
          <t>5</t>
        </is>
      </c>
      <c r="B9" s="15" t="inlineStr">
        <is>
          <t>….Платежи за материалы</t>
        </is>
      </c>
      <c r="C9" s="14" t="inlineStr">
        <is>
          <t>руб.</t>
        </is>
      </c>
      <c r="D9" s="19" t="n">
        <v>63360</v>
      </c>
      <c r="E9" s="19" t="n">
        <v>76488</v>
      </c>
      <c r="F9" s="19" t="n">
        <v>77711</v>
      </c>
      <c r="G9" s="19" t="n">
        <v>77188</v>
      </c>
      <c r="H9" s="19" t="n">
        <v>294747</v>
      </c>
      <c r="I9" s="17" t="inlineStr">
        <is>
          <t>из №6 стр.5</t>
        </is>
      </c>
    </row>
    <row r="10">
      <c r="A10" s="14" t="inlineStr">
        <is>
          <t>6</t>
        </is>
      </c>
      <c r="B10" s="15" t="inlineStr">
        <is>
          <t>….Выплата заработной платы</t>
        </is>
      </c>
      <c r="C10" s="14" t="inlineStr">
        <is>
          <t>руб.</t>
        </is>
      </c>
      <c r="D10" s="19" t="n">
        <v>84140</v>
      </c>
      <c r="E10" s="19" t="n">
        <v>96500</v>
      </c>
      <c r="F10" s="19" t="n">
        <v>97460</v>
      </c>
      <c r="G10" s="19" t="n">
        <v>97940</v>
      </c>
      <c r="H10" s="19" t="n">
        <v>376040</v>
      </c>
      <c r="I10" s="17" t="inlineStr">
        <is>
          <t>№8 стр.3 + ЗП АУП пр-ва (№9 стр.3) + ЗП АУП (№10 стр.3)</t>
        </is>
      </c>
    </row>
    <row r="11">
      <c r="A11" s="14" t="inlineStr">
        <is>
          <t>7</t>
        </is>
      </c>
      <c r="B11" s="15" t="inlineStr">
        <is>
          <t>….Перечисление в ФСЗН (35%)</t>
        </is>
      </c>
      <c r="C11" s="14" t="inlineStr">
        <is>
          <t>руб.</t>
        </is>
      </c>
      <c r="D11" s="19" t="n">
        <v>29449</v>
      </c>
      <c r="E11" s="19" t="n">
        <v>33775</v>
      </c>
      <c r="F11" s="19" t="n">
        <v>34111</v>
      </c>
      <c r="G11" s="19" t="n">
        <v>34279</v>
      </c>
      <c r="H11" s="19" t="n">
        <v>131614</v>
      </c>
      <c r="I11" s="17">
        <f> стр.6 × 0,35</f>
        <v/>
      </c>
    </row>
    <row r="12">
      <c r="A12" s="14" t="inlineStr">
        <is>
          <t>8</t>
        </is>
      </c>
      <c r="B12" s="15" t="inlineStr">
        <is>
          <t>….Платежи за электроэнергию</t>
        </is>
      </c>
      <c r="C12" s="14" t="inlineStr">
        <is>
          <t>руб.</t>
        </is>
      </c>
      <c r="D12" s="19" t="n">
        <v>18750</v>
      </c>
      <c r="E12" s="19" t="n">
        <v>18750</v>
      </c>
      <c r="F12" s="19" t="n">
        <v>18750</v>
      </c>
      <c r="G12" s="19" t="n">
        <v>18750</v>
      </c>
      <c r="H12" s="19" t="n">
        <v>75000</v>
      </c>
      <c r="I12" s="17" t="inlineStr">
        <is>
          <t>№9 стр.1 + №10 стр.1</t>
        </is>
      </c>
    </row>
    <row r="13">
      <c r="A13" s="14" t="inlineStr">
        <is>
          <t>9</t>
        </is>
      </c>
      <c r="B13" s="15" t="inlineStr">
        <is>
          <t>….Платежи за рекламу</t>
        </is>
      </c>
      <c r="C13" s="14" t="inlineStr">
        <is>
          <t>руб.</t>
        </is>
      </c>
      <c r="D13" s="19" t="n">
        <v>7250</v>
      </c>
      <c r="E13" s="19" t="n">
        <v>7250</v>
      </c>
      <c r="F13" s="19" t="n">
        <v>7250</v>
      </c>
      <c r="G13" s="19" t="n">
        <v>7250</v>
      </c>
      <c r="H13" s="19" t="n">
        <v>29000</v>
      </c>
      <c r="I13" s="17" t="inlineStr">
        <is>
          <t>№11 стр.1</t>
        </is>
      </c>
    </row>
    <row r="14">
      <c r="A14" s="14" t="inlineStr">
        <is>
          <t>10</t>
        </is>
      </c>
      <c r="B14" s="15" t="inlineStr">
        <is>
          <t>….Платежи за телефон, Интернет</t>
        </is>
      </c>
      <c r="C14" s="14" t="inlineStr">
        <is>
          <t>руб.</t>
        </is>
      </c>
      <c r="D14" s="19" t="n">
        <v>10500</v>
      </c>
      <c r="E14" s="19" t="n">
        <v>10500</v>
      </c>
      <c r="F14" s="19" t="n">
        <v>10500</v>
      </c>
      <c r="G14" s="19" t="n">
        <v>10500</v>
      </c>
      <c r="H14" s="19" t="n">
        <v>42000</v>
      </c>
      <c r="I14" s="17" t="inlineStr">
        <is>
          <t>№10 стр.2</t>
        </is>
      </c>
    </row>
    <row r="15">
      <c r="A15" s="14" t="inlineStr">
        <is>
          <t>11</t>
        </is>
      </c>
      <c r="B15" s="15" t="inlineStr">
        <is>
          <t>….Платежи прочие (ТЗР, командировочные, упаковка)</t>
        </is>
      </c>
      <c r="C15" s="14" t="inlineStr">
        <is>
          <t>руб.</t>
        </is>
      </c>
      <c r="D15" s="19" t="n">
        <v>24750</v>
      </c>
      <c r="E15" s="19" t="n">
        <v>24750</v>
      </c>
      <c r="F15" s="19" t="n">
        <v>24750</v>
      </c>
      <c r="G15" s="19" t="n">
        <v>24750</v>
      </c>
      <c r="H15" s="19" t="n">
        <v>99000</v>
      </c>
      <c r="I15" s="17" t="inlineStr">
        <is>
          <t>ТЗР (№5 стр.7) + №11 стр.2,3</t>
        </is>
      </c>
    </row>
    <row r="16">
      <c r="A16" s="14" t="inlineStr">
        <is>
          <t>12</t>
        </is>
      </c>
      <c r="B16" s="15" t="inlineStr">
        <is>
          <t>….Налог на прибыль</t>
        </is>
      </c>
      <c r="C16" s="14" t="inlineStr">
        <is>
          <t>руб.</t>
        </is>
      </c>
      <c r="D16" s="19" t="n">
        <v>86691</v>
      </c>
      <c r="E16" s="19" t="n">
        <v>86691</v>
      </c>
      <c r="F16" s="19" t="n">
        <v>86691</v>
      </c>
      <c r="G16" s="19" t="n">
        <v>87860</v>
      </c>
      <c r="H16" s="19" t="n">
        <v>347933</v>
      </c>
      <c r="I16" s="17" t="inlineStr">
        <is>
          <t>из №13 стр.7</t>
        </is>
      </c>
    </row>
    <row r="17">
      <c r="A17" s="20" t="inlineStr">
        <is>
          <t>13</t>
        </is>
      </c>
      <c r="B17" s="21" t="inlineStr">
        <is>
          <t>Итого отток</t>
        </is>
      </c>
      <c r="C17" s="20" t="inlineStr">
        <is>
          <t>руб.</t>
        </is>
      </c>
      <c r="D17" s="22" t="n">
        <v>324890</v>
      </c>
      <c r="E17" s="22" t="n">
        <v>354703</v>
      </c>
      <c r="F17" s="22" t="n">
        <v>357223</v>
      </c>
      <c r="G17" s="22" t="n">
        <v>358517</v>
      </c>
      <c r="H17" s="22" t="n">
        <v>1395333</v>
      </c>
      <c r="I17" s="17">
        <f> сумма стр.5–12</f>
        <v/>
      </c>
    </row>
    <row r="18">
      <c r="A18" s="20" t="inlineStr">
        <is>
          <t>14</t>
        </is>
      </c>
      <c r="B18" s="21" t="inlineStr">
        <is>
          <t>Операционный чистый денежный поток</t>
        </is>
      </c>
      <c r="C18" s="20" t="inlineStr">
        <is>
          <t>руб.</t>
        </is>
      </c>
      <c r="D18" s="22" t="n">
        <v>-18640</v>
      </c>
      <c r="E18" s="22" t="n">
        <v>257797</v>
      </c>
      <c r="F18" s="22" t="n">
        <v>255277</v>
      </c>
      <c r="G18" s="22" t="n">
        <v>258983</v>
      </c>
      <c r="H18" s="22" t="n">
        <v>753417</v>
      </c>
      <c r="I18" s="17">
        <f> стр.3 − стр.13</f>
        <v/>
      </c>
    </row>
    <row r="19">
      <c r="A19" s="14" t="inlineStr">
        <is>
          <t>15</t>
        </is>
      </c>
      <c r="B19" s="15" t="inlineStr">
        <is>
          <t>Инвестиционная деятельность (приток/отток)</t>
        </is>
      </c>
      <c r="C19" s="14" t="inlineStr">
        <is>
          <t>руб.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7" t="inlineStr">
        <is>
          <t>не планируется</t>
        </is>
      </c>
    </row>
    <row r="20">
      <c r="A20" s="14" t="inlineStr">
        <is>
          <t>16</t>
        </is>
      </c>
      <c r="B20" s="15" t="inlineStr">
        <is>
          <t>Инвестиционный чистый денежный поток</t>
        </is>
      </c>
      <c r="C20" s="14" t="inlineStr">
        <is>
          <t>руб.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7" t="inlineStr"/>
    </row>
    <row r="21">
      <c r="A21" s="14" t="inlineStr">
        <is>
          <t>17</t>
        </is>
      </c>
      <c r="B21" s="15" t="inlineStr">
        <is>
          <t>Финансовая деятельность (приток/отток)</t>
        </is>
      </c>
      <c r="C21" s="14" t="inlineStr">
        <is>
          <t>руб.</t>
        </is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7" t="inlineStr">
        <is>
          <t>не планируется</t>
        </is>
      </c>
    </row>
    <row r="22">
      <c r="A22" s="14" t="inlineStr">
        <is>
          <t>18</t>
        </is>
      </c>
      <c r="B22" s="15" t="inlineStr">
        <is>
          <t>Финансовый чистый денежный поток</t>
        </is>
      </c>
      <c r="C22" s="14" t="inlineStr">
        <is>
          <t>руб.</t>
        </is>
      </c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7" t="inlineStr"/>
    </row>
    <row r="23">
      <c r="A23" s="20" t="inlineStr">
        <is>
          <t>19</t>
        </is>
      </c>
      <c r="B23" s="21" t="inlineStr">
        <is>
          <t>ИТОГО чистый денежный поток</t>
        </is>
      </c>
      <c r="C23" s="20" t="inlineStr">
        <is>
          <t>руб.</t>
        </is>
      </c>
      <c r="D23" s="22" t="n">
        <v>-18640</v>
      </c>
      <c r="E23" s="22" t="n">
        <v>257797</v>
      </c>
      <c r="F23" s="22" t="n">
        <v>255277</v>
      </c>
      <c r="G23" s="22" t="n">
        <v>258983</v>
      </c>
      <c r="H23" s="22" t="n">
        <v>753417</v>
      </c>
      <c r="I23" s="17">
        <f> стр.14 + стр.16 + стр.18</f>
        <v/>
      </c>
    </row>
    <row r="24">
      <c r="A24" s="14" t="inlineStr">
        <is>
          <t>20</t>
        </is>
      </c>
      <c r="B24" s="15" t="inlineStr">
        <is>
          <t>Остаток денежных средств на начало</t>
        </is>
      </c>
      <c r="C24" s="14" t="inlineStr">
        <is>
          <t>руб.</t>
        </is>
      </c>
      <c r="D24" s="19" t="n">
        <v>200000</v>
      </c>
      <c r="E24" s="19" t="n">
        <v>181360</v>
      </c>
      <c r="F24" s="19" t="n">
        <v>439157</v>
      </c>
      <c r="G24" s="19" t="n">
        <v>694434</v>
      </c>
      <c r="H24" s="19" t="n">
        <v>200000</v>
      </c>
      <c r="I24" s="17" t="inlineStr">
        <is>
          <t>Исходные данные (200000 руб.); далее = остаток на конец пред. кв.</t>
        </is>
      </c>
    </row>
    <row r="25">
      <c r="A25" s="20" t="inlineStr">
        <is>
          <t>21</t>
        </is>
      </c>
      <c r="B25" s="21" t="inlineStr">
        <is>
          <t>Остаток денежных средств на конец</t>
        </is>
      </c>
      <c r="C25" s="20" t="inlineStr">
        <is>
          <t>руб.</t>
        </is>
      </c>
      <c r="D25" s="22" t="n">
        <v>181360</v>
      </c>
      <c r="E25" s="22" t="n">
        <v>439157</v>
      </c>
      <c r="F25" s="22" t="n">
        <v>694434</v>
      </c>
      <c r="G25" s="22" t="n">
        <v>953418</v>
      </c>
      <c r="H25" s="22" t="n">
        <v>953418</v>
      </c>
      <c r="I25" s="17">
        <f> стр.20 + стр.19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8" customWidth="1" min="3" max="3"/>
    <col width="18" customWidth="1" min="4" max="4"/>
  </cols>
  <sheetData>
    <row r="1">
      <c r="A1" s="2" t="inlineStr">
        <is>
          <t>Бухгалтерский баланс (№15)</t>
        </is>
      </c>
    </row>
    <row r="2">
      <c r="A2" s="13" t="inlineStr">
        <is>
          <t>Финансовое планирование. Начало и конец планового года.</t>
        </is>
      </c>
    </row>
    <row r="4">
      <c r="A4" s="9" t="inlineStr">
        <is>
          <t>№</t>
        </is>
      </c>
      <c r="B4" s="9" t="inlineStr">
        <is>
          <t>Статья</t>
        </is>
      </c>
      <c r="C4" s="9" t="inlineStr">
        <is>
          <t>Начало года</t>
        </is>
      </c>
      <c r="D4" s="9" t="inlineStr">
        <is>
          <t>Конец года</t>
        </is>
      </c>
    </row>
    <row r="5">
      <c r="A5" s="26" t="inlineStr"/>
      <c r="B5" s="27" t="inlineStr">
        <is>
          <t>ВНЕОБОРОТНЫЕ АКТИВЫ</t>
        </is>
      </c>
    </row>
    <row r="6">
      <c r="A6" s="14" t="inlineStr">
        <is>
          <t>2</t>
        </is>
      </c>
      <c r="B6" s="15" t="inlineStr">
        <is>
          <t>Основные средства</t>
        </is>
      </c>
      <c r="C6" s="19" t="n">
        <v>0</v>
      </c>
      <c r="D6" s="19" t="n">
        <v>0</v>
      </c>
    </row>
    <row r="7">
      <c r="A7" s="14" t="inlineStr">
        <is>
          <t>3</t>
        </is>
      </c>
      <c r="B7" s="15" t="inlineStr">
        <is>
          <t>Износ основных средств</t>
        </is>
      </c>
      <c r="C7" s="19" t="n">
        <v>0</v>
      </c>
      <c r="D7" s="19" t="n">
        <v>0</v>
      </c>
    </row>
    <row r="8">
      <c r="A8" s="14" t="inlineStr">
        <is>
          <t>4</t>
        </is>
      </c>
      <c r="B8" s="15" t="inlineStr">
        <is>
          <t>Нематериальные активы</t>
        </is>
      </c>
      <c r="C8" s="19" t="n">
        <v>0</v>
      </c>
      <c r="D8" s="19" t="n">
        <v>0</v>
      </c>
    </row>
    <row r="9">
      <c r="A9" s="14" t="inlineStr">
        <is>
          <t>5</t>
        </is>
      </c>
      <c r="B9" s="15" t="inlineStr">
        <is>
          <t>Износ нематериальных активов</t>
        </is>
      </c>
      <c r="C9" s="19" t="n">
        <v>0</v>
      </c>
      <c r="D9" s="19" t="n">
        <v>0</v>
      </c>
    </row>
    <row r="10">
      <c r="A10" s="20">
        <f>6</f>
        <v/>
      </c>
      <c r="B10" s="21" t="inlineStr">
        <is>
          <t>ИТОГО внеоборотные активы</t>
        </is>
      </c>
      <c r="C10" s="22" t="n">
        <v>0</v>
      </c>
      <c r="D10" s="22" t="n">
        <v>0</v>
      </c>
    </row>
    <row r="11">
      <c r="A11" s="26" t="inlineStr"/>
      <c r="B11" s="27" t="inlineStr">
        <is>
          <t>ОБОРОТНЫЕ АКТИВЫ</t>
        </is>
      </c>
    </row>
    <row r="12">
      <c r="A12" s="14" t="inlineStr">
        <is>
          <t>8</t>
        </is>
      </c>
      <c r="B12" s="15" t="inlineStr">
        <is>
          <t>Производственные запасы (Материал 1)</t>
        </is>
      </c>
      <c r="C12" s="19" t="n">
        <v>6000</v>
      </c>
      <c r="D12" s="19" t="n">
        <v>6869</v>
      </c>
    </row>
    <row r="13">
      <c r="A13" s="14" t="inlineStr">
        <is>
          <t>9</t>
        </is>
      </c>
      <c r="B13" s="15" t="inlineStr">
        <is>
          <t>Транспортно-заготовительные расходы</t>
        </is>
      </c>
      <c r="C13" s="19" t="n">
        <v>0</v>
      </c>
      <c r="D13" s="19" t="n">
        <v>0</v>
      </c>
    </row>
    <row r="14">
      <c r="A14" s="14" t="inlineStr">
        <is>
          <t>10</t>
        </is>
      </c>
      <c r="B14" s="15" t="inlineStr">
        <is>
          <t>Дебиторская задолженность покупателей</t>
        </is>
      </c>
      <c r="C14" s="19" t="n">
        <v>0</v>
      </c>
      <c r="D14" s="19" t="n">
        <v>311250</v>
      </c>
    </row>
    <row r="15">
      <c r="A15" s="14" t="inlineStr">
        <is>
          <t>11</t>
        </is>
      </c>
      <c r="B15" s="15" t="inlineStr">
        <is>
          <t>Основное производство (НЗП)</t>
        </is>
      </c>
      <c r="C15" s="19" t="n">
        <v>0</v>
      </c>
      <c r="D15" s="19" t="n">
        <v>0</v>
      </c>
    </row>
    <row r="16">
      <c r="A16" s="14" t="inlineStr">
        <is>
          <t>12</t>
        </is>
      </c>
      <c r="B16" s="15" t="inlineStr">
        <is>
          <t>Вспомогательное производство</t>
        </is>
      </c>
      <c r="C16" s="19" t="n">
        <v>0</v>
      </c>
      <c r="D16" s="19" t="n">
        <v>0</v>
      </c>
    </row>
    <row r="17">
      <c r="A17" s="14" t="inlineStr">
        <is>
          <t>13</t>
        </is>
      </c>
      <c r="B17" s="15" t="inlineStr">
        <is>
          <t>Касса</t>
        </is>
      </c>
      <c r="C17" s="19" t="n">
        <v>0</v>
      </c>
      <c r="D17" s="19" t="n">
        <v>0</v>
      </c>
    </row>
    <row r="18">
      <c r="A18" s="14" t="inlineStr">
        <is>
          <t>14</t>
        </is>
      </c>
      <c r="B18" s="15" t="inlineStr">
        <is>
          <t>Расчётный счёт</t>
        </is>
      </c>
      <c r="C18" s="19" t="n">
        <v>200000</v>
      </c>
      <c r="D18" s="19" t="n">
        <v>953418</v>
      </c>
    </row>
    <row r="19">
      <c r="A19" s="14" t="inlineStr">
        <is>
          <t>15</t>
        </is>
      </c>
      <c r="B19" s="15" t="inlineStr">
        <is>
          <t>Готовая продукция</t>
        </is>
      </c>
      <c r="C19" s="19" t="n">
        <v>73766</v>
      </c>
      <c r="D19" s="19" t="n">
        <v>47132</v>
      </c>
    </row>
    <row r="20">
      <c r="A20" s="20">
        <f>16</f>
        <v/>
      </c>
      <c r="B20" s="21" t="inlineStr">
        <is>
          <t>ИТОГО оборотные активы</t>
        </is>
      </c>
      <c r="C20" s="22" t="n">
        <v>279766</v>
      </c>
      <c r="D20" s="22" t="n">
        <v>1318669</v>
      </c>
    </row>
    <row r="21">
      <c r="A21" s="20">
        <f>17</f>
        <v/>
      </c>
      <c r="B21" s="21" t="inlineStr">
        <is>
          <t>АКТИВ</t>
        </is>
      </c>
      <c r="C21" s="22" t="n">
        <v>279766</v>
      </c>
      <c r="D21" s="22" t="n">
        <v>1318669</v>
      </c>
    </row>
    <row r="22">
      <c r="A22" s="26" t="inlineStr"/>
      <c r="B22" s="27" t="inlineStr">
        <is>
          <t>ПАССИВ</t>
        </is>
      </c>
    </row>
    <row r="23">
      <c r="A23" s="14" t="inlineStr">
        <is>
          <t>19</t>
        </is>
      </c>
      <c r="B23" s="15" t="inlineStr">
        <is>
          <t>Уставный фонд</t>
        </is>
      </c>
      <c r="C23" s="19" t="n">
        <v>0</v>
      </c>
      <c r="D23" s="19" t="n">
        <v>0</v>
      </c>
    </row>
    <row r="24">
      <c r="A24" s="14" t="inlineStr">
        <is>
          <t>20</t>
        </is>
      </c>
      <c r="B24" s="15" t="inlineStr">
        <is>
          <t>Прибыль (чистая прибыль за год)</t>
        </is>
      </c>
      <c r="C24" s="19" t="n">
        <v>0</v>
      </c>
      <c r="D24" s="19" t="n">
        <v>1101783</v>
      </c>
    </row>
    <row r="25">
      <c r="A25" s="14" t="inlineStr">
        <is>
          <t>21</t>
        </is>
      </c>
      <c r="B25" s="15" t="inlineStr">
        <is>
          <t>Кредиторская задолженность поставщику</t>
        </is>
      </c>
      <c r="C25" s="19" t="n">
        <v>0</v>
      </c>
      <c r="D25" s="19" t="n">
        <v>7712</v>
      </c>
    </row>
    <row r="26">
      <c r="A26" s="14" t="inlineStr">
        <is>
          <t>22</t>
        </is>
      </c>
      <c r="B26" s="15" t="inlineStr">
        <is>
          <t>Кредит банка</t>
        </is>
      </c>
      <c r="C26" s="19" t="n">
        <v>0</v>
      </c>
      <c r="D26" s="19" t="n">
        <v>0</v>
      </c>
    </row>
    <row r="27">
      <c r="A27" s="14" t="inlineStr">
        <is>
          <t>23</t>
        </is>
      </c>
      <c r="B27" s="15" t="inlineStr">
        <is>
          <t>Оплата труда</t>
        </is>
      </c>
      <c r="C27" s="19" t="n">
        <v>0</v>
      </c>
      <c r="D27" s="19" t="n">
        <v>0</v>
      </c>
    </row>
    <row r="28">
      <c r="A28" s="14" t="inlineStr">
        <is>
          <t>24</t>
        </is>
      </c>
      <c r="B28" s="15" t="inlineStr">
        <is>
          <t>Налоги и отчисления</t>
        </is>
      </c>
      <c r="C28" s="19" t="n">
        <v>0</v>
      </c>
      <c r="D28" s="19" t="n">
        <v>0</v>
      </c>
    </row>
    <row r="29">
      <c r="A29" s="14" t="inlineStr">
        <is>
          <t>25</t>
        </is>
      </c>
      <c r="B29" s="15" t="inlineStr">
        <is>
          <t>Отклонения</t>
        </is>
      </c>
      <c r="C29" s="19" t="n">
        <v>279766</v>
      </c>
      <c r="D29" s="19" t="n">
        <v>209173</v>
      </c>
    </row>
    <row r="30">
      <c r="A30" s="20">
        <f>26</f>
        <v/>
      </c>
      <c r="B30" s="21" t="inlineStr">
        <is>
          <t>ПАССИВ</t>
        </is>
      </c>
      <c r="C30" s="22" t="n">
        <v>279766</v>
      </c>
      <c r="D30" s="22" t="n">
        <v>1318669</v>
      </c>
    </row>
    <row r="31">
      <c r="A31" s="8" t="inlineStr">
        <is>
          <t>Строка «Отклонения» балансирует активы и пассивы и отражает нераспределённую прибыль прошлых лет / вступительный капитал, не заданный в исходных данных. Стоимость основных средств и НМА в условии не задана (принята равной 0); амортизация в размере 20000 руб./год отражена в составе накладных расходов.</t>
        </is>
      </c>
    </row>
  </sheetData>
  <mergeCells count="3">
    <mergeCell ref="A1:D1"/>
    <mergeCell ref="A31:D3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0" customWidth="1" min="1" max="1"/>
    <col width="46" customWidth="1" min="2" max="2"/>
  </cols>
  <sheetData>
    <row r="1">
      <c r="A1" s="2" t="inlineStr">
        <is>
          <t>Контрольные проверки взаимосвязи показателей</t>
        </is>
      </c>
    </row>
    <row r="3">
      <c r="A3" s="10" t="inlineStr">
        <is>
          <t>Выручка = сумма продаж (№1 стр.7)</t>
        </is>
      </c>
      <c r="B3" s="28" t="inlineStr">
        <is>
          <t>2 460 000 руб.</t>
        </is>
      </c>
    </row>
    <row r="4">
      <c r="A4" s="10" t="inlineStr">
        <is>
          <t>Поступления от покупателей (№2) + дебиторская задолженность на конец года = выручка</t>
        </is>
      </c>
      <c r="B4" s="28" t="inlineStr">
        <is>
          <t>2 148 750 + 311 250 = 2 460 000</t>
        </is>
      </c>
    </row>
    <row r="5">
      <c r="A5" s="10" t="inlineStr">
        <is>
          <t>Производство «А» (№3) = продажи + остаток на конец − остаток на начало</t>
        </is>
      </c>
      <c r="B5" s="28" t="inlineStr">
        <is>
          <t>139,8 = 150 + 14,8 − 25</t>
        </is>
      </c>
    </row>
    <row r="6">
      <c r="A6" s="10" t="inlineStr">
        <is>
          <t>Производство «В» (№3) = продажи + остаток на конец − остаток на начало</t>
        </is>
      </c>
      <c r="B6" s="28" t="inlineStr">
        <is>
          <t>379,5 = 380 + 9,5 − 10</t>
        </is>
      </c>
    </row>
    <row r="7">
      <c r="A7" s="10" t="inlineStr">
        <is>
          <t>К закупке материала (№5) = потребность + остаток на конец − остаток на начало</t>
        </is>
      </c>
      <c r="B7" s="28" t="inlineStr">
        <is>
          <t>3024,6 = 3015,9 + 68,7 − 60</t>
        </is>
      </c>
    </row>
    <row r="8">
      <c r="A8" s="10" t="inlineStr">
        <is>
          <t>Чистая прибыль (№13) = (выручка − себестоимость продаж − ОХР − коммерческие) × (1 − 0,24)</t>
        </is>
      </c>
      <c r="B8" s="28" t="inlineStr">
        <is>
          <t>1 101 783 руб.</t>
        </is>
      </c>
    </row>
    <row r="9">
      <c r="A9" s="10" t="inlineStr">
        <is>
          <t>Остаток ДС на конец (№14) = остаток на начало + чистый денежный поток</t>
        </is>
      </c>
      <c r="B9" s="28" t="inlineStr">
        <is>
          <t>200 000 + 753 417 = 953 418 руб.</t>
        </is>
      </c>
    </row>
    <row r="10">
      <c r="A10" s="10" t="inlineStr">
        <is>
          <t>АКТИВ = ПАССИВ (№15)</t>
        </is>
      </c>
      <c r="B10" s="28" t="inlineStr">
        <is>
          <t>1 318 669 = 1 318 669 руб.</t>
        </is>
      </c>
    </row>
    <row r="11">
      <c r="A11" s="10" t="inlineStr">
        <is>
          <t>Себестоимость продаж (№13) исчислена по плановой производственной себестоимости единицы (№12)</t>
        </is>
      </c>
      <c r="B11" s="28" t="inlineStr">
        <is>
          <t>А: 2563,8 руб./шт; В: 967,1 руб./шт</t>
        </is>
      </c>
    </row>
    <row r="13">
      <c r="A13" s="29" t="inlineStr">
        <is>
          <t>Фактические данные и отклонения (план/факт/откл) заполняются по итогам контрольного периода — в отчёте приведены плановые значения.</t>
        </is>
      </c>
    </row>
  </sheetData>
  <mergeCells count="2"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2026-09-18T13:59:39Z</dcterms:created>
  <dcterms:modified xmlns:dcterms="http://purl.org/dc/terms/" xmlns:xsi="http://www.w3.org/2001/XMLSchema-instance" xsi:type="dcterms:W3CDTF">2026-09-18T13:59:39Z</dcterms:modified>
</cp:coreProperties>
</file>