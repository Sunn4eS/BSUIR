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Отчет" sheetId="1" state="visible" r:id="rId1"/>
    <sheet name="Данные" sheetId="2" state="visible" r:id="rId2"/>
    <sheet name="Модели" sheetId="3" state="visible" r:id="rId3"/>
    <sheet name="Графики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<sst xmlns="http://schemas.openxmlformats.org/spreadsheetml/2006/main" count="75" uniqueCount="75">
  <si>
    <t xml:space="preserve">ЛАБОРАТОРНАЯ РАБОТА № 1</t>
  </si>
  <si>
    <t xml:space="preserve">ПРОГНОЗ ЦЕЛЕВЫХ ПОКАЗАТЕЛЕЙ ДЕЯТЕЛЬНОСТИ ПРЕДПРИЯТИЯ</t>
  </si>
  <si>
    <t xml:space="preserve">Вариант 3. Показатель: «Затраты на обучение персонала, руб.»</t>
  </si>
  <si>
    <t xml:space="preserve">1. ЦЕЛЬ РАБОТЫ</t>
  </si>
  <si>
    <t xml:space="preserve">С использованием средств Excel и методов аналитического выравнивания временного ряда построить не менее пяти линий тренда различного вида, определить для каждой из них уравнение и коэффициент достоверности аппроксимации R², выбрать наилучшую модель по максимуму R² и рассчитать по её уравнению прогноз показателя на 5 временных шагов вперёд. Все линии тренда должны быть отображены на одном графике, подписаны в легенде и обозначены индивидуальными цветами.</t>
  </si>
  <si>
    <t xml:space="preserve">2. ИСХОДНЫЕ ДАННЫЕ</t>
  </si>
  <si>
    <t xml:space="preserve">Данные по варианту 3 (затраты на обучение персонала, руб.) за 2014–2020 гг. приведены в таблице 1. Здесь t — номер уровня ряда (шаг квантования = 1 год).</t>
  </si>
  <si>
    <t>Год</t>
  </si>
  <si>
    <t xml:space="preserve">Уровень t</t>
  </si>
  <si>
    <t xml:space="preserve">Затраты, руб.</t>
  </si>
  <si>
    <t xml:space="preserve">Таблица 1 — исходные данные</t>
  </si>
  <si>
    <t xml:space="preserve">3. ЛИНИИ ТРЕНДА И КОЭФФИЦИЕНТЫ ДОСТОВЕРНОСТИ</t>
  </si>
  <si>
    <t xml:space="preserve">Для временного ряда построены семь линий тренда: линейная, полиномиальная степени 2, 3 и 4, логарифмическая, экспоненциальная и степенная. Уравнения и коэффициенты достоверности R² приведены в таблице 2.</t>
  </si>
  <si>
    <t>Модель</t>
  </si>
  <si>
    <t>Уравнение</t>
  </si>
  <si>
    <t>R²</t>
  </si>
  <si>
    <t>Линейная</t>
  </si>
  <si>
    <t xml:space="preserve">̂y = 69.2857 − 4.6429·t</t>
  </si>
  <si>
    <t xml:space="preserve">Полиномиальная (степень 2)</t>
  </si>
  <si>
    <t xml:space="preserve">̂y = 0.1905·t² − 6.1667·t + 71.5714</t>
  </si>
  <si>
    <t xml:space="preserve">Полиномиальная (степень 3)</t>
  </si>
  <si>
    <t xml:space="preserve">̂y = −0.2778·t³ + 3.5238·t² − 17.5556·t + 81.5714</t>
  </si>
  <si>
    <t xml:space="preserve">Полиномиальная (степень 4)</t>
  </si>
  <si>
    <t xml:space="preserve">̂y = −0.1970·t⁴ + 2.8737·t³ − 13.5·t² + 17.7864·t + 59.2857</t>
  </si>
  <si>
    <t>Логарифмическая</t>
  </si>
  <si>
    <t xml:space="preserve">̂y = 68.3681 − 14.4955·ln(t)</t>
  </si>
  <si>
    <t>Экспоненциальная</t>
  </si>
  <si>
    <t xml:space="preserve">̂y = 72.2049·e^(−0.0930·t)</t>
  </si>
  <si>
    <t>Степенная</t>
  </si>
  <si>
    <t xml:space="preserve">̂y = 70.2485·t^(−0.2830)</t>
  </si>
  <si>
    <t xml:space="preserve">Таблица 2 — уравнения линий тренда и коэффициенты достоверности</t>
  </si>
  <si>
    <t xml:space="preserve">Рис. 1. Временной ряд, 7 линий тренда (уравнения и R² в легенде) и прогноз на 5 шагов вперёд (см. встроенный ниже график).</t>
  </si>
  <si>
    <t xml:space="preserve">4. ВЫБОР НАИЛУЧШЕЙ МОДЕЛИ</t>
  </si>
  <si>
    <t xml:space="preserve">Наибольший коэффициент достоверности R² = 0.9660 (96,6% дисперсии ряда объяснено моделью) имеет модель «Полиномиальная (степень 4)». Сравнение моделей по R² показано на рис. 2.</t>
  </si>
  <si>
    <t xml:space="preserve">Уравнение лучшей модели:  ̂y = −0.1970·t⁴ + 2.8737·t³ − 13.5000·t² + 17.7864·t + 59.2857,   R² = 0.9660.</t>
  </si>
  <si>
    <t xml:space="preserve">Рис. 2. Сравнение коэффициентов достоверности R² по выбранным моделям</t>
  </si>
  <si>
    <t xml:space="preserve">5. ПРОГНОЗ НА 5 ВРЕМЕННЫХ ШАГОВ ВПЕРЁД</t>
  </si>
  <si>
    <t xml:space="preserve">Прогнозные значения получены подстановкой t = 8, 9, …, 12 (2021–2025 гг.) в уравнение выбранной модели (таблица 3, рис. 3).</t>
  </si>
  <si>
    <t>t</t>
  </si>
  <si>
    <t xml:space="preserve">Прогноз ̂y, руб.</t>
  </si>
  <si>
    <t>2.143</t>
  </si>
  <si>
    <t>-71.500</t>
  </si>
  <si>
    <t>-208.810</t>
  </si>
  <si>
    <t>-437.452</t>
  </si>
  <si>
    <t>-789.823</t>
  </si>
  <si>
    <t xml:space="preserve">Таблица 3 — прогноз по лучшей модели на 2021–2025 гг.</t>
  </si>
  <si>
    <t xml:space="preserve">Рис. 3. Прогноз «Затрат на обучение персонала» на 5 шагов вперёд</t>
  </si>
  <si>
    <t xml:space="preserve">6. ЗАМЕЧАНИЕ ОБ АДЕКВАТНОСТИ ЭКСТРАПОЛЯЦИИ</t>
  </si>
  <si>
    <t xml:space="preserve">Наибольший R² у полинома 4-й степени достигается за счёт тесной подгонки под исходные точки; при экстраполяции далеко за пределами наблюдаемого интервала крылья полинома высокой степени быстро уводят прогноз в область отрицательных значений (t = 10…12), что экономически невозможно для затрат. Поэтому для практического краткосрочного прогноза этого убывающего ряда целесообразно дополнительно рассмотреть экспоненциальную модель (R² = 0.9153) и квадратичную модель (R² = 0.9144), которые дают монотонно убывающие и всегда положительные значения.</t>
  </si>
  <si>
    <t xml:space="preserve">7. ВЫВОД</t>
  </si>
  <si>
    <t xml:space="preserve">В ходе работы построен график временного ряда «Затраты на обучение персонала», к нему подобраны 7 линий тренда различного вида; для каждой линии определены уравнение и коэффициент достоверности R². Лучшей по R² признана модель «Полиномиальная (степень 4)» (R² = 0.9660). По уравнению выбранной модели выполнен прогноз на 5 шагов вперёд (2021–2025 гг.): 2021 г. — 2.14; 2022 г. — -71.50; 2023 г. — -208.81; 2024 г. — -437.45; 2025 г. — -789.82 руб.</t>
  </si>
  <si>
    <t xml:space="preserve">Факт y</t>
  </si>
  <si>
    <t xml:space="preserve">Полином 2</t>
  </si>
  <si>
    <t xml:space="preserve">Полином 3</t>
  </si>
  <si>
    <t xml:space="preserve">Полином 4</t>
  </si>
  <si>
    <t>Логарифм.</t>
  </si>
  <si>
    <t>Экспоненц.</t>
  </si>
  <si>
    <t xml:space="preserve">Коэффициенты моделей</t>
  </si>
  <si>
    <t>Параметр</t>
  </si>
  <si>
    <t>linear</t>
  </si>
  <si>
    <t>poly2</t>
  </si>
  <si>
    <t>poly3</t>
  </si>
  <si>
    <t>poly4</t>
  </si>
  <si>
    <t>log</t>
  </si>
  <si>
    <t>exp</t>
  </si>
  <si>
    <t>power</t>
  </si>
  <si>
    <t>b/a</t>
  </si>
  <si>
    <t>a</t>
  </si>
  <si>
    <t>c0</t>
  </si>
  <si>
    <t>2021</t>
  </si>
  <si>
    <t>2022</t>
  </si>
  <si>
    <t>2023</t>
  </si>
  <si>
    <t>2024</t>
  </si>
  <si>
    <t>2025</t>
  </si>
  <si>
    <t xml:space="preserve">̂y,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</si>
</sst>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"/>
    <numFmt numFmtId="166" formatCode="0.000"/>
  </numFmts>
  <fonts count="11">
    <font>
      <sz val="11.000000"/>
      <color theme="1"/>
      <name val="Calibri"/>
      <scheme val="minor"/>
    </font>
    <font>
      <sz val="11.000000"/>
    </font>
    <font>
      <b/>
      <sz val="16.000000"/>
    </font>
    <font>
      <b/>
      <sz val="14.000000"/>
    </font>
    <font>
      <i/>
      <sz val="12.000000"/>
    </font>
    <font>
      <b/>
      <sz val="12.000000"/>
    </font>
    <font>
      <b/>
      <sz val="10.000000"/>
    </font>
    <font>
      <sz val="10.000000"/>
    </font>
    <font>
      <i/>
      <sz val="10.000000"/>
    </font>
    <font>
      <b/>
      <sz val="11.000000"/>
    </font>
    <font>
      <b/>
      <sz val="11.000000"/>
      <color rgb="FF9C0006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C7CE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1" fillId="0" borderId="0" numFmtId="0" xfId="0" applyFont="1" applyAlignment="1" quotePrefix="0" pivotButton="0">
      <alignment horizontal="left" vertical="top" wrapText="1"/>
    </xf>
    <xf fontId="2" fillId="0" borderId="0" numFmtId="0" xfId="0" applyFont="1" applyAlignment="1" quotePrefix="0" pivotButton="0">
      <alignment horizontal="left" vertical="top" wrapText="1"/>
    </xf>
    <xf fontId="3" fillId="0" borderId="0" numFmtId="0" xfId="0" applyFont="1" applyAlignment="1" quotePrefix="0" pivotButton="0">
      <alignment horizontal="left" vertical="top" wrapText="1"/>
    </xf>
    <xf fontId="4" fillId="0" borderId="0" numFmtId="0" xfId="0" applyFont="1" applyAlignment="1" quotePrefix="0" pivotButton="0">
      <alignment horizontal="left" vertical="top" wrapText="1"/>
    </xf>
    <xf fontId="5" fillId="2" borderId="0" numFmtId="0" xfId="0" applyFont="1" applyFill="1" applyAlignment="1" quotePrefix="0" pivotButton="0">
      <alignment horizontal="left" vertical="top" wrapText="1"/>
    </xf>
    <xf fontId="6" fillId="0" borderId="1" numFmtId="0" xfId="0" applyFont="1" applyBorder="1" applyAlignment="1" quotePrefix="0" pivotButton="0">
      <alignment horizontal="center" vertical="center" wrapText="1"/>
    </xf>
    <xf fontId="7" fillId="0" borderId="1" numFmtId="0" xfId="0" applyFont="1" applyBorder="1" applyAlignment="1" quotePrefix="0" pivotButton="0">
      <alignment horizontal="center" vertical="center" wrapText="1"/>
    </xf>
    <xf fontId="8" fillId="0" borderId="0" numFmtId="0" xfId="0" applyFont="1" applyAlignment="1" quotePrefix="0" pivotButton="0">
      <alignment horizontal="left" vertical="top" wrapText="1"/>
    </xf>
    <xf fontId="9" fillId="2" borderId="0" numFmtId="0" xfId="0" applyFont="1" applyFill="1" applyAlignment="1" quotePrefix="0" pivotButton="0">
      <alignment horizontal="center" vertical="center" wrapText="1"/>
    </xf>
    <xf fontId="5" fillId="3" borderId="0" numFmtId="0" xfId="0" applyFont="1" applyFill="1" quotePrefix="0" pivotButton="0"/>
    <xf fontId="9" fillId="2" borderId="0" numFmtId="0" xfId="0" applyFont="1" applyFill="1" quotePrefix="0" pivotButton="0"/>
    <xf fontId="0" fillId="0" borderId="0" numFmtId="164" xfId="0" applyNumberFormat="1" quotePrefix="0" pivotButton="0"/>
    <xf fontId="9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quotePrefix="0" pivotButton="0"/>
    <xf fontId="0" fillId="0" borderId="1" numFmtId="165" xfId="0" applyNumberFormat="1" applyBorder="1" quotePrefix="0" pivotButton="0"/>
    <xf fontId="0" fillId="0" borderId="1" numFmtId="166" xfId="0" applyNumberFormat="1" applyBorder="1" quotePrefix="0" pivotButton="0"/>
    <xf fontId="10" fillId="4" borderId="1" numFmtId="165" xfId="0" applyNumberFormat="1" applyFont="1" applyFill="1" applyBorder="1" quotePrefix="0" pivotButton="0"/>
    <xf fontId="9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/>
          <a:p>
            <a:pPr>
              <a:defRPr/>
            </a:pPr>
            <a:r>
              <a:rPr/>
              <a:t>Рис. 1. Затраты на обучение персонала: временной ряд + 7 линий тренда + прогноз</a:t>
            </a:r>
            <a:endParaRPr/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'Данные'!C1</c:f>
            </c:strRef>
          </c:tx>
          <c:spPr bwMode="auto">
            <a:prstGeom prst="rect">
              <a:avLst/>
            </a:prstGeom>
            <a:ln w="28000">
              <a:solidFill>
                <a:srgbClr val="111111"/>
              </a:solidFill>
              <a:prstDash val="solid"/>
            </a:ln>
          </c:spPr>
          <c:marker>
            <c:symbol val="circle"/>
            <c:size val="8"/>
            <c:spPr bwMode="auto">
              <a:ln>
                <a:prstDash val="solid"/>
              </a:ln>
            </c:spPr>
          </c:marker>
          <c:cat>
            <c:numRef>
              <c:f>'Данные'!$A$2:$A$13</c:f>
            </c:numRef>
          </c:cat>
          <c:val>
            <c:numRef>
              <c:f>'Данные'!$C$2:$C$8</c:f>
            </c:numRef>
          </c:val>
          <c:smooth val="0"/>
        </c:ser>
        <c:ser>
          <c:idx val="1"/>
          <c:order val="1"/>
          <c:tx>
            <c:strRef>
              <c:f>'Данные'!D1</c:f>
            </c:strRef>
          </c:tx>
          <c:spPr bwMode="auto">
            <a:prstGeom prst="rect">
              <a:avLst/>
            </a:prstGeom>
            <a:ln w="22000">
              <a:solidFill>
                <a:srgbClr val="0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val>
            <c:numRef>
              <c:f>'Данные'!$D$2:$D$13</c:f>
            </c:numRef>
          </c:val>
          <c:smooth val="0"/>
        </c:ser>
        <c:ser>
          <c:idx val="2"/>
          <c:order val="2"/>
          <c:tx>
            <c:strRef>
              <c:f>'Данные'!E1</c:f>
            </c:strRef>
          </c:tx>
          <c:spPr bwMode="auto">
            <a:prstGeom prst="rect">
              <a:avLst/>
            </a:prstGeom>
            <a:ln w="22000">
              <a:solidFill>
                <a:srgbClr val="0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val>
            <c:numRef>
              <c:f>'Данные'!$E$2:$E$13</c:f>
            </c:numRef>
          </c:val>
          <c:smooth val="0"/>
        </c:ser>
        <c:ser>
          <c:idx val="3"/>
          <c:order val="3"/>
          <c:tx>
            <c:strRef>
              <c:f>'Данные'!F1</c:f>
            </c:strRef>
          </c:tx>
          <c:spPr bwMode="auto">
            <a:prstGeom prst="rect">
              <a:avLst/>
            </a:prstGeom>
            <a:ln w="22000">
              <a:solidFill>
                <a:srgbClr val="0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val>
            <c:numRef>
              <c:f>'Данные'!$F$2:$F$13</c:f>
            </c:numRef>
          </c:val>
          <c:smooth val="0"/>
        </c:ser>
        <c:ser>
          <c:idx val="4"/>
          <c:order val="4"/>
          <c:tx>
            <c:strRef>
              <c:f>'Данные'!G1</c:f>
            </c:strRef>
          </c:tx>
          <c:spPr bwMode="auto">
            <a:prstGeom prst="rect">
              <a:avLst/>
            </a:prstGeom>
            <a:ln w="22000">
              <a:solidFill>
                <a:srgbClr val="0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val>
            <c:numRef>
              <c:f>'Данные'!$G$2:$G$13</c:f>
            </c:numRef>
          </c:val>
          <c:smooth val="0"/>
        </c:ser>
        <c:ser>
          <c:idx val="5"/>
          <c:order val="5"/>
          <c:tx>
            <c:strRef>
              <c:f>'Данные'!H1</c:f>
            </c:strRef>
          </c:tx>
          <c:spPr bwMode="auto">
            <a:prstGeom prst="rect">
              <a:avLst/>
            </a:prstGeom>
            <a:ln w="22000">
              <a:solidFill>
                <a:srgbClr val="0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val>
            <c:numRef>
              <c:f>'Данные'!$H$2:$H$13</c:f>
            </c:numRef>
          </c:val>
          <c:smooth val="0"/>
        </c:ser>
        <c:ser>
          <c:idx val="6"/>
          <c:order val="6"/>
          <c:tx>
            <c:strRef>
              <c:f>'Данные'!I1</c:f>
            </c:strRef>
          </c:tx>
          <c:spPr bwMode="auto">
            <a:prstGeom prst="rect">
              <a:avLst/>
            </a:prstGeom>
            <a:ln w="22000">
              <a:solidFill>
                <a:srgbClr val="0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val>
            <c:numRef>
              <c:f>'Данные'!$I$2:$I$13</c:f>
            </c:numRef>
          </c:val>
          <c:smooth val="0"/>
        </c:ser>
        <c:ser>
          <c:idx val="7"/>
          <c:order val="7"/>
          <c:tx>
            <c:strRef>
              <c:f>'Данные'!J1</c:f>
            </c:strRef>
          </c:tx>
          <c:spPr bwMode="auto">
            <a:prstGeom prst="rect">
              <a:avLst/>
            </a:prstGeom>
            <a:ln w="22000">
              <a:solidFill>
                <a:srgbClr val="0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val>
            <c:numRef>
              <c:f>'Данные'!$J$2:$J$13</c:f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/>
                </a:pPr>
                <a:r>
                  <a:rPr/>
                  <a:t>Год</a:t>
                </a:r>
                <a:endParaRPr/>
              </a:p>
            </c:rich>
          </c:tx>
          <c:layout/>
          <c:overlay val="0"/>
        </c:title>
        <c:numFmt formatCode="0" sourceLinked="0"/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Затраты, руб.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 bwMode="auto">
    <a:xfrm rot="0"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/>
          <a:p>
            <a:pPr>
              <a:defRPr/>
            </a:pPr>
            <a:r>
              <a:rPr/>
              <a:t>Рис. 2. Сравнение R²</a:t>
            </a:r>
            <a:endParaRPr/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'Модели'!C1</c:f>
            </c:strRef>
          </c:tx>
          <c:spPr bwMode="auto">
            <a:prstGeom prst="rect">
              <a:avLst/>
            </a:prstGeom>
            <a:solidFill>
              <a:srgbClr val="4472C4"/>
            </a:solidFill>
            <a:ln>
              <a:prstDash val="solid"/>
            </a:ln>
          </c:spPr>
          <c:dLbls>
            <c:numFmt formatCode="0.0000"/>
            <c:showBubbleSize val="0"/>
            <c:showCatName val="0"/>
            <c:showLeaderLines val="0"/>
            <c:showLegendKey val="0"/>
            <c:showPercent val="0"/>
            <c:showSerName val="0"/>
            <c:showVal val="1"/>
          </c:dLbls>
          <c:cat>
            <c:numRef>
              <c:f>'Модели'!$A$2:$A$8</c:f>
            </c:numRef>
          </c:cat>
          <c:val>
            <c:numRef>
              <c:f>'Модели'!$C$2:$C$8</c:f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 bwMode="auto"/>
        </c:majorGridlines>
        <c:majorTickMark val="none"/>
        <c:minorTickMark val="none"/>
        <c:crossAx val="10"/>
        <c:crosses val="autoZero"/>
        <c:crossBetween val="between"/>
      </c:valAx>
    </c:plotArea>
    <c:plotVisOnly val="1"/>
    <c:dispBlanksAs val="gap"/>
    <c:showDLblsOverMax val="0"/>
  </c:chart>
  <c:spPr bwMode="auto">
    <a:xfrm rot="0"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/>
          <a:p>
            <a:pPr>
              <a:defRPr/>
            </a:pPr>
            <a:r>
              <a:rPr/>
              <a:t>Рис. 3. Прогноз: Полиномиальная (степень 4) (R²=0.9660)</a:t>
            </a:r>
            <a:endParaRPr/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'Графики'!M34</c:f>
            </c:strRef>
          </c:tx>
          <c:spPr bwMode="auto">
            <a:prstGeom prst="rect">
              <a:avLst/>
            </a:prstGeom>
            <a:solidFill>
              <a:srgbClr val="000000"/>
            </a:solidFill>
            <a:ln>
              <a:prstDash val="solid"/>
            </a:ln>
          </c:spPr>
          <c:dLbls>
            <c:numFmt formatCode="0.00"/>
            <c:showBubbleSize val="0"/>
            <c:showCatName val="0"/>
            <c:showLeaderLines val="0"/>
            <c:showLegendKey val="0"/>
            <c:showPercent val="0"/>
            <c:showSerName val="0"/>
            <c:showVal val="1"/>
          </c:dLbls>
          <c:cat>
            <c:numRef>
              <c:f>'Графики'!$L$35:$L$39</c:f>
            </c:numRef>
          </c:cat>
          <c:val>
            <c:numRef>
              <c:f>'Графики'!$M$35:$M$39</c:f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/>
                </a:pPr>
                <a:r>
                  <a:rPr/>
                  <a:t>Год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Затраты, руб.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plotVisOnly val="1"/>
    <c:dispBlanksAs val="gap"/>
    <c:showDLblsOverMax val="0"/>
  </c:chart>
  <c:spPr bwMode="auto">
    <a:xfrm rot="0"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36</xdr:row>
      <xdr:rowOff>0</xdr:rowOff>
    </xdr:from>
    <xdr:ext cx="9144000" cy="5810250"/>
    <xdr:pic>
      <xdr:nvPicPr>
        <xdr:cNvPr id="1" name="Image 1" descr="Pictur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5905499" cy="3714750"/>
    <xdr:pic>
      <xdr:nvPicPr>
        <xdr:cNvPr id="2" name="Image 2" descr="Picture"/>
        <xdr:cNvPicPr/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113241</xdr:rowOff>
    </xdr:from>
    <xdr:ext cx="3872958" cy="2509308"/>
    <xdr:pic>
      <xdr:nvPicPr>
        <xdr:cNvPr id="3" name="Image 3" descr="Picture"/>
        <xdr:cNvPicPr/>
      </xdr:nvPicPr>
      <xdr:blipFill rotWithShape="1">
        <a:blip r:embed="rId3"/>
        <a:stretch/>
      </xdr:blipFill>
      <xdr:spPr bwMode="auto">
        <a:xfrm flipH="0" flipV="0">
          <a:off x="0" y="22630341"/>
          <a:ext cx="3872958" cy="250930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1</xdr:row>
      <xdr:rowOff>0</xdr:rowOff>
    </xdr:from>
    <xdr:ext cx="10080000" cy="612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33</xdr:row>
      <xdr:rowOff>0</xdr:rowOff>
    </xdr:from>
    <xdr:ext cx="7200000" cy="5040000"/>
    <xdr:graphicFrame>
      <xdr:nvGraphicFramePr>
        <xdr:cNvPr id="2" name="Chart 2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33</xdr:row>
      <xdr:rowOff>0</xdr:rowOff>
    </xdr:from>
    <xdr:ext cx="7200000" cy="5040000"/>
    <xdr:graphicFrame>
      <xdr:nvGraphicFramePr>
        <xdr:cNvPr id="3" name="Chart 3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00"/>
  </cols>
  <sheetData>
    <row r="1" ht="18" customHeight="1">
      <c r="A1" s="1"/>
    </row>
    <row r="2" ht="18" customHeight="1">
      <c r="A2" s="2" t="s">
        <v>0</v>
      </c>
    </row>
    <row r="3" ht="18" customHeight="1">
      <c r="A3" s="3" t="s">
        <v>1</v>
      </c>
    </row>
    <row r="4" ht="18" customHeight="1">
      <c r="A4" s="4" t="s">
        <v>2</v>
      </c>
    </row>
    <row r="6" ht="18" customHeight="1">
      <c r="A6" s="5" t="s">
        <v>3</v>
      </c>
    </row>
    <row r="7" ht="90" customHeight="1">
      <c r="A7" s="1" t="s">
        <v>4</v>
      </c>
    </row>
    <row r="9" ht="18" customHeight="1">
      <c r="A9" s="5" t="s">
        <v>5</v>
      </c>
    </row>
    <row r="10" ht="30" customHeight="1">
      <c r="A10" s="1" t="s">
        <v>6</v>
      </c>
    </row>
    <row r="12" ht="27">
      <c r="A12" s="6" t="s">
        <v>7</v>
      </c>
      <c r="B12" s="6" t="s">
        <v>8</v>
      </c>
      <c r="C12" s="6" t="s">
        <v>9</v>
      </c>
    </row>
    <row r="13">
      <c r="A13" s="7">
        <v>2014</v>
      </c>
      <c r="B13" s="7">
        <v>1</v>
      </c>
      <c r="C13" s="7">
        <v>66</v>
      </c>
    </row>
    <row r="14">
      <c r="A14" s="7">
        <v>2015</v>
      </c>
      <c r="B14" s="7">
        <v>2</v>
      </c>
      <c r="C14" s="7">
        <v>62</v>
      </c>
    </row>
    <row r="15">
      <c r="A15" s="7">
        <v>2016</v>
      </c>
      <c r="B15" s="7">
        <v>3</v>
      </c>
      <c r="C15" s="7">
        <v>50</v>
      </c>
    </row>
    <row r="16">
      <c r="A16" s="7">
        <v>2017</v>
      </c>
      <c r="B16" s="7">
        <v>4</v>
      </c>
      <c r="C16" s="7">
        <v>51</v>
      </c>
    </row>
    <row r="17">
      <c r="A17" s="7">
        <v>2018</v>
      </c>
      <c r="B17" s="7">
        <v>5</v>
      </c>
      <c r="C17" s="7">
        <v>45</v>
      </c>
    </row>
    <row r="18">
      <c r="A18" s="7">
        <v>2019</v>
      </c>
      <c r="B18" s="7">
        <v>6</v>
      </c>
      <c r="C18" s="7">
        <v>46</v>
      </c>
    </row>
    <row r="19">
      <c r="A19" s="7">
        <v>2020</v>
      </c>
      <c r="B19" s="7">
        <v>7</v>
      </c>
      <c r="C19" s="7">
        <v>35</v>
      </c>
    </row>
    <row r="20" ht="18" customHeight="1">
      <c r="A20" s="8" t="s">
        <v>10</v>
      </c>
    </row>
    <row r="22" ht="18" customHeight="1">
      <c r="A22" s="5" t="s">
        <v>11</v>
      </c>
    </row>
    <row r="23" ht="45" customHeight="1">
      <c r="A23" s="1" t="s">
        <v>12</v>
      </c>
    </row>
    <row r="25" ht="27">
      <c r="A25" s="6" t="s">
        <v>13</v>
      </c>
      <c r="B25" s="6" t="s">
        <v>14</v>
      </c>
      <c r="C25" s="6" t="s">
        <v>15</v>
      </c>
    </row>
    <row r="26" ht="40.5">
      <c r="A26" s="7" t="s">
        <v>16</v>
      </c>
      <c r="B26" s="7" t="s">
        <v>17</v>
      </c>
      <c r="C26" s="7">
        <v>0.90980000000000005</v>
      </c>
    </row>
    <row r="27" ht="54">
      <c r="A27" s="7" t="s">
        <v>18</v>
      </c>
      <c r="B27" s="7" t="s">
        <v>19</v>
      </c>
      <c r="C27" s="7">
        <v>0.91439999999999999</v>
      </c>
    </row>
    <row r="28" ht="81">
      <c r="A28" s="7" t="s">
        <v>20</v>
      </c>
      <c r="B28" s="7" t="s">
        <v>21</v>
      </c>
      <c r="C28" s="7">
        <v>0.9395</v>
      </c>
    </row>
    <row r="29" ht="81">
      <c r="A29" s="7" t="s">
        <v>22</v>
      </c>
      <c r="B29" s="7" t="s">
        <v>23</v>
      </c>
      <c r="C29" s="7">
        <v>0.96599999999999997</v>
      </c>
    </row>
    <row r="30" ht="54">
      <c r="A30" s="7" t="s">
        <v>24</v>
      </c>
      <c r="B30" s="7" t="s">
        <v>25</v>
      </c>
      <c r="C30" s="7">
        <v>0.89119999999999999</v>
      </c>
    </row>
    <row r="31" ht="54">
      <c r="A31" s="7" t="s">
        <v>26</v>
      </c>
      <c r="B31" s="7" t="s">
        <v>27</v>
      </c>
      <c r="C31" s="7">
        <v>0.9153</v>
      </c>
    </row>
    <row r="32" ht="40.5">
      <c r="A32" s="7" t="s">
        <v>28</v>
      </c>
      <c r="B32" s="7" t="s">
        <v>29</v>
      </c>
      <c r="C32" s="7">
        <v>0.85660000000000003</v>
      </c>
    </row>
    <row r="33" ht="18" customHeight="1">
      <c r="A33" s="8" t="s">
        <v>30</v>
      </c>
    </row>
    <row r="35" ht="30" customHeight="1">
      <c r="A35" s="8" t="s">
        <v>31</v>
      </c>
    </row>
    <row r="59" ht="18" customHeight="1">
      <c r="A59" s="5" t="s">
        <v>32</v>
      </c>
    </row>
    <row r="60" ht="30" customHeight="1">
      <c r="A60" s="1" t="s">
        <v>33</v>
      </c>
    </row>
    <row r="61" ht="30" customHeight="1">
      <c r="A61" s="1" t="s">
        <v>34</v>
      </c>
    </row>
    <row r="63" ht="18" customHeight="1">
      <c r="A63" s="8" t="s">
        <v>35</v>
      </c>
    </row>
    <row r="78" ht="18" customHeight="1">
      <c r="A78" s="5" t="s">
        <v>36</v>
      </c>
    </row>
    <row r="79" ht="30" customHeight="1">
      <c r="A79" s="1" t="s">
        <v>37</v>
      </c>
    </row>
    <row r="81">
      <c r="A81" s="6" t="s">
        <v>7</v>
      </c>
      <c r="B81" s="6" t="s">
        <v>38</v>
      </c>
      <c r="C81" s="6" t="s">
        <v>39</v>
      </c>
    </row>
    <row r="82">
      <c r="A82" s="7">
        <v>2021</v>
      </c>
      <c r="B82" s="7">
        <v>8</v>
      </c>
      <c r="C82" s="7" t="s">
        <v>40</v>
      </c>
    </row>
    <row r="83">
      <c r="A83" s="7">
        <v>2022</v>
      </c>
      <c r="B83" s="7">
        <v>9</v>
      </c>
      <c r="C83" s="7" t="s">
        <v>41</v>
      </c>
    </row>
    <row r="84">
      <c r="A84" s="7">
        <v>2023</v>
      </c>
      <c r="B84" s="7">
        <v>10</v>
      </c>
      <c r="C84" s="7" t="s">
        <v>42</v>
      </c>
    </row>
    <row r="85">
      <c r="A85" s="7">
        <v>2024</v>
      </c>
      <c r="B85" s="7">
        <v>11</v>
      </c>
      <c r="C85" s="7" t="s">
        <v>43</v>
      </c>
    </row>
    <row r="86">
      <c r="A86" s="7">
        <v>2025</v>
      </c>
      <c r="B86" s="7">
        <v>12</v>
      </c>
      <c r="C86" s="7" t="s">
        <v>44</v>
      </c>
    </row>
    <row r="87" ht="18" customHeight="1">
      <c r="A87" s="8" t="s">
        <v>45</v>
      </c>
    </row>
    <row r="89" ht="18" customHeight="1">
      <c r="A89" s="8" t="s">
        <v>46</v>
      </c>
    </row>
    <row r="104" ht="18" customHeight="1">
      <c r="A104" s="5" t="s">
        <v>47</v>
      </c>
    </row>
    <row r="105" ht="105" customHeight="1">
      <c r="A105" s="1" t="s">
        <v>48</v>
      </c>
    </row>
    <row r="107" ht="18" customHeight="1">
      <c r="A107" s="5" t="s">
        <v>49</v>
      </c>
    </row>
    <row r="108" ht="75" customHeight="1">
      <c r="A108" s="1" t="s">
        <v>50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0"/>
    <col customWidth="1" min="2" max="2" width="5"/>
    <col customWidth="1" min="3" max="3" width="10"/>
    <col customWidth="1" min="4" max="10" width="15"/>
  </cols>
  <sheetData>
    <row r="1" ht="40" customHeight="1">
      <c r="A1" s="9" t="s">
        <v>7</v>
      </c>
      <c r="B1" s="9" t="s">
        <v>38</v>
      </c>
      <c r="C1" s="9" t="s">
        <v>51</v>
      </c>
      <c r="D1" s="9" t="s">
        <v>16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28</v>
      </c>
    </row>
    <row r="2">
      <c r="A2">
        <v>2014</v>
      </c>
      <c r="B2">
        <v>1</v>
      </c>
      <c r="C2">
        <v>66</v>
      </c>
      <c r="D2">
        <f>$B$20*$B$2+$B$21</f>
        <v>64.642856999999992</v>
      </c>
      <c r="E2">
        <f>$C$20*$B$2^2+$C$21*$B$2+$C$22</f>
        <v>65.595237999999995</v>
      </c>
      <c r="F2">
        <f>$D$20*$B$2^3+$D$21*$B$2^2+$D$22*$B$2+$D$23</f>
        <v>67.261904999999999</v>
      </c>
      <c r="G2">
        <f>$E$20*$B$2^4+$E$21*$B$2^3+$E$22*$B$2^2+$E$23*$B$2+$E$24</f>
        <v>66.248916999999992</v>
      </c>
      <c r="H2">
        <f>$F$20+$F$21*LN($B$2)</f>
        <v>68.368108000000007</v>
      </c>
      <c r="I2">
        <f>$G$20*EXP($G$21*$B$2)</f>
        <v>65.789683167918696</v>
      </c>
      <c r="J2">
        <f>$H$20*$B$2^$H$21</f>
        <v>70.248514999999998</v>
      </c>
    </row>
    <row r="3">
      <c r="A3">
        <v>2015</v>
      </c>
      <c r="B3">
        <v>2</v>
      </c>
      <c r="C3">
        <v>62</v>
      </c>
      <c r="D3">
        <f>$B$20*$B$3+$B$21</f>
        <v>60</v>
      </c>
      <c r="E3">
        <f>$C$20*$B$3^2+$C$21*$B$3+$C$22</f>
        <v>59.999998999999995</v>
      </c>
      <c r="F3">
        <f>$D$20*$B$3^3+$D$21*$B$3^2+$D$22*$B$3+$D$23</f>
        <v>58.333332999999996</v>
      </c>
      <c r="G3">
        <f>$E$20*$B$3^4+$E$21*$B$3^3+$E$22*$B$3^2+$E$23*$B$3+$E$24</f>
        <v>60.696961999999992</v>
      </c>
      <c r="H3">
        <f>$F$20+$F$21*LN($B$3)</f>
        <v>58.32057017033636</v>
      </c>
      <c r="I3">
        <f>$G$20*EXP($G$21*$B$3)</f>
        <v>59.944434128919461</v>
      </c>
      <c r="J3">
        <f>$H$20*$B$3^$H$21</f>
        <v>57.734141854661694</v>
      </c>
    </row>
    <row r="4">
      <c r="A4">
        <v>2016</v>
      </c>
      <c r="B4">
        <v>3</v>
      </c>
      <c r="C4">
        <v>50</v>
      </c>
      <c r="D4">
        <f>$B$20*$B$4+$B$21</f>
        <v>55.357142999999994</v>
      </c>
      <c r="E4">
        <f>$C$20*$B$4^2+$C$21*$B$4+$C$22</f>
        <v>54.78571199999999</v>
      </c>
      <c r="F4">
        <f>$D$20*$B$4^3+$D$21*$B$4^2+$D$22*$B$4+$D$23</f>
        <v>53.119044999999993</v>
      </c>
      <c r="G4">
        <f>$E$20*$B$4^4+$E$21*$B$4^3+$E$22*$B$4^2+$E$23*$B$4+$E$24</f>
        <v>52.781351000000001</v>
      </c>
      <c r="H4">
        <f>$F$20+$F$21*LN($B$4)</f>
        <v>52.443137315405899</v>
      </c>
      <c r="I4">
        <f>$G$20*EXP($G$21*$B$4)</f>
        <v>54.618520868460394</v>
      </c>
      <c r="J4">
        <f>$H$20*$B$4^$H$21</f>
        <v>51.474402804157769</v>
      </c>
    </row>
    <row r="5">
      <c r="A5">
        <v>2017</v>
      </c>
      <c r="B5">
        <v>4</v>
      </c>
      <c r="C5">
        <v>51</v>
      </c>
      <c r="D5">
        <f>$B$20*$B$5+$B$21</f>
        <v>50.714286000000001</v>
      </c>
      <c r="E5">
        <f>$C$20*$B$5^2+$C$21*$B$5+$C$22</f>
        <v>49.952376999999998</v>
      </c>
      <c r="F5">
        <f>$D$20*$B$5^3+$D$21*$B$5^2+$D$22*$B$5+$D$23</f>
        <v>49.952372999999994</v>
      </c>
      <c r="G5">
        <f>$E$20*$B$5^4+$E$21*$B$5^3+$E$22*$B$5^2+$E$23*$B$5+$E$24</f>
        <v>47.926306000000011</v>
      </c>
      <c r="H5">
        <f>$F$20+$F$21*LN($B$5)</f>
        <v>48.273032340672714</v>
      </c>
      <c r="I5">
        <f>$G$20*EXP($G$21*$B$5)</f>
        <v>49.765801699665111</v>
      </c>
      <c r="J5">
        <f>$H$20*$B$5^$H$21</f>
        <v>47.449133062730219</v>
      </c>
    </row>
    <row r="6">
      <c r="A6">
        <v>2018</v>
      </c>
      <c r="B6">
        <v>5</v>
      </c>
      <c r="C6">
        <v>45</v>
      </c>
      <c r="D6">
        <f>$B$20*$B$6+$B$21</f>
        <v>46.071428999999995</v>
      </c>
      <c r="E6">
        <f>$C$20*$B$6^2+$C$21*$B$6+$C$22</f>
        <v>45.499993999999994</v>
      </c>
      <c r="F6">
        <f>$D$20*$B$6^3+$D$21*$B$6^2+$D$22*$B$6+$D$23</f>
        <v>47.166649000000007</v>
      </c>
      <c r="G6">
        <f>$E$20*$B$6^4+$E$21*$B$6^3+$E$22*$B$6^2+$E$23*$B$6+$E$24</f>
        <v>46.828769000000008</v>
      </c>
      <c r="H6">
        <f>$F$20+$F$21*LN($B$6)</f>
        <v>45.038447628860396</v>
      </c>
      <c r="I6">
        <f>$G$20*EXP($G$21*$B$6)</f>
        <v>45.344234509296825</v>
      </c>
      <c r="J6">
        <f>$H$20*$B$6^$H$21</f>
        <v>44.544960799468434</v>
      </c>
    </row>
    <row r="7">
      <c r="A7">
        <v>2019</v>
      </c>
      <c r="B7">
        <v>6</v>
      </c>
      <c r="C7">
        <v>46</v>
      </c>
      <c r="D7">
        <f>$B$20*$B$7+$B$21</f>
        <v>41.428571999999996</v>
      </c>
      <c r="E7">
        <f>$C$20*$B$7^2+$C$21*$B$7+$C$22</f>
        <v>41.428562999999997</v>
      </c>
      <c r="F7">
        <f>$D$20*$B$7^3+$D$21*$B$7^2+$D$22*$B$7+$D$23</f>
        <v>43.095204999999993</v>
      </c>
      <c r="G7">
        <f>$E$20*$B$7^4+$E$21*$B$7^3+$E$22*$B$7^2+$E$23*$B$7+$E$24</f>
        <v>45.458402000000049</v>
      </c>
      <c r="H7">
        <f>$F$20+$F$21*LN($B$7)</f>
        <v>42.395599485742252</v>
      </c>
      <c r="I7">
        <f>$G$20*EXP($G$21*$B$7)</f>
        <v>41.315512520879203</v>
      </c>
      <c r="J7">
        <f>$H$20*$B$7^$H$21</f>
        <v>42.304530898329176</v>
      </c>
    </row>
    <row r="8">
      <c r="A8">
        <v>2020</v>
      </c>
      <c r="B8">
        <v>7</v>
      </c>
      <c r="C8">
        <v>35</v>
      </c>
      <c r="D8">
        <f>$B$20*$B$8+$B$21</f>
        <v>36.785714999999996</v>
      </c>
      <c r="E8">
        <f>$C$20*$B$8^2+$C$21*$B$8+$C$22</f>
        <v>37.738084000000001</v>
      </c>
      <c r="F8">
        <f>$D$20*$B$8^3+$D$21*$B$8^2+$D$22*$B$8+$D$23</f>
        <v>36.071373000000008</v>
      </c>
      <c r="G8">
        <f>$E$20*$B$8^4+$E$21*$B$8^3+$E$22*$B$8^2+$E$23*$B$8+$E$24</f>
        <v>35.057587000000041</v>
      </c>
      <c r="H8">
        <f>$F$20+$F$21*LN($B$8)</f>
        <v>40.161103219333796</v>
      </c>
      <c r="I8">
        <f>$G$20*EXP($G$21*$B$8)</f>
        <v>37.644732419354206</v>
      </c>
      <c r="J8">
        <f>$H$20*$B$8^$H$21</f>
        <v>40.498418456018662</v>
      </c>
    </row>
    <row r="9">
      <c r="A9">
        <v>2021</v>
      </c>
      <c r="B9">
        <v>8</v>
      </c>
      <c r="D9">
        <f>$B$20*$B$9+$B$21</f>
        <v>32.142857999999997</v>
      </c>
      <c r="E9">
        <f>$C$20*$B$9^2+$C$21*$B$9+$C$22</f>
        <v>34.428556999999991</v>
      </c>
      <c r="F9">
        <f>$D$20*$B$9^3+$D$21*$B$9^2+$D$22*$B$9+$D$23</f>
        <v>24.428484999999995</v>
      </c>
      <c r="G9">
        <f>$E$20*$B$9^4+$E$21*$B$9^3+$E$22*$B$9^2+$E$23*$B$9+$E$24</f>
        <v>2.1414260000000667</v>
      </c>
      <c r="H9">
        <f>$F$20+$F$21*LN($B$9)</f>
        <v>38.225494511009074</v>
      </c>
      <c r="I9">
        <f>$G$20*EXP($G$21*$B$9)</f>
        <v>34.300091962035303</v>
      </c>
      <c r="J9">
        <f>$H$20*$B$9^$H$21</f>
        <v>38.996340052517617</v>
      </c>
    </row>
    <row r="10">
      <c r="A10">
        <v>2022</v>
      </c>
      <c r="B10">
        <v>9</v>
      </c>
      <c r="D10">
        <f>$B$20*$B$10+$B$21</f>
        <v>27.500000999999997</v>
      </c>
      <c r="E10">
        <f>$C$20*$B$10^2+$C$21*$B$10+$C$22</f>
        <v>31.499981999999989</v>
      </c>
      <c r="F10">
        <f>$D$20*$B$10^3+$D$21*$B$10^2+$D$22*$B$10+$D$23</f>
        <v>6.4998729999999796</v>
      </c>
      <c r="G10">
        <f>$E$20*$B$10^4+$E$21*$B$10^3+$E$22*$B$10^2+$E$23*$B$10+$E$24</f>
        <v>-71.502258999999682</v>
      </c>
      <c r="H10">
        <f>$F$20+$F$21*LN($B$10)</f>
        <v>36.518166630811784</v>
      </c>
      <c r="I10">
        <f>$G$20*EXP($G$21*$B$10)</f>
        <v>31.252614456072195</v>
      </c>
      <c r="J10">
        <f>$H$20*$B$10^$H$21</f>
        <v>37.717724624423532</v>
      </c>
    </row>
    <row r="11">
      <c r="A11">
        <v>2023</v>
      </c>
      <c r="B11">
        <v>10</v>
      </c>
      <c r="D11">
        <f>$B$20*$B$11+$B$21</f>
        <v>22.857143999999998</v>
      </c>
      <c r="E11">
        <f>$C$20*$B$11^2+$C$21*$B$11+$C$22</f>
        <v>28.952358999999987</v>
      </c>
      <c r="F11">
        <f>$D$20*$B$11^3+$D$21*$B$11^2+$D$22*$B$11+$D$23</f>
        <v>-19.381130999999982</v>
      </c>
      <c r="G11">
        <f>$E$20*$B$11^4+$E$21*$B$11^3+$E$22*$B$11^2+$E$23*$B$11+$E$24</f>
        <v>-208.812926</v>
      </c>
      <c r="H11">
        <f>$F$20+$F$21*LN($B$11)</f>
        <v>34.990909799196743</v>
      </c>
      <c r="I11">
        <f>$G$20*EXP($G$21*$B$11)</f>
        <v>28.475897715404713</v>
      </c>
      <c r="J11">
        <f>$H$20*$B$11^$H$21</f>
        <v>36.609529549583435</v>
      </c>
    </row>
    <row r="12">
      <c r="A12">
        <v>2024</v>
      </c>
      <c r="B12">
        <v>11</v>
      </c>
      <c r="D12">
        <f>$B$20*$B$12+$B$21</f>
        <v>18.214286999999999</v>
      </c>
      <c r="E12">
        <f>$C$20*$B$12^2+$C$21*$B$12+$C$22</f>
        <v>26.785687999999993</v>
      </c>
      <c r="F12">
        <f>$D$20*$B$12^3+$D$21*$B$12^2+$D$22*$B$12+$D$23</f>
        <v>-54.881195000000019</v>
      </c>
      <c r="G12">
        <f>$E$20*$B$12^4+$E$21*$B$12^3+$E$22*$B$12^2+$E$23*$B$12+$E$24</f>
        <v>-437.45731299999989</v>
      </c>
      <c r="H12">
        <f>$F$20+$F$21*LN($B$12)</f>
        <v>33.609337942607219</v>
      </c>
      <c r="I12">
        <f>$G$20*EXP($G$21*$B$12)</f>
        <v>25.945885322264388</v>
      </c>
      <c r="J12">
        <f>$H$20*$B$12^$H$21</f>
        <v>35.635121036189574</v>
      </c>
    </row>
    <row r="13">
      <c r="A13">
        <v>2025</v>
      </c>
      <c r="B13">
        <v>12</v>
      </c>
      <c r="D13">
        <f>$B$20*$B$13+$B$21</f>
        <v>13.571429999999992</v>
      </c>
      <c r="E13">
        <f>$C$20*$B$13^2+$C$21*$B$13+$C$22</f>
        <v>24.999968999999993</v>
      </c>
      <c r="F13">
        <f>$D$20*$B$13^3+$D$21*$B$13^2+$D$22*$B$13+$D$23</f>
        <v>-101.66698700000003</v>
      </c>
      <c r="G13">
        <f>$E$20*$B$13^4+$E$21*$B$13^3+$E$22*$B$13^2+$E$23*$B$13+$E$24</f>
        <v>-789.82943799999964</v>
      </c>
      <c r="H13">
        <f>$F$20+$F$21*LN($B$13)</f>
        <v>32.348061656078606</v>
      </c>
      <c r="I13">
        <f>$G$20*EXP($G$21*$B$13)</f>
        <v>23.6406582115203</v>
      </c>
      <c r="J13">
        <f>$H$20*$B$13^$H$21</f>
        <v>34.768219484483843</v>
      </c>
    </row>
    <row r="18">
      <c r="A18" s="10" t="s">
        <v>57</v>
      </c>
    </row>
    <row r="19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 t="s">
        <v>63</v>
      </c>
      <c r="G19" s="11" t="s">
        <v>64</v>
      </c>
      <c r="H19" s="11" t="s">
        <v>65</v>
      </c>
    </row>
    <row r="20">
      <c r="A20" t="s">
        <v>66</v>
      </c>
      <c r="B20" s="12">
        <v>-4.6428570000000002</v>
      </c>
      <c r="C20" s="12">
        <v>0.19047600000000001</v>
      </c>
      <c r="D20" s="12">
        <v>-0.27777800000000002</v>
      </c>
      <c r="E20" s="12">
        <v>-0.19697000000000001</v>
      </c>
      <c r="F20" s="12">
        <v>68.368108000000007</v>
      </c>
      <c r="G20" s="12">
        <v>72.204909000000001</v>
      </c>
      <c r="H20" s="12">
        <v>70.248514999999998</v>
      </c>
    </row>
    <row r="21">
      <c r="A21" t="s">
        <v>67</v>
      </c>
      <c r="B21" s="12">
        <v>69.285713999999999</v>
      </c>
      <c r="C21" s="12">
        <v>-6.1666670000000003</v>
      </c>
      <c r="D21" s="12">
        <v>3.5238100000000001</v>
      </c>
      <c r="E21" s="12">
        <v>2.8737370000000002</v>
      </c>
      <c r="F21" s="12">
        <v>-14.495533</v>
      </c>
      <c r="G21" s="12">
        <v>-0.093045000000000003</v>
      </c>
      <c r="H21" s="12">
        <v>-0.28304299999999999</v>
      </c>
    </row>
    <row r="22">
      <c r="A22" t="s">
        <v>68</v>
      </c>
      <c r="C22" s="12">
        <v>71.571428999999995</v>
      </c>
      <c r="D22" s="12">
        <v>-17.555555999999999</v>
      </c>
      <c r="E22" s="12">
        <v>-13.5</v>
      </c>
    </row>
    <row r="23">
      <c r="D23" s="12">
        <v>81.571428999999995</v>
      </c>
      <c r="E23" s="12">
        <v>17.786435999999998</v>
      </c>
    </row>
    <row r="24">
      <c r="E24" s="12">
        <v>59.285713999999999</v>
      </c>
    </row>
  </sheetData>
  <mergeCells count="1">
    <mergeCell ref="A18:H18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8"/>
    <col customWidth="1" min="2" max="2" width="48"/>
    <col customWidth="1" min="3" max="8" width="12"/>
  </cols>
  <sheetData>
    <row r="1">
      <c r="A1" s="13" t="s">
        <v>13</v>
      </c>
      <c r="B1" s="13" t="s">
        <v>14</v>
      </c>
      <c r="C1" s="13" t="s">
        <v>15</v>
      </c>
      <c r="D1" s="13" t="s">
        <v>69</v>
      </c>
      <c r="E1" s="13" t="s">
        <v>70</v>
      </c>
      <c r="F1" s="13" t="s">
        <v>71</v>
      </c>
      <c r="G1" s="13" t="s">
        <v>72</v>
      </c>
      <c r="H1" s="13" t="s">
        <v>73</v>
      </c>
    </row>
    <row r="2">
      <c r="A2" s="14" t="s">
        <v>16</v>
      </c>
      <c r="B2" s="14" t="s">
        <v>17</v>
      </c>
      <c r="C2" s="15">
        <v>0.90980000000000005</v>
      </c>
      <c r="D2" s="16">
        <v>32.143000000000001</v>
      </c>
      <c r="E2" s="16">
        <v>27.5</v>
      </c>
      <c r="F2" s="16">
        <v>22.856999999999999</v>
      </c>
      <c r="G2" s="16">
        <v>18.213999999999999</v>
      </c>
      <c r="H2" s="16">
        <v>13.571</v>
      </c>
    </row>
    <row r="3">
      <c r="A3" s="14" t="s">
        <v>18</v>
      </c>
      <c r="B3" s="14" t="s">
        <v>19</v>
      </c>
      <c r="C3" s="15">
        <v>0.91439999999999999</v>
      </c>
      <c r="D3" s="16">
        <v>34.429000000000002</v>
      </c>
      <c r="E3" s="16">
        <v>31.5</v>
      </c>
      <c r="F3" s="16">
        <v>28.952000000000002</v>
      </c>
      <c r="G3" s="16">
        <v>26.786000000000001</v>
      </c>
      <c r="H3" s="16">
        <v>25</v>
      </c>
    </row>
    <row r="4">
      <c r="A4" s="14" t="s">
        <v>20</v>
      </c>
      <c r="B4" s="14" t="s">
        <v>21</v>
      </c>
      <c r="C4" s="15">
        <v>0.9395</v>
      </c>
      <c r="D4" s="16">
        <v>24.428999999999998</v>
      </c>
      <c r="E4" s="16">
        <v>6.5</v>
      </c>
      <c r="F4" s="16">
        <v>-19.381</v>
      </c>
      <c r="G4" s="16">
        <v>-54.881</v>
      </c>
      <c r="H4" s="16">
        <v>-101.667</v>
      </c>
    </row>
    <row r="5">
      <c r="A5" s="14" t="s">
        <v>22</v>
      </c>
      <c r="B5" s="14" t="s">
        <v>23</v>
      </c>
      <c r="C5" s="17">
        <v>0.96599999999999997</v>
      </c>
      <c r="D5" s="16">
        <v>2.1429999999999998</v>
      </c>
      <c r="E5" s="16">
        <v>-71.5</v>
      </c>
      <c r="F5" s="16">
        <v>-208.81</v>
      </c>
      <c r="G5" s="16">
        <v>-437.452</v>
      </c>
      <c r="H5" s="16">
        <v>-789.82299999999998</v>
      </c>
    </row>
    <row r="6">
      <c r="A6" s="14" t="s">
        <v>24</v>
      </c>
      <c r="B6" s="14" t="s">
        <v>25</v>
      </c>
      <c r="C6" s="15">
        <v>0.89119999999999999</v>
      </c>
      <c r="D6" s="16">
        <v>38.225000000000001</v>
      </c>
      <c r="E6" s="16">
        <v>36.518000000000001</v>
      </c>
      <c r="F6" s="16">
        <v>34.991</v>
      </c>
      <c r="G6" s="16">
        <v>33.609000000000002</v>
      </c>
      <c r="H6" s="16">
        <v>32.347999999999999</v>
      </c>
    </row>
    <row r="7">
      <c r="A7" s="14" t="s">
        <v>26</v>
      </c>
      <c r="B7" s="14" t="s">
        <v>27</v>
      </c>
      <c r="C7" s="15">
        <v>0.9153</v>
      </c>
      <c r="D7" s="16">
        <v>34.299999999999997</v>
      </c>
      <c r="E7" s="16">
        <v>31.253</v>
      </c>
      <c r="F7" s="16">
        <v>28.475999999999999</v>
      </c>
      <c r="G7" s="16">
        <v>25.946000000000002</v>
      </c>
      <c r="H7" s="16">
        <v>23.640999999999998</v>
      </c>
    </row>
    <row r="8">
      <c r="A8" s="14" t="s">
        <v>28</v>
      </c>
      <c r="B8" s="14" t="s">
        <v>29</v>
      </c>
      <c r="C8" s="15">
        <v>0.85660000000000003</v>
      </c>
      <c r="D8" s="16">
        <v>38.996000000000002</v>
      </c>
      <c r="E8" s="16">
        <v>37.718000000000004</v>
      </c>
      <c r="F8" s="16">
        <v>36.609999999999999</v>
      </c>
      <c r="G8" s="16">
        <v>35.634999999999998</v>
      </c>
      <c r="H8" s="16">
        <v>34.768000000000001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34">
      <c r="L34" s="18" t="s">
        <v>7</v>
      </c>
      <c r="M34" s="18" t="s">
        <v>74</v>
      </c>
    </row>
    <row r="35">
      <c r="L35">
        <v>2021</v>
      </c>
      <c r="M35">
        <v>2.1429999999999998</v>
      </c>
    </row>
    <row r="36">
      <c r="L36">
        <v>2022</v>
      </c>
      <c r="M36">
        <v>-71.5</v>
      </c>
    </row>
    <row r="37">
      <c r="L37">
        <v>2023</v>
      </c>
      <c r="M37">
        <v>-208.81</v>
      </c>
    </row>
    <row r="38">
      <c r="L38">
        <v>2024</v>
      </c>
      <c r="M38">
        <v>-437.452</v>
      </c>
    </row>
    <row r="39">
      <c r="L39">
        <v>2025</v>
      </c>
      <c r="M39">
        <v>-789.82299999999998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2026-09-18T13:52:56Z</dcterms:created>
  <dcterms:modified xsi:type="dcterms:W3CDTF">2026-09-18T13:55:30Z</dcterms:modified>
</cp:coreProperties>
</file>