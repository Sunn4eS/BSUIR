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10755" firstSheet="4" activeTab="5"/>
  </bookViews>
  <sheets>
    <sheet name="Задание" sheetId="1" r:id="rId1"/>
    <sheet name="Тек_карты_В3" sheetId="2" state="hidden" r:id="rId2"/>
    <sheet name="Склад_Остатки_В3" sheetId="3" state="hidden" r:id="rId3"/>
    <sheet name="Заказы_Клиентов_В3" sheetId="4" r:id="rId4"/>
    <sheet name="Расчет_МРП" sheetId="5" r:id="rId5"/>
    <sheet name="Этап1_УсловнаяЕдиница" sheetId="6" r:id="rId6"/>
    <sheet name="Этап2_ФондВремени" sheetId="7" r:id="rId7"/>
    <sheet name="Этап3_Произв_мощность" sheetId="8" r:id="rId8"/>
    <sheet name="Сравнение_Сценариев" sheetId="9" state="hidden" r:id="rId9"/>
    <sheet name="Выводы" sheetId="10" r:id="rId10"/>
    <sheet name="Sheet1" sheetId="11" state="hidden" r:id="rId11"/>
  </sheets>
  <calcPr calcId="144525"/>
</workbook>
</file>

<file path=xl/sharedStrings.xml><?xml version="1.0" encoding="utf-8"?>
<sst xmlns="http://schemas.openxmlformats.org/spreadsheetml/2006/main" count="579" uniqueCount="273">
  <si>
    <t>ЛАБОРАТОРНАЯ РАБОТА №6. Планирование потребности в производственной мощности</t>
  </si>
  <si>
    <t>Вариант № 3</t>
  </si>
  <si>
    <t>Вариант</t>
  </si>
  <si>
    <t>№ 3</t>
  </si>
  <si>
    <t>Плановый период</t>
  </si>
  <si>
    <t>май 2018 г.</t>
  </si>
  <si>
    <t>Режим работы предприятия</t>
  </si>
  <si>
    <t>5-ти дневная рабочая неделя, 1 смена, длительность смены 8 ч</t>
  </si>
  <si>
    <t>Характер производственного процесса</t>
  </si>
  <si>
    <t>прерывный</t>
  </si>
  <si>
    <t>по заданию — 30 % от календарного фонда времени; обоснование выбора базы расчёта — лист «Этап2_ФондВремени», п. 3-4</t>
  </si>
  <si>
    <t>Количество единиц оборудования</t>
  </si>
  <si>
    <t>Оборудование</t>
  </si>
  <si>
    <t>Кол-во единиц, шт.</t>
  </si>
  <si>
    <t>Оборудование 1</t>
  </si>
  <si>
    <t>Оборудование 2</t>
  </si>
  <si>
    <t>Оборудование 3</t>
  </si>
  <si>
    <t>Оборудование 4</t>
  </si>
  <si>
    <t>Оборудование 5</t>
  </si>
  <si>
    <t>Оборудование 6</t>
  </si>
  <si>
    <t>Оборудование 7</t>
  </si>
  <si>
    <t>Спецификации и технологические карты (вариант 3) — лист «ОсновныеДанные» файла «ЛР4 ППМ В3.xlsx»</t>
  </si>
  <si>
    <t>1. Спецификации (норма расхода компонента на 1 кг изделия)</t>
  </si>
  <si>
    <t>Изделие (потребитель)</t>
  </si>
  <si>
    <t>Материал (компонент)</t>
  </si>
  <si>
    <t>Норма расхода</t>
  </si>
  <si>
    <t>Ед. изм.</t>
  </si>
  <si>
    <t>Объём производства изделия-потребителя, кг (ссылка на «Расчет_МРП»)</t>
  </si>
  <si>
    <t>Фарш говяжий</t>
  </si>
  <si>
    <t>говядина</t>
  </si>
  <si>
    <t>кг</t>
  </si>
  <si>
    <t>яйцо</t>
  </si>
  <si>
    <t>шт</t>
  </si>
  <si>
    <t>лук репчатый</t>
  </si>
  <si>
    <t>перец</t>
  </si>
  <si>
    <t>соль</t>
  </si>
  <si>
    <t>Фарш домашний</t>
  </si>
  <si>
    <t>свинина</t>
  </si>
  <si>
    <t>Фарш куриный</t>
  </si>
  <si>
    <t>тушка цыпленка</t>
  </si>
  <si>
    <t>Тесто</t>
  </si>
  <si>
    <t>мука</t>
  </si>
  <si>
    <t>сахар</t>
  </si>
  <si>
    <t>разрыхлитель для теста</t>
  </si>
  <si>
    <t>Пельмени из говядины</t>
  </si>
  <si>
    <t>Пельмени домашние</t>
  </si>
  <si>
    <t>Котлета по киевски</t>
  </si>
  <si>
    <t>масло сливочное</t>
  </si>
  <si>
    <t>сухари панировочные</t>
  </si>
  <si>
    <t>петрушка</t>
  </si>
  <si>
    <t>Блины</t>
  </si>
  <si>
    <t>Цыпленок фаршированный</t>
  </si>
  <si>
    <t>лук зеленый</t>
  </si>
  <si>
    <t>пленка пищевая</t>
  </si>
  <si>
    <t>м кв</t>
  </si>
  <si>
    <t>2. Технологические карты</t>
  </si>
  <si>
    <t>Изделие</t>
  </si>
  <si>
    <t>Операция</t>
  </si>
  <si>
    <t>Цех</t>
  </si>
  <si>
    <t>Размер партии, кг</t>
  </si>
  <si>
    <t>Трудоёмкость, чел-ч на партию</t>
  </si>
  <si>
    <t>Станкоёмкость по карте, маш-ч на партию</t>
  </si>
  <si>
    <t>Станкоёмкость принятая, маш-ч на партию</t>
  </si>
  <si>
    <t>Станкоёмкость, ч/кг</t>
  </si>
  <si>
    <t>разрезка мяса на куски</t>
  </si>
  <si>
    <t>№1</t>
  </si>
  <si>
    <t>оборудование 1</t>
  </si>
  <si>
    <t>приготовление фарша</t>
  </si>
  <si>
    <t>оборудование 2</t>
  </si>
  <si>
    <t>приготовление теста</t>
  </si>
  <si>
    <t>№2</t>
  </si>
  <si>
    <t>оборудование 3</t>
  </si>
  <si>
    <t>Лепка пельменей</t>
  </si>
  <si>
    <t>№3</t>
  </si>
  <si>
    <t>оборудование 4</t>
  </si>
  <si>
    <t>Заморозка пельменей</t>
  </si>
  <si>
    <t>оборудование 5</t>
  </si>
  <si>
    <t>Лепка котлеты</t>
  </si>
  <si>
    <t>обвалка котлеты</t>
  </si>
  <si>
    <t>не указано (ручная операция)</t>
  </si>
  <si>
    <t>заморозка котлеты</t>
  </si>
  <si>
    <t>выпечка блинов</t>
  </si>
  <si>
    <t>оборудование 6</t>
  </si>
  <si>
    <t>фаршировка тушки цыпленка</t>
  </si>
  <si>
    <t>оборудование 7</t>
  </si>
  <si>
    <t>упаковка тушки цыпленка</t>
  </si>
  <si>
    <t>Примечания:</t>
  </si>
  <si>
    <t>1) Станкоёмкость, ч/кг = станкоёмкость принятая, маш-ч на партию ÷ размер партии, кг.</t>
  </si>
  <si>
    <t>2) Если в технологической карте станкоёмкость (маш-ч) не указана, но задана трудоёмкость (чел-ч), принимается равная ей величина: операции «фаршировка тушки цыпленка» и «упаковка тушки цыпленка» (оборудование 7) — 2 + 2 = 4 чел-ч на партию 10 кг ⇒ 0,4 ч/кг.</t>
  </si>
  <si>
    <t>3) Операция «обвалка котлеты» оборудования не имеет (ручная) — в расчёт мощности не включается.</t>
  </si>
  <si>
    <t>4) Спецификация «Пельмени из говядины» в производственную программу не включена: заказов клиентов на неё нет и она не является компонентом другой продукции, поэтому «Фарш говяжий» не производится (см. «Расчет_МРП»).</t>
  </si>
  <si>
    <t>5) В технологической карте для операции «выпечка блинов» указан цех «№3»; по описанию цехов в задании выпечка блинов относится к цеху 2 (мучных заготовок) — распределение оборудования по цехам принято по тексту задания (лист «Задание»).</t>
  </si>
  <si>
    <t>6) Нулем в графе «Станкоёмкость по карте» отмечены операции, для которых в технологической карте станкоёмкость не задана (трудоёмкость 0 — операция без затрат труда рабочих).</t>
  </si>
  <si>
    <t>Остатки на начало планового периода и политика запасов — лист «СкладОстатки» файла «ЛР4 ППМ В3.xlsx»</t>
  </si>
  <si>
    <t>1. Готовая продукция (уровень 0)</t>
  </si>
  <si>
    <t>Остаток на начало, кг</t>
  </si>
  <si>
    <t>Котлеты киевские</t>
  </si>
  <si>
    <t>Цыплята фаршированные</t>
  </si>
  <si>
    <t>пельмени домашние</t>
  </si>
  <si>
    <t>2. Полуфабрикаты (уровень 1)</t>
  </si>
  <si>
    <t>фарш говяжий</t>
  </si>
  <si>
    <t>фарш куриный</t>
  </si>
  <si>
    <t>фарш домашний</t>
  </si>
  <si>
    <t>3. Материалы (уровень 2)</t>
  </si>
  <si>
    <t>Материал</t>
  </si>
  <si>
    <t>Остаток на начало</t>
  </si>
  <si>
    <t>цыплята (тушка цыпленка)</t>
  </si>
  <si>
    <t>перец черный</t>
  </si>
  <si>
    <t>гр</t>
  </si>
  <si>
    <t>петрушка свежая</t>
  </si>
  <si>
    <t>4. Политика запасов (норматив запаса на конец периода)</t>
  </si>
  <si>
    <t>Группа</t>
  </si>
  <si>
    <t>Норматив, % от потребности периода</t>
  </si>
  <si>
    <t>Готовая продукция (уровень 0)</t>
  </si>
  <si>
    <t>Полуфабрикаты (уровень 1)</t>
  </si>
  <si>
    <t>Материалы (уровень 2)</t>
  </si>
  <si>
    <t>1) В листе «СкладОстатки» позиция B13 названа «фарш говяжий» (70 кг) и дублирует позицию B11; по смыслу (спецификации и заказы) это остаток «Фарша домашнего» — он и использован в расчёте.</t>
  </si>
  <si>
    <t>2) Наименования материалов в расчёте приведены к названиям спецификаций («тушка цыпленка», «перец», «петрушка»); количества взяты без изменений.</t>
  </si>
  <si>
    <t>3) Остаток «разрыхлителя для теста» задан в граммах (100 гр) и пересчитывается в кг делением на 1000 (см. «Расчет_МРП»).</t>
  </si>
  <si>
    <t>Заказы клиентов (независимый спрос)</t>
  </si>
  <si>
    <t>Изделие / материал</t>
  </si>
  <si>
    <t>Заказ клиентов, кг</t>
  </si>
  <si>
    <t>Уровень</t>
  </si>
  <si>
    <t>По «Пельмени домашние», «Блины» и «Фарш говяжий» заказов клиентов нет — объём выпуска определяется зависимой потребностью (а по пельменям она равна нулю).</t>
  </si>
  <si>
    <t>Проект производственной программы: расчёт потребности в материалах методом MRP (вариант 3)</t>
  </si>
  <si>
    <t>Заказы клиентов</t>
  </si>
  <si>
    <t>Зависимая потребность</t>
  </si>
  <si>
    <t>Общая потребность</t>
  </si>
  <si>
    <t>Норматив запаса, %</t>
  </si>
  <si>
    <t>Остаток на конец (норматив)</t>
  </si>
  <si>
    <t>Объём производства</t>
  </si>
  <si>
    <t>Объём закупки</t>
  </si>
  <si>
    <t>Остаток на конец (факт.)</t>
  </si>
  <si>
    <t>Примечание</t>
  </si>
  <si>
    <t>Уровень 0. Готовая продукция (норматив запаса — «Склад_Остатки_В3»!B31)</t>
  </si>
  <si>
    <t>Независимый спрос (заказ клиентов). Компонент «Фарш куриный» 0,8 кг/кг → уровень 1</t>
  </si>
  <si>
    <t>Независимый спрос. Компоненты: «Тушка цыпленка» 0,8 (уровень 2), «Блины» 0,2 кг/кг (уровень 1)</t>
  </si>
  <si>
    <t>Заказов клиентов нет; зависимая потребность равна 0 (нет выпуска изделия верхнего уровня)</t>
  </si>
  <si>
    <t>Уровень 1. Полуфабрикаты (норматив запаса — «Склад_Остатки_В3»!B32)</t>
  </si>
  <si>
    <t>Зависимая потребность = объём производства цыплёнка × норма расхода «Блинов» (0,2 кг/кг)</t>
  </si>
  <si>
    <t>Зависимая потребность = объём производства котлеты × 0,8 кг/кг</t>
  </si>
  <si>
    <t>Зависимая потребность = объём производства пельменей домашних × 0,7 кг/кг (равно 0)</t>
  </si>
  <si>
    <t>«Пельмени из говядины» в программу не входят (нет заказов, нет верхнего уровня) → зависимая потребность 0</t>
  </si>
  <si>
    <t>Зависимая потребность = объём производства блинов × 0,8 + объём пельменей домашних × 0,3</t>
  </si>
  <si>
    <t>ИТОГО</t>
  </si>
  <si>
    <t>Производственная программа (уровни 0-1), кг</t>
  </si>
  <si>
    <t>Эти объёмы производства используются далее как «проект производственной программы»</t>
  </si>
  <si>
    <t xml:space="preserve">Уровень 2. Закупаемые материалы (норматив запаса — «Склад_Остатки_В3»!B33). </t>
  </si>
  <si>
    <t>Этап 1. Условная единица — норма станкоёмкости условного изделия по видам оборудования</t>
  </si>
  <si>
    <t>Условная единица — 1 кг усреднённого изделия производственной программы. Норма станкоёмкости условного изделия по j-му виду оборудования = Σ (станкоёмкость изделия i, ч/кг × удельный вес изделия i в программе).</t>
  </si>
  <si>
    <t>1. Производственная программа и удельные веса изделий</t>
  </si>
  <si>
    <t>Объём производства, кг (= Расчет_МРП)</t>
  </si>
  <si>
    <t>Удельный вес в программе</t>
  </si>
  <si>
    <t>Цех (по заданию)</t>
  </si>
  <si>
    <t>Цех 3 (готовой продукции)</t>
  </si>
  <si>
    <t>Цех 2 (мучных заготовок)</t>
  </si>
  <si>
    <t>Цех 1 (разделочный)</t>
  </si>
  <si>
    <t>ИТОГО по программе</t>
  </si>
  <si>
    <t>2. Нормы станкоёмкости изделий по видам оборудования, ч/кг (из технологических карт)</t>
  </si>
  <si>
    <t>3. Таблица. Станкоёмкость условного изделия по видам оборудования</t>
  </si>
  <si>
    <t>Вид оборудования</t>
  </si>
  <si>
    <t>Станкоёмкость изготовления условного изделия, нормо-ч/ед.</t>
  </si>
  <si>
    <t>Этап 2. Фонд времени работы наличного оборудования — май 2018 г.</t>
  </si>
  <si>
    <t>Режим работы: 5-ти дневная неделя, 1 смена, 8 ч. Процесс прерывный ⇒ действительный (плановый) фонд Фд = Фр − (Рк + Рпп).</t>
  </si>
  <si>
    <t>1. Исходные данные</t>
  </si>
  <si>
    <t>Календарные дни периода, Дк</t>
  </si>
  <si>
    <t>Выходные дни (суббота, воскресенье), Дв</t>
  </si>
  <si>
    <t>Праздничные дни, Дп (1 мая — Праздник Весны и Труда, 9 мая — День Победы)</t>
  </si>
  <si>
    <t>Рабочих дней в периоде = Дк − Дв − Дп</t>
  </si>
  <si>
    <t>Длительность смены, Дсм, ч</t>
  </si>
  <si>
    <t>Количество смен, Ксм</t>
  </si>
  <si>
    <t>Предпраздничные сокращённые дни, Дп.д</t>
  </si>
  <si>
    <t>Нерабочих часов в предпраздничные дни, tн</t>
  </si>
  <si>
    <t>Плановый ремонтный фонд, % (= Задание!B9)</t>
  </si>
  <si>
    <t>2. Фонды времени единицы оборудования</t>
  </si>
  <si>
    <t>Календарный фонд, Фк = Дк × 24, ч</t>
  </si>
  <si>
    <t>Режимный (номинальный) фонд, Фр = (Дсм × (Дк − Дв − Дп) − tн × Дп.д) × Ксм, ч</t>
  </si>
  <si>
    <t>Ремонтный фонд от КАЛЕНДАРНОГО фонда (дословно по заданию), Рк + Рпп = % × Фк, ч</t>
  </si>
  <si>
    <t>Ремонтный фонд от РЕЖИМНОГО фонда (уточнение для прерывного процесса), Рк + Рпп = % × Фр, ч</t>
  </si>
  <si>
    <t>3. Сценарный расчёт действительного фонда времени</t>
  </si>
  <si>
    <t>По заданию ремонтный фонд составляет 30 % от КАЛЕНДАРНОГО фонда, тогда как заданный режим работы (5 дней, 1 смена) даёт Фр = 168 ч, а 0,3 × Фк = 223,2 ч &gt; Фр. Ремонт физически не может превышать режимный фонд, поэтому дословное прочтение задания рассмотрено как отдельный сценарий, а базовым принят сценарий А.</t>
  </si>
  <si>
    <t>Показатель</t>
  </si>
  <si>
    <t>Сценарий А (базовый): 30 % от Фр</t>
  </si>
  <si>
    <t>Сценарий Б (дословно): 30 % от Фк</t>
  </si>
  <si>
    <t>Сценарий В: 30 % от Фк, но ремонт ≤ Фр</t>
  </si>
  <si>
    <t>База расчёта ремонтного фонда, ч</t>
  </si>
  <si>
    <t>Ремонтный фонд, Рк + Рпп, ч</t>
  </si>
  <si>
    <t>Действительный (плановый) фонд 1 ед. оборудования, Фд = Фр − (Рк+Рпп), ч</t>
  </si>
  <si>
    <t>Допустимость сценария (Фд ≥ 0)</t>
  </si>
  <si>
    <t>4. Активный сценарий (выбирается в ячейке B31)</t>
  </si>
  <si>
    <t>Активный сценарий (1 = А, 2 = Б, 3 = В)</t>
  </si>
  <si>
    <t>Наименование активного сценария</t>
  </si>
  <si>
    <t>Ремонтный фонд активного сценария, Рк + Рпп, ч</t>
  </si>
  <si>
    <t>Действительный фонд 1 единицы оборудования, Фд, ч</t>
  </si>
  <si>
    <t>5. Таблица. Расчёт действительного фонда времени работы оборудования (по активному сценарию)</t>
  </si>
  <si>
    <t>Группа оборудования</t>
  </si>
  <si>
    <t>Количество единиц оборудования (k), шт.</t>
  </si>
  <si>
    <t>Действительный фонд времени единицы оборудования, ч</t>
  </si>
  <si>
    <t>Действительный фонд времени оборудования (группы), ч</t>
  </si>
  <si>
    <t>Выходные дни мая 2018 г.: 5, 6, 12, 13, 19, 20, 26, 27 (8 дней). Праздничные дни: 1 мая (вторник), 9 мая (среда). Рабочих дней: 31 − 8 − 2 = 21, поэтому Фр = 8 × 21 × 1 = 168 ч.</t>
  </si>
  <si>
    <t>Допущения: (1) предпраздничное сокращение смены не учитывается (tн = 0, Дп.д = 0) — условием не задано; (2) база расчёта ремонтного фонда определяется сценарно (п. 3-4), базовым является сценарий А; (3) простои по другим причинам и потери времени не учитываются (условием не заданы).</t>
  </si>
  <si>
    <t>Этап 3. Расчёт производственной мощности на основе условного изделия (май 2018 г.)</t>
  </si>
  <si>
    <t>Пj = пропускная способность / норма времени на изготовление единицы условного изделия. Мощность цеха = min Пj в цехе; мощность предприятия = min Пj по цехам.</t>
  </si>
  <si>
    <t>Действительный фонд работы 1 шт. оборудования, ч</t>
  </si>
  <si>
    <t>Количество единиц оборудования, шт.</t>
  </si>
  <si>
    <t>Пропускная способность, ч</t>
  </si>
  <si>
    <t>Норма времени на изготовление единицы условного изделия, нормо-ч/ед.</t>
  </si>
  <si>
    <t>Возможный выпуск — производственная мощность Пj, у.е.</t>
  </si>
  <si>
    <t>Потребность в условном изделии, у.е.</t>
  </si>
  <si>
    <t>Запас (+) / дефицит (−), у.е.</t>
  </si>
  <si>
    <t>Цех 1 (разделочный) — производство фарша</t>
  </si>
  <si>
    <t>Цех 1 — производственная мощность цеха</t>
  </si>
  <si>
    <t>Х</t>
  </si>
  <si>
    <t>Цех 2 (мучных заготовок) — производство теста и выпечка блинов</t>
  </si>
  <si>
    <t>Цех 2 — производственная мощность цеха</t>
  </si>
  <si>
    <t>Цех 3 (готовой продукции) — котлеты, пельмени, цыплёнок</t>
  </si>
  <si>
    <t>Цех 3 — производственная мощность цеха</t>
  </si>
  <si>
    <t>ПРЕДПРИЯТИЕ — производственная мощность (min Пj по цехам)</t>
  </si>
  <si>
    <t>ПРЕДПРИЯТИЕ — потребность в условном изделии (вся производственная программа), у.е.</t>
  </si>
  <si>
    <t>Запас (+) / дефицит (−) мощности предприятия, у.е.</t>
  </si>
  <si>
    <t>Запас мощности, % к потребности</t>
  </si>
  <si>
    <t>Уровень использования мощности (потребность / мощность), %</t>
  </si>
  <si>
    <t>Коэффициент использования мощности (мощность / потребность)</t>
  </si>
  <si>
    <t>Выполнение производственной программы</t>
  </si>
  <si>
    <t>Ведущий (лимитирующий) цех</t>
  </si>
  <si>
    <t>Ведущее (лимитирующее) оборудование</t>
  </si>
  <si>
    <t>Мощность ведущего оборудования, у.е.</t>
  </si>
  <si>
    <t>Примечание: «Потребность в условном изделии» по группам оборудования — объём производства изделий, изготавливаемых на этом оборудовании (по программе «Расчет_МРП»); по цехам — сумма изделий цеха. Сумма потребностей по трём цехам равна объёму всей программы.</t>
  </si>
  <si>
    <t>Сравнение сценариев расчёта ремонтного фонда (30 % от календарного / режимного фонда)</t>
  </si>
  <si>
    <t>Сценарий А (базовый)</t>
  </si>
  <si>
    <t>Сценарий Б (дословно)</t>
  </si>
  <si>
    <t>Сценарий В (ремонт ≤ Фр)</t>
  </si>
  <si>
    <t>Действительный фонд 1 ед. оборудования, Фд, ч</t>
  </si>
  <si>
    <t>Допустимость</t>
  </si>
  <si>
    <t>Производственная мощность Пj по видам оборудования, у.е.</t>
  </si>
  <si>
    <t>Станкоёмкость усл. изделия, нормо-ч/ед.</t>
  </si>
  <si>
    <t>Пj — сценарий А</t>
  </si>
  <si>
    <t>Пj — сценарий Б</t>
  </si>
  <si>
    <t>Пj — сценарий В</t>
  </si>
  <si>
    <t>Сценарий А</t>
  </si>
  <si>
    <t>Сценарий Б</t>
  </si>
  <si>
    <t>Сценарий В</t>
  </si>
  <si>
    <t>Цех 1 (ведущее оборудование цеха)</t>
  </si>
  <si>
    <t>Цех 2 (ведущее оборудование цеха)</t>
  </si>
  <si>
    <t>Цех 3 (ведущее оборудование цеха)</t>
  </si>
  <si>
    <t>ПРЕДПРИЯТИЕ (min по цехам)</t>
  </si>
  <si>
    <t>Потребность в условном изделии (программа), у.е.</t>
  </si>
  <si>
    <t>Уровень использования мощности, %</t>
  </si>
  <si>
    <t>Выполнение программы</t>
  </si>
  <si>
    <t>Вывод: сценарий А (ремонт 30 % от режимного фонда) — единственный физически реализуемый вариант с положительным действительным фондом ⇒ принят базовым (в книге активен по умолчанию).</t>
  </si>
  <si>
    <t>Сценарий Б (дословно 30 % от календарного фонда) даёт отрицательный действительный фонд: ремонт (223,2 ч) больше режимного фонда (168 ч) — недопустим.</t>
  </si>
  <si>
    <t>Сценарий В (предельный) даёт Фд = 0: ремонт полностью поглощает режимный фонд, рабочего времени нет, программа невыполнима.</t>
  </si>
  <si>
    <t>Выводы по лабораторной работе №6 (вариант 3, май 2018 г.)</t>
  </si>
  <si>
    <t>1. Производственная программа (проект ППМ, уровни 0-1) рассчитана методом MRP — лист «Расчет_МРП».</t>
  </si>
  <si>
    <t>2. Нормы станкоёмкости условного изделия по 7 видам оборудования — лист «Этап1_УсловнаяЕдиница», п. 3.</t>
  </si>
  <si>
    <t>3. Фонды времени работы наличного оборудования — лист «Этап2_ФондВремени».</t>
  </si>
  <si>
    <t>4. Производственная мощность по цехам и предприятию — лист «Этап3_Произв_мощность».</t>
  </si>
  <si>
    <t>5. Сценарный анализ базы ремонтного фонда — лист «Сравнение_Сценариев».</t>
  </si>
  <si>
    <t/>
  </si>
  <si>
    <t>Ключевые результаты (подставляются формулами):</t>
  </si>
  <si>
    <t>Общий объём производственной программы (уровни 0-1), кг</t>
  </si>
  <si>
    <t>Станкоёмкость условного изделия по оборудованию 1…7, нормо-ч/ед.</t>
  </si>
  <si>
    <t>Календарный фонд единицы оборудования Фк, ч</t>
  </si>
  <si>
    <t>Режимный фонд единицы оборудования Фр, ч</t>
  </si>
  <si>
    <t>Активный сценарий расчёта ремонтного фонда</t>
  </si>
  <si>
    <t>Действительный фонд 1 единицы оборудования Фд, ч</t>
  </si>
  <si>
    <t>Мощность цеха 1 (разделочный), у.е.</t>
  </si>
  <si>
    <t>Мощность цеха 2 (мучных заготовок), у.е.</t>
  </si>
  <si>
    <t>Мощность цеха 3 (готовой продукции), у.е.</t>
  </si>
  <si>
    <t>НАЛИЧНАЯ ПРОИЗВОДСТВЕННАЯ МОЩНОСТЬ ПРЕДПРИЯТИЯ, у.е.</t>
  </si>
  <si>
    <t>Запас (+) / дефицит (−) мощности, у.е.</t>
  </si>
  <si>
    <t>Коэффициент использования мощности (во сколько раз мощность больше потребности)</t>
  </si>
  <si>
    <t>Пояснения и принятые допущения — в отчёте «ЛР6 Производственная мощность В3 (решение).md».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</si>
</sst>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0.000000"/>
    <numFmt numFmtId="42" formatCode="_(&quot;$&quot;* #,##0_);_(&quot;$&quot;* \(#,##0\);_(&quot;$&quot;* &quot;-&quot;_);_(@_)"/>
    <numFmt numFmtId="178" formatCode="#,##0.0"/>
    <numFmt numFmtId="44" formatCode="_(&quot;$&quot;* #,##0.00_);_(&quot;$&quot;* \(#,##0.00\);_(&quot;$&quot;* &quot;-&quot;??_);_(@_)"/>
    <numFmt numFmtId="179" formatCode="#,##0.000"/>
    <numFmt numFmtId="180" formatCode="0.0%"/>
    <numFmt numFmtId="181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3"/>
      <name val="Calibri"/>
      <charset val="134"/>
      <scheme val="minor"/>
    </font>
    <font>
      <b/>
      <sz val="11"/>
      <name val="Calibri"/>
      <charset val="134"/>
      <scheme val="minor"/>
    </font>
    <font>
      <i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2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9" borderId="4" applyNumberFormat="0" applyFon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81" fontId="4" fillId="0" borderId="0" applyFont="0" applyFill="0" applyBorder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79" fontId="2" fillId="2" borderId="1" xfId="0" applyNumberFormat="1" applyFont="1" applyFill="1" applyBorder="1"/>
    <xf numFmtId="0" fontId="2" fillId="2" borderId="1" xfId="0" applyFont="1" applyFill="1" applyBorder="1"/>
    <xf numFmtId="178" fontId="2" fillId="2" borderId="1" xfId="0" applyNumberFormat="1" applyFont="1" applyFill="1" applyBorder="1"/>
    <xf numFmtId="3" fontId="2" fillId="2" borderId="1" xfId="0" applyNumberFormat="1" applyFont="1" applyFill="1" applyBorder="1"/>
    <xf numFmtId="180" fontId="2" fillId="2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/>
    <xf numFmtId="3" fontId="0" fillId="0" borderId="1" xfId="0" applyNumberFormat="1" applyBorder="1"/>
    <xf numFmtId="3" fontId="2" fillId="4" borderId="1" xfId="0" applyNumberFormat="1" applyFont="1" applyFill="1" applyBorder="1"/>
    <xf numFmtId="179" fontId="0" fillId="0" borderId="1" xfId="0" applyNumberFormat="1" applyBorder="1"/>
    <xf numFmtId="180" fontId="0" fillId="0" borderId="1" xfId="0" applyNumberFormat="1" applyBorder="1"/>
    <xf numFmtId="0" fontId="2" fillId="5" borderId="0" xfId="0" applyFont="1" applyFill="1"/>
    <xf numFmtId="178" fontId="0" fillId="0" borderId="1" xfId="0" applyNumberFormat="1" applyBorder="1"/>
    <xf numFmtId="0" fontId="2" fillId="5" borderId="1" xfId="0" applyFont="1" applyFill="1" applyBorder="1"/>
    <xf numFmtId="3" fontId="2" fillId="5" borderId="1" xfId="0" applyNumberFormat="1" applyFont="1" applyFill="1" applyBorder="1"/>
    <xf numFmtId="179" fontId="0" fillId="5" borderId="1" xfId="0" applyNumberFormat="1" applyFill="1" applyBorder="1"/>
    <xf numFmtId="3" fontId="0" fillId="5" borderId="1" xfId="0" applyNumberFormat="1" applyFill="1" applyBorder="1"/>
    <xf numFmtId="179" fontId="2" fillId="4" borderId="1" xfId="0" applyNumberFormat="1" applyFont="1" applyFill="1" applyBorder="1"/>
    <xf numFmtId="0" fontId="2" fillId="0" borderId="1" xfId="0" applyFont="1" applyBorder="1"/>
    <xf numFmtId="0" fontId="0" fillId="0" borderId="0" xfId="0" applyAlignment="1">
      <alignment horizontal="center"/>
    </xf>
    <xf numFmtId="179" fontId="0" fillId="2" borderId="1" xfId="0" applyNumberFormat="1" applyFill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79" fontId="2" fillId="4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9" fontId="0" fillId="0" borderId="1" xfId="0" applyNumberForma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179" fontId="0" fillId="0" borderId="1" xfId="0" applyNumberFormat="1" applyFill="1" applyBorder="1" applyAlignment="1">
      <alignment horizontal="center"/>
    </xf>
    <xf numFmtId="177" fontId="0" fillId="0" borderId="1" xfId="0" applyNumberFormat="1" applyFill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9" fontId="0" fillId="2" borderId="1" xfId="0" applyNumberFormat="1" applyFill="1" applyBorder="1"/>
    <xf numFmtId="4" fontId="0" fillId="0" borderId="1" xfId="0" applyNumberFormat="1" applyBorder="1"/>
    <xf numFmtId="4" fontId="0" fillId="2" borderId="1" xfId="0" applyNumberFormat="1" applyFill="1" applyBorder="1"/>
    <xf numFmtId="180" fontId="0" fillId="0" borderId="0" xfId="0" applyNumberFormat="1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A9" sqref="A9"/>
    </sheetView>
  </sheetViews>
  <sheetFormatPr defaultColWidth="9" defaultRowHeight="14.6" outlineLevelCol="2"/>
  <cols>
    <col min="1" max="1" width="60" customWidth="1"/>
    <col min="2" max="2" width="59.8053097345133" customWidth="1"/>
    <col min="3" max="3" width="62" customWidth="1"/>
  </cols>
  <sheetData>
    <row r="1" ht="17.25" spans="1:1">
      <c r="A1" s="1" t="s">
        <v>0</v>
      </c>
    </row>
    <row r="2" spans="1:1">
      <c r="A2" s="2" t="s">
        <v>1</v>
      </c>
    </row>
    <row r="4" spans="1:2">
      <c r="A4" s="2" t="s">
        <v>2</v>
      </c>
      <c r="B4" t="s">
        <v>3</v>
      </c>
    </row>
    <row r="5" spans="1:1">
      <c r="A5" s="2"/>
    </row>
    <row r="6" spans="1:2">
      <c r="A6" s="2" t="s">
        <v>4</v>
      </c>
      <c r="B6" t="s">
        <v>5</v>
      </c>
    </row>
    <row r="7" spans="1:2">
      <c r="A7" s="2" t="s">
        <v>6</v>
      </c>
      <c r="B7" t="s">
        <v>7</v>
      </c>
    </row>
    <row r="8" spans="1:2">
      <c r="A8" s="2" t="s">
        <v>8</v>
      </c>
      <c r="B8" t="s">
        <v>9</v>
      </c>
    </row>
    <row r="9" spans="1:3">
      <c r="A9" s="2"/>
      <c r="B9" s="42">
        <v>0.3</v>
      </c>
      <c r="C9" t="s">
        <v>10</v>
      </c>
    </row>
    <row r="11" spans="1:1">
      <c r="A11" s="2" t="s">
        <v>11</v>
      </c>
    </row>
    <row r="12" ht="14.65" spans="1:2">
      <c r="A12" s="10" t="s">
        <v>12</v>
      </c>
      <c r="B12" s="10" t="s">
        <v>13</v>
      </c>
    </row>
    <row r="13" spans="1:2">
      <c r="A13" s="43" t="s">
        <v>14</v>
      </c>
      <c r="B13" s="44">
        <v>2</v>
      </c>
    </row>
    <row r="14" spans="1:2">
      <c r="A14" s="43" t="s">
        <v>15</v>
      </c>
      <c r="B14" s="44">
        <v>2</v>
      </c>
    </row>
    <row r="15" spans="1:2">
      <c r="A15" s="43" t="s">
        <v>16</v>
      </c>
      <c r="B15" s="44">
        <v>1</v>
      </c>
    </row>
    <row r="16" spans="1:2">
      <c r="A16" s="43" t="s">
        <v>17</v>
      </c>
      <c r="B16" s="44">
        <v>3</v>
      </c>
    </row>
    <row r="17" spans="1:2">
      <c r="A17" s="43" t="s">
        <v>18</v>
      </c>
      <c r="B17" s="44">
        <v>4</v>
      </c>
    </row>
    <row r="18" spans="1:2">
      <c r="A18" s="43" t="s">
        <v>19</v>
      </c>
      <c r="B18" s="44">
        <v>4</v>
      </c>
    </row>
    <row r="19" spans="1:2">
      <c r="A19" s="43" t="s">
        <v>20</v>
      </c>
      <c r="B19" s="44">
        <v>1</v>
      </c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3" spans="1:1">
      <c r="A33" s="2"/>
    </row>
    <row r="34" spans="1:1">
      <c r="A34" s="2"/>
    </row>
    <row r="35" spans="1:1">
      <c r="A35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"/>
  <sheetViews>
    <sheetView workbookViewId="0">
      <selection activeCell="A1" sqref="A1"/>
    </sheetView>
  </sheetViews>
  <sheetFormatPr defaultColWidth="9" defaultRowHeight="14.6"/>
  <cols>
    <col min="1" max="1" width="30" customWidth="1"/>
    <col min="2" max="2" width="34" customWidth="1"/>
    <col min="3" max="3" width="8" customWidth="1"/>
    <col min="4" max="4" width="14" customWidth="1"/>
    <col min="5" max="5" width="17" customWidth="1"/>
    <col min="6" max="7" width="20" customWidth="1"/>
    <col min="8" max="8" width="24" customWidth="1"/>
    <col min="9" max="9" width="15" customWidth="1"/>
  </cols>
  <sheetData>
    <row r="1" ht="17.25" spans="1:1">
      <c r="A1" s="1" t="s">
        <v>21</v>
      </c>
    </row>
    <row r="3" spans="1:1">
      <c r="A3" s="2" t="s">
        <v>22</v>
      </c>
    </row>
    <row r="4" ht="87.75" spans="1:5">
      <c r="A4" s="10" t="s">
        <v>23</v>
      </c>
      <c r="B4" s="10" t="s">
        <v>24</v>
      </c>
      <c r="C4" s="10" t="s">
        <v>25</v>
      </c>
      <c r="D4" s="10" t="s">
        <v>26</v>
      </c>
      <c r="E4" s="10" t="s">
        <v>27</v>
      </c>
    </row>
    <row r="5" spans="1:5">
      <c r="A5" s="3" t="s">
        <v>28</v>
      </c>
      <c r="B5" s="3" t="s">
        <v>29</v>
      </c>
      <c r="C5" s="16">
        <v>0.8</v>
      </c>
      <c r="D5" s="3" t="s">
        <v>30</v>
      </c>
      <c r="E5" s="39">
        <f>SUMIF(Расчет_МРП!$B$6:$B$15,$A5,Расчет_МРП!$J$6:$J$15)</f>
        <v>0</v>
      </c>
    </row>
    <row r="6" spans="1:5">
      <c r="A6" s="3" t="s">
        <v>28</v>
      </c>
      <c r="B6" s="3" t="s">
        <v>31</v>
      </c>
      <c r="C6" s="16">
        <v>2</v>
      </c>
      <c r="D6" s="3" t="s">
        <v>32</v>
      </c>
      <c r="E6" s="39">
        <f>SUMIF(Расчет_МРП!$B$6:$B$15,$A6,Расчет_МРП!$J$6:$J$15)</f>
        <v>0</v>
      </c>
    </row>
    <row r="7" spans="1:5">
      <c r="A7" s="3" t="s">
        <v>28</v>
      </c>
      <c r="B7" s="3" t="s">
        <v>33</v>
      </c>
      <c r="C7" s="16">
        <v>0.02</v>
      </c>
      <c r="D7" s="3" t="s">
        <v>30</v>
      </c>
      <c r="E7" s="39">
        <f>SUMIF(Расчет_МРП!$B$6:$B$15,$A7,Расчет_МРП!$J$6:$J$15)</f>
        <v>0</v>
      </c>
    </row>
    <row r="8" spans="1:5">
      <c r="A8" s="3" t="s">
        <v>28</v>
      </c>
      <c r="B8" s="3" t="s">
        <v>34</v>
      </c>
      <c r="C8" s="16">
        <v>0.001</v>
      </c>
      <c r="D8" s="3" t="s">
        <v>30</v>
      </c>
      <c r="E8" s="39">
        <f>SUMIF(Расчет_МРП!$B$6:$B$15,$A8,Расчет_МРП!$J$6:$J$15)</f>
        <v>0</v>
      </c>
    </row>
    <row r="9" spans="1:5">
      <c r="A9" s="3" t="s">
        <v>28</v>
      </c>
      <c r="B9" s="3" t="s">
        <v>35</v>
      </c>
      <c r="C9" s="16">
        <v>0.001</v>
      </c>
      <c r="D9" s="3" t="s">
        <v>30</v>
      </c>
      <c r="E9" s="39">
        <f>SUMIF(Расчет_МРП!$B$6:$B$15,$A9,Расчет_МРП!$J$6:$J$15)</f>
        <v>0</v>
      </c>
    </row>
    <row r="10" spans="1:5">
      <c r="A10" s="3" t="s">
        <v>36</v>
      </c>
      <c r="B10" s="3" t="s">
        <v>29</v>
      </c>
      <c r="C10" s="16">
        <v>0.6</v>
      </c>
      <c r="D10" s="3" t="s">
        <v>30</v>
      </c>
      <c r="E10" s="39">
        <f>SUMIF(Расчет_МРП!$B$6:$B$15,$A10,Расчет_МРП!$J$6:$J$15)</f>
        <v>110</v>
      </c>
    </row>
    <row r="11" spans="1:5">
      <c r="A11" s="3" t="s">
        <v>36</v>
      </c>
      <c r="B11" s="3" t="s">
        <v>37</v>
      </c>
      <c r="C11" s="16">
        <v>0.2</v>
      </c>
      <c r="D11" s="3" t="s">
        <v>30</v>
      </c>
      <c r="E11" s="39">
        <f>SUMIF(Расчет_МРП!$B$6:$B$15,$A11,Расчет_МРП!$J$6:$J$15)</f>
        <v>110</v>
      </c>
    </row>
    <row r="12" spans="1:5">
      <c r="A12" s="3" t="s">
        <v>36</v>
      </c>
      <c r="B12" s="3" t="s">
        <v>31</v>
      </c>
      <c r="C12" s="16">
        <v>2</v>
      </c>
      <c r="D12" s="3" t="s">
        <v>32</v>
      </c>
      <c r="E12" s="39">
        <f>SUMIF(Расчет_МРП!$B$6:$B$15,$A12,Расчет_МРП!$J$6:$J$15)</f>
        <v>110</v>
      </c>
    </row>
    <row r="13" spans="1:5">
      <c r="A13" s="3" t="s">
        <v>36</v>
      </c>
      <c r="B13" s="3" t="s">
        <v>33</v>
      </c>
      <c r="C13" s="16">
        <v>0.02</v>
      </c>
      <c r="D13" s="3" t="s">
        <v>30</v>
      </c>
      <c r="E13" s="39">
        <f>SUMIF(Расчет_МРП!$B$6:$B$15,$A13,Расчет_МРП!$J$6:$J$15)</f>
        <v>110</v>
      </c>
    </row>
    <row r="14" spans="1:5">
      <c r="A14" s="3" t="s">
        <v>36</v>
      </c>
      <c r="B14" s="3" t="s">
        <v>34</v>
      </c>
      <c r="C14" s="16">
        <v>0.001</v>
      </c>
      <c r="D14" s="3" t="s">
        <v>30</v>
      </c>
      <c r="E14" s="39">
        <f>SUMIF(Расчет_МРП!$B$6:$B$15,$A14,Расчет_МРП!$J$6:$J$15)</f>
        <v>110</v>
      </c>
    </row>
    <row r="15" spans="1:5">
      <c r="A15" s="3" t="s">
        <v>36</v>
      </c>
      <c r="B15" s="3" t="s">
        <v>35</v>
      </c>
      <c r="C15" s="16">
        <v>0.001</v>
      </c>
      <c r="D15" s="3" t="s">
        <v>30</v>
      </c>
      <c r="E15" s="39">
        <f>SUMIF(Расчет_МРП!$B$6:$B$15,$A15,Расчет_МРП!$J$6:$J$15)</f>
        <v>110</v>
      </c>
    </row>
    <row r="16" spans="1:5">
      <c r="A16" s="3" t="s">
        <v>38</v>
      </c>
      <c r="B16" s="3" t="s">
        <v>39</v>
      </c>
      <c r="C16" s="16">
        <v>0.6</v>
      </c>
      <c r="D16" s="3" t="s">
        <v>30</v>
      </c>
      <c r="E16" s="39">
        <f>SUMIF(Расчет_МРП!$B$6:$B$15,$A16,Расчет_МРП!$J$6:$J$15)</f>
        <v>626</v>
      </c>
    </row>
    <row r="17" spans="1:5">
      <c r="A17" s="3" t="s">
        <v>38</v>
      </c>
      <c r="B17" s="3" t="s">
        <v>31</v>
      </c>
      <c r="C17" s="16">
        <v>2</v>
      </c>
      <c r="D17" s="3" t="s">
        <v>32</v>
      </c>
      <c r="E17" s="39">
        <f>SUMIF(Расчет_МРП!$B$6:$B$15,$A17,Расчет_МРП!$J$6:$J$15)</f>
        <v>626</v>
      </c>
    </row>
    <row r="18" spans="1:5">
      <c r="A18" s="3" t="s">
        <v>38</v>
      </c>
      <c r="B18" s="3" t="s">
        <v>33</v>
      </c>
      <c r="C18" s="16">
        <v>0.02</v>
      </c>
      <c r="D18" s="3" t="s">
        <v>30</v>
      </c>
      <c r="E18" s="39">
        <f>SUMIF(Расчет_МРП!$B$6:$B$15,$A18,Расчет_МРП!$J$6:$J$15)</f>
        <v>626</v>
      </c>
    </row>
    <row r="19" spans="1:5">
      <c r="A19" s="3" t="s">
        <v>38</v>
      </c>
      <c r="B19" s="3" t="s">
        <v>34</v>
      </c>
      <c r="C19" s="16">
        <v>0.001</v>
      </c>
      <c r="D19" s="3" t="s">
        <v>30</v>
      </c>
      <c r="E19" s="39">
        <f>SUMIF(Расчет_МРП!$B$6:$B$15,$A19,Расчет_МРП!$J$6:$J$15)</f>
        <v>626</v>
      </c>
    </row>
    <row r="20" spans="1:5">
      <c r="A20" s="3" t="s">
        <v>38</v>
      </c>
      <c r="B20" s="3" t="s">
        <v>35</v>
      </c>
      <c r="C20" s="16">
        <v>0.001</v>
      </c>
      <c r="D20" s="3" t="s">
        <v>30</v>
      </c>
      <c r="E20" s="39">
        <f>SUMIF(Расчет_МРП!$B$6:$B$15,$A20,Расчет_МРП!$J$6:$J$15)</f>
        <v>626</v>
      </c>
    </row>
    <row r="21" spans="1:5">
      <c r="A21" s="3" t="s">
        <v>40</v>
      </c>
      <c r="B21" s="3" t="s">
        <v>41</v>
      </c>
      <c r="C21" s="16">
        <v>0.9</v>
      </c>
      <c r="D21" s="3" t="s">
        <v>30</v>
      </c>
      <c r="E21" s="39">
        <f>SUMIF(Расчет_МРП!$B$6:$B$15,$A21,Расчет_МРП!$J$6:$J$15)</f>
        <v>153.984</v>
      </c>
    </row>
    <row r="22" spans="1:5">
      <c r="A22" s="3" t="s">
        <v>40</v>
      </c>
      <c r="B22" s="3" t="s">
        <v>31</v>
      </c>
      <c r="C22" s="16">
        <v>1</v>
      </c>
      <c r="D22" s="3" t="s">
        <v>32</v>
      </c>
      <c r="E22" s="39">
        <f>SUMIF(Расчет_МРП!$B$6:$B$15,$A22,Расчет_МРП!$J$6:$J$15)</f>
        <v>153.984</v>
      </c>
    </row>
    <row r="23" spans="1:5">
      <c r="A23" s="3" t="s">
        <v>40</v>
      </c>
      <c r="B23" s="3" t="s">
        <v>42</v>
      </c>
      <c r="C23" s="16">
        <v>0.02</v>
      </c>
      <c r="D23" s="3" t="s">
        <v>30</v>
      </c>
      <c r="E23" s="39">
        <f>SUMIF(Расчет_МРП!$B$6:$B$15,$A23,Расчет_МРП!$J$6:$J$15)</f>
        <v>153.984</v>
      </c>
    </row>
    <row r="24" spans="1:5">
      <c r="A24" s="3" t="s">
        <v>40</v>
      </c>
      <c r="B24" s="3" t="s">
        <v>35</v>
      </c>
      <c r="C24" s="16">
        <v>0.002</v>
      </c>
      <c r="D24" s="3" t="s">
        <v>30</v>
      </c>
      <c r="E24" s="39">
        <f>SUMIF(Расчет_МРП!$B$6:$B$15,$A24,Расчет_МРП!$J$6:$J$15)</f>
        <v>153.984</v>
      </c>
    </row>
    <row r="25" spans="1:5">
      <c r="A25" s="3" t="s">
        <v>40</v>
      </c>
      <c r="B25" s="3" t="s">
        <v>43</v>
      </c>
      <c r="C25" s="16">
        <v>0.003</v>
      </c>
      <c r="D25" s="3" t="s">
        <v>30</v>
      </c>
      <c r="E25" s="39">
        <f>SUMIF(Расчет_МРП!$B$6:$B$15,$A25,Расчет_МРП!$J$6:$J$15)</f>
        <v>153.984</v>
      </c>
    </row>
    <row r="26" spans="1:5">
      <c r="A26" s="3" t="s">
        <v>44</v>
      </c>
      <c r="B26" s="3" t="s">
        <v>28</v>
      </c>
      <c r="C26" s="16">
        <v>0.7</v>
      </c>
      <c r="D26" s="3" t="s">
        <v>30</v>
      </c>
      <c r="E26" s="39">
        <f>SUMIF(Расчет_МРП!$B$6:$B$15,$A26,Расчет_МРП!$J$6:$J$15)</f>
        <v>0</v>
      </c>
    </row>
    <row r="27" spans="1:5">
      <c r="A27" s="3" t="s">
        <v>44</v>
      </c>
      <c r="B27" s="3" t="s">
        <v>40</v>
      </c>
      <c r="C27" s="16">
        <v>0.3</v>
      </c>
      <c r="D27" s="3" t="s">
        <v>30</v>
      </c>
      <c r="E27" s="39">
        <f>SUMIF(Расчет_МРП!$B$6:$B$15,$A27,Расчет_МРП!$J$6:$J$15)</f>
        <v>0</v>
      </c>
    </row>
    <row r="28" spans="1:5">
      <c r="A28" s="3" t="s">
        <v>45</v>
      </c>
      <c r="B28" s="3" t="s">
        <v>36</v>
      </c>
      <c r="C28" s="16">
        <v>0.7</v>
      </c>
      <c r="D28" s="3" t="s">
        <v>30</v>
      </c>
      <c r="E28" s="39">
        <f>SUMIF(Расчет_МРП!$B$6:$B$15,$A28,Расчет_МРП!$J$6:$J$15)</f>
        <v>0</v>
      </c>
    </row>
    <row r="29" spans="1:5">
      <c r="A29" s="3" t="s">
        <v>45</v>
      </c>
      <c r="B29" s="3" t="s">
        <v>40</v>
      </c>
      <c r="C29" s="16">
        <v>0.3</v>
      </c>
      <c r="D29" s="3" t="s">
        <v>30</v>
      </c>
      <c r="E29" s="39">
        <f>SUMIF(Расчет_МРП!$B$6:$B$15,$A29,Расчет_МРП!$J$6:$J$15)</f>
        <v>0</v>
      </c>
    </row>
    <row r="30" spans="1:5">
      <c r="A30" s="3" t="s">
        <v>46</v>
      </c>
      <c r="B30" s="3" t="s">
        <v>38</v>
      </c>
      <c r="C30" s="16">
        <v>0.8</v>
      </c>
      <c r="D30" s="3" t="s">
        <v>30</v>
      </c>
      <c r="E30" s="39">
        <f>SUMIF(Расчет_МРП!$B$6:$B$15,$A30,Расчет_МРП!$J$6:$J$15)</f>
        <v>350</v>
      </c>
    </row>
    <row r="31" spans="1:5">
      <c r="A31" s="3" t="s">
        <v>46</v>
      </c>
      <c r="B31" s="3" t="s">
        <v>47</v>
      </c>
      <c r="C31" s="16">
        <v>0.2</v>
      </c>
      <c r="D31" s="3" t="s">
        <v>30</v>
      </c>
      <c r="E31" s="39">
        <f>SUMIF(Расчет_МРП!$B$6:$B$15,$A31,Расчет_МРП!$J$6:$J$15)</f>
        <v>350</v>
      </c>
    </row>
    <row r="32" spans="1:5">
      <c r="A32" s="3" t="s">
        <v>46</v>
      </c>
      <c r="B32" s="3" t="s">
        <v>48</v>
      </c>
      <c r="C32" s="16">
        <v>0.2</v>
      </c>
      <c r="D32" s="3" t="s">
        <v>30</v>
      </c>
      <c r="E32" s="39">
        <f>SUMIF(Расчет_МРП!$B$6:$B$15,$A32,Расчет_МРП!$J$6:$J$15)</f>
        <v>350</v>
      </c>
    </row>
    <row r="33" spans="1:5">
      <c r="A33" s="3" t="s">
        <v>46</v>
      </c>
      <c r="B33" s="3" t="s">
        <v>49</v>
      </c>
      <c r="C33" s="16">
        <v>0.05</v>
      </c>
      <c r="D33" s="3" t="s">
        <v>30</v>
      </c>
      <c r="E33" s="39">
        <f>SUMIF(Расчет_МРП!$B$6:$B$15,$A33,Расчет_МРП!$J$6:$J$15)</f>
        <v>350</v>
      </c>
    </row>
    <row r="34" spans="1:5">
      <c r="A34" s="3" t="s">
        <v>50</v>
      </c>
      <c r="B34" s="3" t="s">
        <v>40</v>
      </c>
      <c r="C34" s="16">
        <v>0.8</v>
      </c>
      <c r="D34" s="3" t="s">
        <v>30</v>
      </c>
      <c r="E34" s="39">
        <f>SUMIF(Расчет_МРП!$B$6:$B$15,$A34,Расчет_МРП!$J$6:$J$15)</f>
        <v>35.4</v>
      </c>
    </row>
    <row r="35" spans="1:5">
      <c r="A35" s="3" t="s">
        <v>50</v>
      </c>
      <c r="B35" s="3" t="s">
        <v>47</v>
      </c>
      <c r="C35" s="16">
        <v>0.2</v>
      </c>
      <c r="D35" s="3" t="s">
        <v>30</v>
      </c>
      <c r="E35" s="39">
        <f>SUMIF(Расчет_МРП!$B$6:$B$15,$A35,Расчет_МРП!$J$6:$J$15)</f>
        <v>35.4</v>
      </c>
    </row>
    <row r="36" spans="1:5">
      <c r="A36" s="3" t="s">
        <v>51</v>
      </c>
      <c r="B36" s="3" t="s">
        <v>39</v>
      </c>
      <c r="C36" s="16">
        <v>0.8</v>
      </c>
      <c r="D36" s="3" t="s">
        <v>30</v>
      </c>
      <c r="E36" s="39">
        <f>SUMIF(Расчет_МРП!$B$6:$B$15,$A36,Расчет_МРП!$J$6:$J$15)</f>
        <v>147.5</v>
      </c>
    </row>
    <row r="37" spans="1:5">
      <c r="A37" s="3" t="s">
        <v>51</v>
      </c>
      <c r="B37" s="3" t="s">
        <v>50</v>
      </c>
      <c r="C37" s="16">
        <v>0.2</v>
      </c>
      <c r="D37" s="3" t="s">
        <v>30</v>
      </c>
      <c r="E37" s="39">
        <f>SUMIF(Расчет_МРП!$B$6:$B$15,$A37,Расчет_МРП!$J$6:$J$15)</f>
        <v>147.5</v>
      </c>
    </row>
    <row r="38" spans="1:5">
      <c r="A38" s="3" t="s">
        <v>51</v>
      </c>
      <c r="B38" s="3" t="s">
        <v>52</v>
      </c>
      <c r="C38" s="16">
        <v>0.2</v>
      </c>
      <c r="D38" s="3" t="s">
        <v>30</v>
      </c>
      <c r="E38" s="39">
        <f>SUMIF(Расчет_МРП!$B$6:$B$15,$A38,Расчет_МРП!$J$6:$J$15)</f>
        <v>147.5</v>
      </c>
    </row>
    <row r="39" spans="1:5">
      <c r="A39" s="3" t="s">
        <v>51</v>
      </c>
      <c r="B39" s="3" t="s">
        <v>49</v>
      </c>
      <c r="C39" s="16">
        <v>0.05</v>
      </c>
      <c r="D39" s="3" t="s">
        <v>30</v>
      </c>
      <c r="E39" s="39">
        <f>SUMIF(Расчет_МРП!$B$6:$B$15,$A39,Расчет_МРП!$J$6:$J$15)</f>
        <v>147.5</v>
      </c>
    </row>
    <row r="40" spans="1:5">
      <c r="A40" s="3" t="s">
        <v>51</v>
      </c>
      <c r="B40" s="3" t="s">
        <v>53</v>
      </c>
      <c r="C40" s="16">
        <v>0.2</v>
      </c>
      <c r="D40" s="3" t="s">
        <v>54</v>
      </c>
      <c r="E40" s="39">
        <f>SUMIF(Расчет_МРП!$B$6:$B$15,$A40,Расчет_МРП!$J$6:$J$15)</f>
        <v>147.5</v>
      </c>
    </row>
    <row r="42" spans="1:1">
      <c r="A42" s="2" t="s">
        <v>55</v>
      </c>
    </row>
    <row r="43" ht="43.9" spans="1:9">
      <c r="A43" s="10" t="s">
        <v>56</v>
      </c>
      <c r="B43" s="10" t="s">
        <v>57</v>
      </c>
      <c r="C43" s="10" t="s">
        <v>58</v>
      </c>
      <c r="D43" s="10" t="s">
        <v>59</v>
      </c>
      <c r="E43" s="10" t="s">
        <v>60</v>
      </c>
      <c r="F43" s="10" t="s">
        <v>61</v>
      </c>
      <c r="G43" s="10" t="s">
        <v>62</v>
      </c>
      <c r="H43" s="10" t="s">
        <v>12</v>
      </c>
      <c r="I43" s="10" t="s">
        <v>63</v>
      </c>
    </row>
    <row r="44" spans="1:9">
      <c r="A44" s="3" t="s">
        <v>28</v>
      </c>
      <c r="B44" s="3" t="s">
        <v>64</v>
      </c>
      <c r="C44" s="3" t="s">
        <v>65</v>
      </c>
      <c r="D44" s="14">
        <v>100</v>
      </c>
      <c r="E44" s="40">
        <v>5</v>
      </c>
      <c r="F44" s="40">
        <v>5</v>
      </c>
      <c r="G44" s="41">
        <f t="shared" ref="G44:G60" si="0">IF(F44&gt;0,F44,E44)</f>
        <v>5</v>
      </c>
      <c r="H44" s="3" t="s">
        <v>66</v>
      </c>
      <c r="I44" s="39">
        <f t="shared" ref="I44:I60" si="1">IFERROR(G44/D44,0)</f>
        <v>0.05</v>
      </c>
    </row>
    <row r="45" spans="1:9">
      <c r="A45" s="3" t="s">
        <v>28</v>
      </c>
      <c r="B45" s="3" t="s">
        <v>67</v>
      </c>
      <c r="C45" s="3" t="s">
        <v>65</v>
      </c>
      <c r="D45" s="14">
        <v>100</v>
      </c>
      <c r="E45" s="40">
        <v>2</v>
      </c>
      <c r="F45" s="40">
        <v>2</v>
      </c>
      <c r="G45" s="41">
        <f t="shared" si="0"/>
        <v>2</v>
      </c>
      <c r="H45" s="3" t="s">
        <v>68</v>
      </c>
      <c r="I45" s="39">
        <f t="shared" si="1"/>
        <v>0.02</v>
      </c>
    </row>
    <row r="46" spans="1:9">
      <c r="A46" s="3" t="s">
        <v>36</v>
      </c>
      <c r="B46" s="3" t="s">
        <v>64</v>
      </c>
      <c r="C46" s="3" t="s">
        <v>65</v>
      </c>
      <c r="D46" s="14">
        <v>100</v>
      </c>
      <c r="E46" s="40">
        <v>5</v>
      </c>
      <c r="F46" s="40">
        <v>5</v>
      </c>
      <c r="G46" s="41">
        <f t="shared" si="0"/>
        <v>5</v>
      </c>
      <c r="H46" s="3" t="s">
        <v>66</v>
      </c>
      <c r="I46" s="39">
        <f t="shared" si="1"/>
        <v>0.05</v>
      </c>
    </row>
    <row r="47" spans="1:9">
      <c r="A47" s="3" t="s">
        <v>36</v>
      </c>
      <c r="B47" s="3" t="s">
        <v>67</v>
      </c>
      <c r="C47" s="3" t="s">
        <v>65</v>
      </c>
      <c r="D47" s="14">
        <v>100</v>
      </c>
      <c r="E47" s="40">
        <v>2</v>
      </c>
      <c r="F47" s="40">
        <v>2</v>
      </c>
      <c r="G47" s="41">
        <f t="shared" si="0"/>
        <v>2</v>
      </c>
      <c r="H47" s="3" t="s">
        <v>68</v>
      </c>
      <c r="I47" s="39">
        <f t="shared" si="1"/>
        <v>0.02</v>
      </c>
    </row>
    <row r="48" spans="1:9">
      <c r="A48" s="3" t="s">
        <v>38</v>
      </c>
      <c r="B48" s="3" t="s">
        <v>64</v>
      </c>
      <c r="C48" s="3" t="s">
        <v>65</v>
      </c>
      <c r="D48" s="14">
        <v>100</v>
      </c>
      <c r="E48" s="40">
        <v>4</v>
      </c>
      <c r="F48" s="40">
        <v>4</v>
      </c>
      <c r="G48" s="41">
        <f t="shared" si="0"/>
        <v>4</v>
      </c>
      <c r="H48" s="3" t="s">
        <v>66</v>
      </c>
      <c r="I48" s="39">
        <f t="shared" si="1"/>
        <v>0.04</v>
      </c>
    </row>
    <row r="49" spans="1:9">
      <c r="A49" s="3" t="s">
        <v>38</v>
      </c>
      <c r="B49" s="3" t="s">
        <v>67</v>
      </c>
      <c r="C49" s="3" t="s">
        <v>65</v>
      </c>
      <c r="D49" s="14">
        <v>100</v>
      </c>
      <c r="E49" s="40">
        <v>1.5</v>
      </c>
      <c r="F49" s="40">
        <v>1.5</v>
      </c>
      <c r="G49" s="41">
        <f t="shared" si="0"/>
        <v>1.5</v>
      </c>
      <c r="H49" s="3" t="s">
        <v>68</v>
      </c>
      <c r="I49" s="39">
        <f t="shared" si="1"/>
        <v>0.015</v>
      </c>
    </row>
    <row r="50" spans="1:9">
      <c r="A50" s="3" t="s">
        <v>40</v>
      </c>
      <c r="B50" s="3" t="s">
        <v>69</v>
      </c>
      <c r="C50" s="3" t="s">
        <v>70</v>
      </c>
      <c r="D50" s="14">
        <v>10</v>
      </c>
      <c r="E50" s="40">
        <v>2</v>
      </c>
      <c r="F50" s="40">
        <v>2</v>
      </c>
      <c r="G50" s="41">
        <f t="shared" si="0"/>
        <v>2</v>
      </c>
      <c r="H50" s="3" t="s">
        <v>71</v>
      </c>
      <c r="I50" s="39">
        <f t="shared" si="1"/>
        <v>0.2</v>
      </c>
    </row>
    <row r="51" spans="1:9">
      <c r="A51" s="3" t="s">
        <v>44</v>
      </c>
      <c r="B51" s="3" t="s">
        <v>72</v>
      </c>
      <c r="C51" s="3" t="s">
        <v>73</v>
      </c>
      <c r="D51" s="14">
        <v>10</v>
      </c>
      <c r="E51" s="40">
        <v>0.5</v>
      </c>
      <c r="F51" s="40">
        <v>0.5</v>
      </c>
      <c r="G51" s="41">
        <f t="shared" si="0"/>
        <v>0.5</v>
      </c>
      <c r="H51" s="3" t="s">
        <v>74</v>
      </c>
      <c r="I51" s="39">
        <f t="shared" si="1"/>
        <v>0.05</v>
      </c>
    </row>
    <row r="52" spans="1:9">
      <c r="A52" s="3" t="s">
        <v>44</v>
      </c>
      <c r="B52" s="3" t="s">
        <v>75</v>
      </c>
      <c r="C52" s="3" t="s">
        <v>73</v>
      </c>
      <c r="D52" s="14">
        <v>10</v>
      </c>
      <c r="E52" s="40">
        <v>0</v>
      </c>
      <c r="F52" s="40">
        <v>3</v>
      </c>
      <c r="G52" s="41">
        <f t="shared" si="0"/>
        <v>3</v>
      </c>
      <c r="H52" s="3" t="s">
        <v>76</v>
      </c>
      <c r="I52" s="39">
        <f t="shared" si="1"/>
        <v>0.3</v>
      </c>
    </row>
    <row r="53" spans="1:9">
      <c r="A53" s="3" t="s">
        <v>45</v>
      </c>
      <c r="B53" s="3" t="s">
        <v>72</v>
      </c>
      <c r="C53" s="3" t="s">
        <v>73</v>
      </c>
      <c r="D53" s="14">
        <v>10</v>
      </c>
      <c r="E53" s="40">
        <v>0.5</v>
      </c>
      <c r="F53" s="40">
        <v>0.5</v>
      </c>
      <c r="G53" s="41">
        <f t="shared" si="0"/>
        <v>0.5</v>
      </c>
      <c r="H53" s="3" t="s">
        <v>74</v>
      </c>
      <c r="I53" s="39">
        <f t="shared" si="1"/>
        <v>0.05</v>
      </c>
    </row>
    <row r="54" spans="1:9">
      <c r="A54" s="3" t="s">
        <v>45</v>
      </c>
      <c r="B54" s="3" t="s">
        <v>75</v>
      </c>
      <c r="C54" s="3" t="s">
        <v>73</v>
      </c>
      <c r="D54" s="14">
        <v>10</v>
      </c>
      <c r="E54" s="40">
        <v>0</v>
      </c>
      <c r="F54" s="40">
        <v>3</v>
      </c>
      <c r="G54" s="41">
        <f t="shared" si="0"/>
        <v>3</v>
      </c>
      <c r="H54" s="3" t="s">
        <v>76</v>
      </c>
      <c r="I54" s="39">
        <f t="shared" si="1"/>
        <v>0.3</v>
      </c>
    </row>
    <row r="55" spans="1:9">
      <c r="A55" s="3" t="s">
        <v>46</v>
      </c>
      <c r="B55" s="3" t="s">
        <v>77</v>
      </c>
      <c r="C55" s="3" t="s">
        <v>73</v>
      </c>
      <c r="D55" s="14">
        <v>10</v>
      </c>
      <c r="E55" s="40">
        <v>1</v>
      </c>
      <c r="F55" s="40">
        <v>1</v>
      </c>
      <c r="G55" s="41">
        <f t="shared" si="0"/>
        <v>1</v>
      </c>
      <c r="H55" s="3" t="s">
        <v>74</v>
      </c>
      <c r="I55" s="39">
        <f t="shared" si="1"/>
        <v>0.1</v>
      </c>
    </row>
    <row r="56" spans="1:9">
      <c r="A56" s="3" t="s">
        <v>46</v>
      </c>
      <c r="B56" s="3" t="s">
        <v>78</v>
      </c>
      <c r="C56" s="3" t="s">
        <v>73</v>
      </c>
      <c r="D56" s="14">
        <v>10</v>
      </c>
      <c r="E56" s="40">
        <v>0.5</v>
      </c>
      <c r="F56" s="40">
        <v>0</v>
      </c>
      <c r="G56" s="41">
        <f t="shared" si="0"/>
        <v>0.5</v>
      </c>
      <c r="H56" s="3" t="s">
        <v>79</v>
      </c>
      <c r="I56" s="39">
        <f t="shared" si="1"/>
        <v>0.05</v>
      </c>
    </row>
    <row r="57" spans="1:9">
      <c r="A57" s="3" t="s">
        <v>46</v>
      </c>
      <c r="B57" s="3" t="s">
        <v>80</v>
      </c>
      <c r="C57" s="3" t="s">
        <v>73</v>
      </c>
      <c r="D57" s="14">
        <v>10</v>
      </c>
      <c r="E57" s="40">
        <v>0</v>
      </c>
      <c r="F57" s="40">
        <v>3</v>
      </c>
      <c r="G57" s="41">
        <f t="shared" si="0"/>
        <v>3</v>
      </c>
      <c r="H57" s="3" t="s">
        <v>76</v>
      </c>
      <c r="I57" s="39">
        <f t="shared" si="1"/>
        <v>0.3</v>
      </c>
    </row>
    <row r="58" spans="1:9">
      <c r="A58" s="3" t="s">
        <v>50</v>
      </c>
      <c r="B58" s="3" t="s">
        <v>81</v>
      </c>
      <c r="C58" s="3" t="s">
        <v>73</v>
      </c>
      <c r="D58" s="14">
        <v>10</v>
      </c>
      <c r="E58" s="40">
        <v>1</v>
      </c>
      <c r="F58" s="40">
        <v>1</v>
      </c>
      <c r="G58" s="41">
        <f t="shared" si="0"/>
        <v>1</v>
      </c>
      <c r="H58" s="3" t="s">
        <v>82</v>
      </c>
      <c r="I58" s="39">
        <f t="shared" si="1"/>
        <v>0.1</v>
      </c>
    </row>
    <row r="59" spans="1:9">
      <c r="A59" s="3" t="s">
        <v>51</v>
      </c>
      <c r="B59" s="3" t="s">
        <v>83</v>
      </c>
      <c r="C59" s="3" t="s">
        <v>73</v>
      </c>
      <c r="D59" s="14">
        <v>10</v>
      </c>
      <c r="E59" s="40">
        <v>2</v>
      </c>
      <c r="F59" s="40">
        <v>0</v>
      </c>
      <c r="G59" s="41">
        <f t="shared" si="0"/>
        <v>2</v>
      </c>
      <c r="H59" s="3" t="s">
        <v>84</v>
      </c>
      <c r="I59" s="39">
        <f t="shared" si="1"/>
        <v>0.2</v>
      </c>
    </row>
    <row r="60" spans="1:9">
      <c r="A60" s="3" t="s">
        <v>51</v>
      </c>
      <c r="B60" s="3" t="s">
        <v>85</v>
      </c>
      <c r="C60" s="3" t="s">
        <v>73</v>
      </c>
      <c r="D60" s="14">
        <v>10</v>
      </c>
      <c r="E60" s="40">
        <v>2</v>
      </c>
      <c r="F60" s="40">
        <v>0</v>
      </c>
      <c r="G60" s="41">
        <f t="shared" si="0"/>
        <v>2</v>
      </c>
      <c r="H60" s="3" t="s">
        <v>84</v>
      </c>
      <c r="I60" s="39">
        <f t="shared" si="1"/>
        <v>0.2</v>
      </c>
    </row>
    <row r="62" spans="1:1">
      <c r="A62" s="2" t="s">
        <v>86</v>
      </c>
    </row>
    <row r="63" spans="1:1">
      <c r="A63" s="9" t="s">
        <v>87</v>
      </c>
    </row>
    <row r="64" spans="1:1">
      <c r="A64" s="9" t="s">
        <v>88</v>
      </c>
    </row>
    <row r="65" spans="1:1">
      <c r="A65" s="9" t="s">
        <v>89</v>
      </c>
    </row>
    <row r="66" spans="1:1">
      <c r="A66" s="9" t="s">
        <v>90</v>
      </c>
    </row>
    <row r="67" spans="1:1">
      <c r="A67" s="9" t="s">
        <v>91</v>
      </c>
    </row>
    <row r="68" spans="1:1">
      <c r="A68" s="9" t="s">
        <v>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opLeftCell="A10" workbookViewId="0">
      <selection activeCell="A1" sqref="A1"/>
    </sheetView>
  </sheetViews>
  <sheetFormatPr defaultColWidth="9" defaultRowHeight="14.6" outlineLevelCol="2"/>
  <cols>
    <col min="1" max="1" width="46" customWidth="1"/>
    <col min="2" max="2" width="32" customWidth="1"/>
    <col min="3" max="3" width="12" customWidth="1"/>
  </cols>
  <sheetData>
    <row r="1" ht="17.25" spans="1:1">
      <c r="A1" s="1" t="s">
        <v>93</v>
      </c>
    </row>
    <row r="3" spans="1:1">
      <c r="A3" s="2" t="s">
        <v>94</v>
      </c>
    </row>
    <row r="4" ht="14.65" spans="1:2">
      <c r="A4" s="10" t="s">
        <v>56</v>
      </c>
      <c r="B4" s="10" t="s">
        <v>95</v>
      </c>
    </row>
    <row r="5" spans="1:2">
      <c r="A5" s="3" t="s">
        <v>96</v>
      </c>
      <c r="B5" s="14">
        <v>25</v>
      </c>
    </row>
    <row r="6" spans="1:2">
      <c r="A6" s="3" t="s">
        <v>97</v>
      </c>
      <c r="B6" s="14">
        <v>40</v>
      </c>
    </row>
    <row r="7" spans="1:2">
      <c r="A7" s="3" t="s">
        <v>98</v>
      </c>
      <c r="B7" s="14">
        <v>10</v>
      </c>
    </row>
    <row r="9" spans="1:1">
      <c r="A9" s="2" t="s">
        <v>99</v>
      </c>
    </row>
    <row r="10" ht="14.65" spans="1:2">
      <c r="A10" s="10" t="s">
        <v>56</v>
      </c>
      <c r="B10" s="10" t="s">
        <v>95</v>
      </c>
    </row>
    <row r="11" spans="1:2">
      <c r="A11" s="3" t="s">
        <v>100</v>
      </c>
      <c r="B11" s="14">
        <v>45</v>
      </c>
    </row>
    <row r="12" spans="1:2">
      <c r="A12" s="3" t="s">
        <v>101</v>
      </c>
      <c r="B12" s="14">
        <v>10</v>
      </c>
    </row>
    <row r="13" spans="1:2">
      <c r="A13" s="3" t="s">
        <v>102</v>
      </c>
      <c r="B13" s="14">
        <v>70</v>
      </c>
    </row>
    <row r="15" spans="1:1">
      <c r="A15" s="2" t="s">
        <v>103</v>
      </c>
    </row>
    <row r="16" ht="14.65" spans="1:3">
      <c r="A16" s="10" t="s">
        <v>104</v>
      </c>
      <c r="B16" s="10" t="s">
        <v>105</v>
      </c>
      <c r="C16" s="10" t="s">
        <v>26</v>
      </c>
    </row>
    <row r="17" spans="1:3">
      <c r="A17" s="3" t="s">
        <v>29</v>
      </c>
      <c r="B17" s="14">
        <v>50</v>
      </c>
      <c r="C17" s="3" t="s">
        <v>30</v>
      </c>
    </row>
    <row r="18" spans="1:3">
      <c r="A18" s="3" t="s">
        <v>37</v>
      </c>
      <c r="B18" s="14">
        <v>2</v>
      </c>
      <c r="C18" s="3" t="s">
        <v>30</v>
      </c>
    </row>
    <row r="19" spans="1:3">
      <c r="A19" s="3" t="s">
        <v>106</v>
      </c>
      <c r="B19" s="14">
        <v>70</v>
      </c>
      <c r="C19" s="3" t="s">
        <v>30</v>
      </c>
    </row>
    <row r="20" spans="1:3">
      <c r="A20" s="3" t="s">
        <v>31</v>
      </c>
      <c r="B20" s="14">
        <v>80</v>
      </c>
      <c r="C20" s="3" t="s">
        <v>32</v>
      </c>
    </row>
    <row r="21" spans="1:3">
      <c r="A21" s="3" t="s">
        <v>33</v>
      </c>
      <c r="B21" s="14">
        <v>9</v>
      </c>
      <c r="C21" s="3" t="s">
        <v>30</v>
      </c>
    </row>
    <row r="22" spans="1:3">
      <c r="A22" s="3" t="s">
        <v>107</v>
      </c>
      <c r="B22" s="14">
        <v>2</v>
      </c>
      <c r="C22" s="3" t="s">
        <v>30</v>
      </c>
    </row>
    <row r="23" spans="1:3">
      <c r="A23" s="3" t="s">
        <v>41</v>
      </c>
      <c r="B23" s="14">
        <v>50</v>
      </c>
      <c r="C23" s="3" t="s">
        <v>30</v>
      </c>
    </row>
    <row r="24" spans="1:3">
      <c r="A24" s="3" t="s">
        <v>35</v>
      </c>
      <c r="B24" s="14">
        <v>10</v>
      </c>
      <c r="C24" s="3" t="s">
        <v>30</v>
      </c>
    </row>
    <row r="25" spans="1:3">
      <c r="A25" s="3" t="s">
        <v>43</v>
      </c>
      <c r="B25" s="14">
        <v>100</v>
      </c>
      <c r="C25" s="3" t="s">
        <v>108</v>
      </c>
    </row>
    <row r="26" spans="1:3">
      <c r="A26" s="3" t="s">
        <v>52</v>
      </c>
      <c r="B26" s="14">
        <v>15</v>
      </c>
      <c r="C26" s="3" t="s">
        <v>30</v>
      </c>
    </row>
    <row r="27" spans="1:3">
      <c r="A27" s="3" t="s">
        <v>109</v>
      </c>
      <c r="B27" s="14">
        <v>5</v>
      </c>
      <c r="C27" s="3" t="s">
        <v>30</v>
      </c>
    </row>
    <row r="29" spans="1:1">
      <c r="A29" s="2" t="s">
        <v>110</v>
      </c>
    </row>
    <row r="30" ht="29.25" spans="1:2">
      <c r="A30" s="10" t="s">
        <v>111</v>
      </c>
      <c r="B30" s="10" t="s">
        <v>112</v>
      </c>
    </row>
    <row r="31" spans="1:2">
      <c r="A31" s="3" t="s">
        <v>113</v>
      </c>
      <c r="B31" s="14">
        <v>25</v>
      </c>
    </row>
    <row r="32" spans="1:2">
      <c r="A32" s="3" t="s">
        <v>114</v>
      </c>
      <c r="B32" s="14">
        <v>20</v>
      </c>
    </row>
    <row r="33" spans="1:2">
      <c r="A33" s="3" t="s">
        <v>115</v>
      </c>
      <c r="B33" s="14">
        <v>15</v>
      </c>
    </row>
    <row r="35" spans="1:1">
      <c r="A35" s="2" t="s">
        <v>86</v>
      </c>
    </row>
    <row r="36" spans="1:1">
      <c r="A36" s="9" t="s">
        <v>116</v>
      </c>
    </row>
    <row r="37" spans="1:1">
      <c r="A37" s="9" t="s">
        <v>117</v>
      </c>
    </row>
    <row r="38" spans="1:1">
      <c r="A38" s="9" t="s">
        <v>118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E9" sqref="E9"/>
    </sheetView>
  </sheetViews>
  <sheetFormatPr defaultColWidth="9" defaultRowHeight="14.6" outlineLevelCol="2"/>
  <cols>
    <col min="1" max="1" width="32" customWidth="1"/>
    <col min="2" max="2" width="22" customWidth="1"/>
    <col min="3" max="3" width="12" customWidth="1"/>
  </cols>
  <sheetData>
    <row r="1" ht="17.25" spans="1:1">
      <c r="A1" s="1" t="s">
        <v>119</v>
      </c>
    </row>
    <row r="3" ht="14.65" spans="1:3">
      <c r="A3" s="10" t="s">
        <v>120</v>
      </c>
      <c r="B3" s="10" t="s">
        <v>121</v>
      </c>
      <c r="C3" s="10" t="s">
        <v>122</v>
      </c>
    </row>
    <row r="4" spans="1:3">
      <c r="A4" s="3" t="s">
        <v>46</v>
      </c>
      <c r="B4" s="14">
        <v>300</v>
      </c>
      <c r="C4" s="14">
        <v>0</v>
      </c>
    </row>
    <row r="5" spans="1:3">
      <c r="A5" s="3" t="s">
        <v>51</v>
      </c>
      <c r="B5" s="14">
        <v>150</v>
      </c>
      <c r="C5" s="14">
        <v>0</v>
      </c>
    </row>
    <row r="6" spans="1:3">
      <c r="A6" s="3" t="s">
        <v>45</v>
      </c>
      <c r="B6" s="14">
        <v>0</v>
      </c>
      <c r="C6" s="14">
        <v>0</v>
      </c>
    </row>
    <row r="7" spans="1:3">
      <c r="A7" s="3" t="s">
        <v>50</v>
      </c>
      <c r="B7" s="14">
        <v>0</v>
      </c>
      <c r="C7" s="14">
        <v>1</v>
      </c>
    </row>
    <row r="8" spans="1:3">
      <c r="A8" s="3" t="s">
        <v>38</v>
      </c>
      <c r="B8" s="14">
        <v>250</v>
      </c>
      <c r="C8" s="14">
        <v>1</v>
      </c>
    </row>
    <row r="9" spans="1:3">
      <c r="A9" s="3" t="s">
        <v>36</v>
      </c>
      <c r="B9" s="14">
        <v>150</v>
      </c>
      <c r="C9" s="14">
        <v>1</v>
      </c>
    </row>
    <row r="10" spans="1:3">
      <c r="A10" s="3" t="s">
        <v>28</v>
      </c>
      <c r="B10" s="14">
        <v>0</v>
      </c>
      <c r="C10" s="14">
        <v>1</v>
      </c>
    </row>
    <row r="11" spans="1:3">
      <c r="A11" s="3" t="s">
        <v>40</v>
      </c>
      <c r="B11" s="14">
        <v>100</v>
      </c>
      <c r="C11" s="14">
        <v>1</v>
      </c>
    </row>
    <row r="13" spans="1:1">
      <c r="A13" s="9" t="s">
        <v>123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workbookViewId="0">
      <selection activeCell="J16" sqref="J16"/>
    </sheetView>
  </sheetViews>
  <sheetFormatPr defaultColWidth="9" defaultRowHeight="14.6"/>
  <cols>
    <col min="1" max="1" width="9" customWidth="1"/>
    <col min="2" max="2" width="30" customWidth="1"/>
    <col min="3" max="3" width="9" customWidth="1"/>
    <col min="4" max="5" width="14" customWidth="1"/>
    <col min="6" max="6" width="17" customWidth="1"/>
    <col min="7" max="7" width="15" customWidth="1"/>
    <col min="8" max="8" width="13" customWidth="1"/>
    <col min="9" max="9" width="16" customWidth="1"/>
    <col min="10" max="10" width="15" customWidth="1"/>
    <col min="11" max="11" width="14" customWidth="1"/>
    <col min="12" max="12" width="16" customWidth="1"/>
    <col min="13" max="13" width="75" customWidth="1"/>
  </cols>
  <sheetData>
    <row r="1" ht="17.25" spans="1:1">
      <c r="A1" s="1" t="s">
        <v>124</v>
      </c>
    </row>
    <row r="2" spans="1:1">
      <c r="A2" s="9"/>
    </row>
    <row r="4" ht="29.25" spans="1:13">
      <c r="A4" s="10" t="s">
        <v>122</v>
      </c>
      <c r="B4" s="10" t="s">
        <v>120</v>
      </c>
      <c r="C4" s="10" t="s">
        <v>26</v>
      </c>
      <c r="D4" s="10" t="s">
        <v>105</v>
      </c>
      <c r="E4" s="10" t="s">
        <v>125</v>
      </c>
      <c r="F4" s="10" t="s">
        <v>126</v>
      </c>
      <c r="G4" s="10" t="s">
        <v>127</v>
      </c>
      <c r="H4" s="10" t="s">
        <v>128</v>
      </c>
      <c r="I4" s="10" t="s">
        <v>129</v>
      </c>
      <c r="J4" s="10" t="s">
        <v>130</v>
      </c>
      <c r="K4" s="10" t="s">
        <v>131</v>
      </c>
      <c r="L4" s="10" t="s">
        <v>132</v>
      </c>
      <c r="M4" s="10" t="s">
        <v>133</v>
      </c>
    </row>
    <row r="5" spans="1:1">
      <c r="A5" s="18" t="s">
        <v>134</v>
      </c>
    </row>
    <row r="6" spans="1:13">
      <c r="A6" s="14">
        <v>0</v>
      </c>
      <c r="B6" s="3" t="s">
        <v>46</v>
      </c>
      <c r="C6" s="3" t="s">
        <v>30</v>
      </c>
      <c r="D6" s="39">
        <f>Склад_Остатки_В3!$B$5</f>
        <v>25</v>
      </c>
      <c r="E6" s="39">
        <f>Заказы_Клиентов_В3!$B$4</f>
        <v>300</v>
      </c>
      <c r="F6" s="39">
        <f>0</f>
        <v>0</v>
      </c>
      <c r="G6" s="16">
        <f>E6+F6</f>
        <v>300</v>
      </c>
      <c r="H6" s="17">
        <f>Склад_Остатки_В3!$B$31/100</f>
        <v>0.25</v>
      </c>
      <c r="I6" s="16">
        <f>H6*G6</f>
        <v>75</v>
      </c>
      <c r="J6" s="24">
        <f>MAX(0,G6+I6-D6)</f>
        <v>350</v>
      </c>
      <c r="K6" s="16">
        <f>0</f>
        <v>0</v>
      </c>
      <c r="L6" s="16">
        <f>D6+J6+K6-G6</f>
        <v>75</v>
      </c>
      <c r="M6" s="3" t="s">
        <v>135</v>
      </c>
    </row>
    <row r="7" spans="1:13">
      <c r="A7" s="14">
        <v>0</v>
      </c>
      <c r="B7" s="3" t="s">
        <v>51</v>
      </c>
      <c r="C7" s="3" t="s">
        <v>30</v>
      </c>
      <c r="D7" s="39">
        <f>Склад_Остатки_В3!$B$6</f>
        <v>40</v>
      </c>
      <c r="E7" s="39">
        <f>Заказы_Клиентов_В3!$B$5</f>
        <v>150</v>
      </c>
      <c r="F7" s="39">
        <f>0</f>
        <v>0</v>
      </c>
      <c r="G7" s="16">
        <f>E7+F7</f>
        <v>150</v>
      </c>
      <c r="H7" s="17">
        <f>Склад_Остатки_В3!$B$31/100</f>
        <v>0.25</v>
      </c>
      <c r="I7" s="16">
        <f>H7*G7</f>
        <v>37.5</v>
      </c>
      <c r="J7" s="24">
        <f>MAX(0,G7+I7-D7)</f>
        <v>147.5</v>
      </c>
      <c r="K7" s="16">
        <f>0</f>
        <v>0</v>
      </c>
      <c r="L7" s="16">
        <f>D7+J7+K7-G7</f>
        <v>37.5</v>
      </c>
      <c r="M7" s="3" t="s">
        <v>136</v>
      </c>
    </row>
    <row r="8" spans="1:13">
      <c r="A8" s="14">
        <v>0</v>
      </c>
      <c r="B8" s="3" t="s">
        <v>45</v>
      </c>
      <c r="C8" s="3" t="s">
        <v>30</v>
      </c>
      <c r="D8" s="39">
        <f>Склад_Остатки_В3!$B$7</f>
        <v>10</v>
      </c>
      <c r="E8" s="39">
        <f>Заказы_Клиентов_В3!$B$6</f>
        <v>0</v>
      </c>
      <c r="F8" s="39">
        <f>0</f>
        <v>0</v>
      </c>
      <c r="G8" s="16">
        <f>E8+F8</f>
        <v>0</v>
      </c>
      <c r="H8" s="17">
        <f>Склад_Остатки_В3!$B$31/100</f>
        <v>0.25</v>
      </c>
      <c r="I8" s="16">
        <f>H8*G8</f>
        <v>0</v>
      </c>
      <c r="J8" s="24">
        <f>MAX(0,G8+I8-D8)</f>
        <v>0</v>
      </c>
      <c r="K8" s="16">
        <f>0</f>
        <v>0</v>
      </c>
      <c r="L8" s="16">
        <f>D8+J8+K8-G8</f>
        <v>10</v>
      </c>
      <c r="M8" s="3" t="s">
        <v>137</v>
      </c>
    </row>
    <row r="10" spans="1:1">
      <c r="A10" s="18" t="s">
        <v>138</v>
      </c>
    </row>
    <row r="11" spans="1:13">
      <c r="A11" s="14">
        <v>1</v>
      </c>
      <c r="B11" s="3" t="s">
        <v>50</v>
      </c>
      <c r="C11" s="3" t="s">
        <v>30</v>
      </c>
      <c r="D11" s="39">
        <f>0</f>
        <v>0</v>
      </c>
      <c r="E11" s="39">
        <f>Заказы_Клиентов_В3!$B$7</f>
        <v>0</v>
      </c>
      <c r="F11" s="39">
        <f>$J$7*SUMIFS(Тек_карты_В3!$C$5:$C$40,Тек_карты_В3!$A$5:$A$40,"Цыпленок фаршированный",Тек_карты_В3!$B$5:$B$40,$B11)</f>
        <v>29.5</v>
      </c>
      <c r="G11" s="16">
        <f>E11+F11</f>
        <v>29.5</v>
      </c>
      <c r="H11" s="17">
        <f>Склад_Остатки_В3!$B$32/100</f>
        <v>0.2</v>
      </c>
      <c r="I11" s="16">
        <f>H11*G11</f>
        <v>5.9</v>
      </c>
      <c r="J11" s="24">
        <f>MAX(0,G11+I11-D11)</f>
        <v>35.4</v>
      </c>
      <c r="K11" s="16">
        <f>0</f>
        <v>0</v>
      </c>
      <c r="L11" s="16">
        <f>D11+J11+K11-G11</f>
        <v>5.9</v>
      </c>
      <c r="M11" s="3" t="s">
        <v>139</v>
      </c>
    </row>
    <row r="12" spans="1:13">
      <c r="A12" s="14">
        <v>1</v>
      </c>
      <c r="B12" s="3" t="s">
        <v>38</v>
      </c>
      <c r="C12" s="3" t="s">
        <v>30</v>
      </c>
      <c r="D12" s="39">
        <f>Склад_Остатки_В3!$B$12</f>
        <v>10</v>
      </c>
      <c r="E12" s="39">
        <f>Заказы_Клиентов_В3!$B$8</f>
        <v>250</v>
      </c>
      <c r="F12" s="39">
        <f>$J$6*SUMIFS(Тек_карты_В3!$C$5:$C$40,Тек_карты_В3!$A$5:$A$40,"Котлета по киевски",Тек_карты_В3!$B$5:$B$40,$B12)</f>
        <v>280</v>
      </c>
      <c r="G12" s="16">
        <f>E12+F12</f>
        <v>530</v>
      </c>
      <c r="H12" s="17">
        <f>Склад_Остатки_В3!$B$32/100</f>
        <v>0.2</v>
      </c>
      <c r="I12" s="16">
        <f>H12*G12</f>
        <v>106</v>
      </c>
      <c r="J12" s="24">
        <f>MAX(0,G12+I12-D12)</f>
        <v>626</v>
      </c>
      <c r="K12" s="16">
        <f>0</f>
        <v>0</v>
      </c>
      <c r="L12" s="16">
        <f>D12+J12+K12-G12</f>
        <v>106</v>
      </c>
      <c r="M12" s="3" t="s">
        <v>140</v>
      </c>
    </row>
    <row r="13" spans="1:13">
      <c r="A13" s="14">
        <v>1</v>
      </c>
      <c r="B13" s="3" t="s">
        <v>36</v>
      </c>
      <c r="C13" s="3" t="s">
        <v>30</v>
      </c>
      <c r="D13" s="39">
        <f>Склад_Остатки_В3!$B$13</f>
        <v>70</v>
      </c>
      <c r="E13" s="39">
        <f>Заказы_Клиентов_В3!$B$9</f>
        <v>150</v>
      </c>
      <c r="F13" s="39">
        <f>$J$8*SUMIFS(Тек_карты_В3!$C$5:$C$40,Тек_карты_В3!$A$5:$A$40,"Пельмени домашние",Тек_карты_В3!$B$5:$B$40,$B13)</f>
        <v>0</v>
      </c>
      <c r="G13" s="16">
        <f>E13+F13</f>
        <v>150</v>
      </c>
      <c r="H13" s="17">
        <f>Склад_Остатки_В3!$B$32/100</f>
        <v>0.2</v>
      </c>
      <c r="I13" s="16">
        <f>H13*G13</f>
        <v>30</v>
      </c>
      <c r="J13" s="24">
        <f>MAX(0,G13+I13-D13)</f>
        <v>110</v>
      </c>
      <c r="K13" s="16">
        <f>0</f>
        <v>0</v>
      </c>
      <c r="L13" s="16">
        <f>D13+J13+K13-G13</f>
        <v>30</v>
      </c>
      <c r="M13" s="3" t="s">
        <v>141</v>
      </c>
    </row>
    <row r="14" spans="1:13">
      <c r="A14" s="14">
        <v>1</v>
      </c>
      <c r="B14" s="3" t="s">
        <v>28</v>
      </c>
      <c r="C14" s="3" t="s">
        <v>30</v>
      </c>
      <c r="D14" s="39">
        <f>Склад_Остатки_В3!$B$11</f>
        <v>45</v>
      </c>
      <c r="E14" s="39">
        <f>Заказы_Клиентов_В3!$B$10</f>
        <v>0</v>
      </c>
      <c r="F14" s="39">
        <f>0</f>
        <v>0</v>
      </c>
      <c r="G14" s="16">
        <f>E14+F14</f>
        <v>0</v>
      </c>
      <c r="H14" s="17">
        <f>Склад_Остатки_В3!$B$32/100</f>
        <v>0.2</v>
      </c>
      <c r="I14" s="16">
        <f>H14*G14</f>
        <v>0</v>
      </c>
      <c r="J14" s="24">
        <f>MAX(0,G14+I14-D14)</f>
        <v>0</v>
      </c>
      <c r="K14" s="16">
        <f>0</f>
        <v>0</v>
      </c>
      <c r="L14" s="16">
        <f>D14+J14+K14-G14</f>
        <v>45</v>
      </c>
      <c r="M14" s="3" t="s">
        <v>142</v>
      </c>
    </row>
    <row r="15" spans="1:13">
      <c r="A15" s="14">
        <v>1</v>
      </c>
      <c r="B15" s="3" t="s">
        <v>40</v>
      </c>
      <c r="C15" s="3" t="s">
        <v>30</v>
      </c>
      <c r="D15" s="39">
        <f>0</f>
        <v>0</v>
      </c>
      <c r="E15" s="39">
        <f>Заказы_Клиентов_В3!$B$11</f>
        <v>100</v>
      </c>
      <c r="F15" s="39">
        <f>$J$11*SUMIFS(Тек_карты_В3!$C$5:$C$40,Тек_карты_В3!$A$5:$A$40,"Блины",Тек_карты_В3!$B$5:$B$40,$B15)+$J$8*SUMIFS(Тек_карты_В3!$C$5:$C$40,Тек_карты_В3!$A$5:$A$40,"Пельмени домашние",Тек_карты_В3!$B$5:$B$40,$B15)</f>
        <v>28.32</v>
      </c>
      <c r="G15" s="16">
        <f>E15+F15</f>
        <v>128.32</v>
      </c>
      <c r="H15" s="17">
        <f>Склад_Остатки_В3!$B$32/100</f>
        <v>0.2</v>
      </c>
      <c r="I15" s="16">
        <f>H15*G15</f>
        <v>25.664</v>
      </c>
      <c r="J15" s="24">
        <f>MAX(0,G15+I15-D15)</f>
        <v>153.984</v>
      </c>
      <c r="K15" s="16">
        <f>0</f>
        <v>0</v>
      </c>
      <c r="L15" s="16">
        <f>D15+J15+K15-G15</f>
        <v>25.664</v>
      </c>
      <c r="M15" s="3" t="s">
        <v>143</v>
      </c>
    </row>
    <row r="16" spans="1:13">
      <c r="A16" s="2" t="s">
        <v>144</v>
      </c>
      <c r="B16" s="2" t="s">
        <v>145</v>
      </c>
      <c r="J16" s="24">
        <f>SUM(J6:J8)+SUM(J11:J15)</f>
        <v>1422.884</v>
      </c>
      <c r="M16" s="9" t="s">
        <v>146</v>
      </c>
    </row>
    <row r="18" spans="1:1">
      <c r="A18" s="18" t="s">
        <v>147</v>
      </c>
    </row>
    <row r="19" ht="29.25" spans="1:12">
      <c r="A19" s="10" t="s">
        <v>122</v>
      </c>
      <c r="B19" s="10" t="s">
        <v>104</v>
      </c>
      <c r="C19" s="10" t="s">
        <v>26</v>
      </c>
      <c r="D19" s="10" t="s">
        <v>105</v>
      </c>
      <c r="E19" s="10" t="s">
        <v>125</v>
      </c>
      <c r="F19" s="10" t="s">
        <v>126</v>
      </c>
      <c r="G19" s="10" t="s">
        <v>127</v>
      </c>
      <c r="H19" s="10" t="s">
        <v>128</v>
      </c>
      <c r="I19" s="10" t="s">
        <v>129</v>
      </c>
      <c r="J19" s="10" t="s">
        <v>130</v>
      </c>
      <c r="K19" s="10" t="s">
        <v>131</v>
      </c>
      <c r="L19" s="10" t="s">
        <v>132</v>
      </c>
    </row>
    <row r="20" spans="1:12">
      <c r="A20" s="14">
        <v>2</v>
      </c>
      <c r="B20" s="3" t="s">
        <v>29</v>
      </c>
      <c r="C20" s="3" t="s">
        <v>30</v>
      </c>
      <c r="D20" s="16">
        <f>Склад_Остатки_В3!$B$17</f>
        <v>50</v>
      </c>
      <c r="E20" s="16">
        <f t="shared" ref="E20:E34" si="0">0</f>
        <v>0</v>
      </c>
      <c r="F20" s="39">
        <f>SUMPRODUCT((Тек_карты_В3!$B$5:$B$40=$B20)*Тек_карты_В3!$C$5:$C$40*Тек_карты_В3!$E$5:$E$40)</f>
        <v>66</v>
      </c>
      <c r="G20" s="16">
        <f t="shared" ref="G20:G34" si="1">E20+F20</f>
        <v>66</v>
      </c>
      <c r="H20" s="17">
        <f>Склад_Остатки_В3!$B$33/100</f>
        <v>0.15</v>
      </c>
      <c r="I20" s="16">
        <f t="shared" ref="I20:I34" si="2">H20*G20</f>
        <v>9.9</v>
      </c>
      <c r="J20" s="16">
        <f t="shared" ref="J20:J34" si="3">0</f>
        <v>0</v>
      </c>
      <c r="K20" s="16">
        <f t="shared" ref="K20:K34" si="4">MAX(0,G20+I20-D20)</f>
        <v>25.9</v>
      </c>
      <c r="L20" s="16">
        <f t="shared" ref="L20:L34" si="5">D20+J20+K20-G20</f>
        <v>9.90000000000001</v>
      </c>
    </row>
    <row r="21" spans="1:12">
      <c r="A21" s="14">
        <v>2</v>
      </c>
      <c r="B21" s="3" t="s">
        <v>37</v>
      </c>
      <c r="C21" s="3" t="s">
        <v>30</v>
      </c>
      <c r="D21" s="16">
        <f>Склад_Остатки_В3!$B$18</f>
        <v>2</v>
      </c>
      <c r="E21" s="16">
        <f t="shared" si="0"/>
        <v>0</v>
      </c>
      <c r="F21" s="39">
        <f>SUMPRODUCT((Тек_карты_В3!$B$5:$B$40=$B21)*Тек_карты_В3!$C$5:$C$40*Тек_карты_В3!$E$5:$E$40)</f>
        <v>22</v>
      </c>
      <c r="G21" s="16">
        <f t="shared" si="1"/>
        <v>22</v>
      </c>
      <c r="H21" s="17">
        <f>Склад_Остатки_В3!$B$33/100</f>
        <v>0.15</v>
      </c>
      <c r="I21" s="16">
        <f t="shared" si="2"/>
        <v>3.3</v>
      </c>
      <c r="J21" s="16">
        <f t="shared" si="3"/>
        <v>0</v>
      </c>
      <c r="K21" s="16">
        <f t="shared" si="4"/>
        <v>23.3</v>
      </c>
      <c r="L21" s="16">
        <f t="shared" si="5"/>
        <v>3.3</v>
      </c>
    </row>
    <row r="22" spans="1:12">
      <c r="A22" s="14">
        <v>2</v>
      </c>
      <c r="B22" s="3" t="s">
        <v>39</v>
      </c>
      <c r="C22" s="3" t="s">
        <v>30</v>
      </c>
      <c r="D22" s="16">
        <f>Склад_Остатки_В3!$B$19</f>
        <v>70</v>
      </c>
      <c r="E22" s="16">
        <f t="shared" si="0"/>
        <v>0</v>
      </c>
      <c r="F22" s="39">
        <f>SUMPRODUCT((Тек_карты_В3!$B$5:$B$40=$B22)*Тек_карты_В3!$C$5:$C$40*Тек_карты_В3!$E$5:$E$40)</f>
        <v>493.6</v>
      </c>
      <c r="G22" s="16">
        <f t="shared" si="1"/>
        <v>493.6</v>
      </c>
      <c r="H22" s="17">
        <f>Склад_Остатки_В3!$B$33/100</f>
        <v>0.15</v>
      </c>
      <c r="I22" s="16">
        <f t="shared" si="2"/>
        <v>74.04</v>
      </c>
      <c r="J22" s="16">
        <f t="shared" si="3"/>
        <v>0</v>
      </c>
      <c r="K22" s="16">
        <f t="shared" si="4"/>
        <v>497.64</v>
      </c>
      <c r="L22" s="16">
        <f t="shared" si="5"/>
        <v>74.04</v>
      </c>
    </row>
    <row r="23" spans="1:12">
      <c r="A23" s="14">
        <v>2</v>
      </c>
      <c r="B23" s="3" t="s">
        <v>31</v>
      </c>
      <c r="C23" s="3" t="s">
        <v>32</v>
      </c>
      <c r="D23" s="16">
        <f>Склад_Остатки_В3!$B$20</f>
        <v>80</v>
      </c>
      <c r="E23" s="16">
        <f t="shared" si="0"/>
        <v>0</v>
      </c>
      <c r="F23" s="39">
        <f>SUMPRODUCT((Тек_карты_В3!$B$5:$B$40=$B23)*Тек_карты_В3!$C$5:$C$40*Тек_карты_В3!$E$5:$E$40)</f>
        <v>1625.984</v>
      </c>
      <c r="G23" s="16">
        <f t="shared" si="1"/>
        <v>1625.984</v>
      </c>
      <c r="H23" s="17">
        <f>Склад_Остатки_В3!$B$33/100</f>
        <v>0.15</v>
      </c>
      <c r="I23" s="16">
        <f t="shared" si="2"/>
        <v>243.8976</v>
      </c>
      <c r="J23" s="16">
        <f t="shared" si="3"/>
        <v>0</v>
      </c>
      <c r="K23" s="16">
        <f t="shared" si="4"/>
        <v>1789.8816</v>
      </c>
      <c r="L23" s="16">
        <f t="shared" si="5"/>
        <v>243.8976</v>
      </c>
    </row>
    <row r="24" spans="1:12">
      <c r="A24" s="14">
        <v>2</v>
      </c>
      <c r="B24" s="3" t="s">
        <v>33</v>
      </c>
      <c r="C24" s="3" t="s">
        <v>30</v>
      </c>
      <c r="D24" s="16">
        <f>Склад_Остатки_В3!$B$21</f>
        <v>9</v>
      </c>
      <c r="E24" s="16">
        <f t="shared" si="0"/>
        <v>0</v>
      </c>
      <c r="F24" s="39">
        <f>SUMPRODUCT((Тек_карты_В3!$B$5:$B$40=$B24)*Тек_карты_В3!$C$5:$C$40*Тек_карты_В3!$E$5:$E$40)</f>
        <v>14.72</v>
      </c>
      <c r="G24" s="16">
        <f t="shared" si="1"/>
        <v>14.72</v>
      </c>
      <c r="H24" s="17">
        <f>Склад_Остатки_В3!$B$33/100</f>
        <v>0.15</v>
      </c>
      <c r="I24" s="16">
        <f t="shared" si="2"/>
        <v>2.208</v>
      </c>
      <c r="J24" s="16">
        <f t="shared" si="3"/>
        <v>0</v>
      </c>
      <c r="K24" s="16">
        <f t="shared" si="4"/>
        <v>7.928</v>
      </c>
      <c r="L24" s="16">
        <f t="shared" si="5"/>
        <v>2.208</v>
      </c>
    </row>
    <row r="25" spans="1:12">
      <c r="A25" s="14">
        <v>2</v>
      </c>
      <c r="B25" s="3" t="s">
        <v>34</v>
      </c>
      <c r="C25" s="3" t="s">
        <v>30</v>
      </c>
      <c r="D25" s="16">
        <f>Склад_Остатки_В3!$B$22</f>
        <v>2</v>
      </c>
      <c r="E25" s="16">
        <f t="shared" si="0"/>
        <v>0</v>
      </c>
      <c r="F25" s="39">
        <f>SUMPRODUCT((Тек_карты_В3!$B$5:$B$40=$B25)*Тек_карты_В3!$C$5:$C$40*Тек_карты_В3!$E$5:$E$40)</f>
        <v>0.736</v>
      </c>
      <c r="G25" s="16">
        <f t="shared" si="1"/>
        <v>0.736</v>
      </c>
      <c r="H25" s="17">
        <f>Склад_Остатки_В3!$B$33/100</f>
        <v>0.15</v>
      </c>
      <c r="I25" s="16">
        <f t="shared" si="2"/>
        <v>0.1104</v>
      </c>
      <c r="J25" s="16">
        <f t="shared" si="3"/>
        <v>0</v>
      </c>
      <c r="K25" s="16">
        <f t="shared" si="4"/>
        <v>0</v>
      </c>
      <c r="L25" s="16">
        <f t="shared" si="5"/>
        <v>1.264</v>
      </c>
    </row>
    <row r="26" spans="1:12">
      <c r="A26" s="14">
        <v>2</v>
      </c>
      <c r="B26" s="3" t="s">
        <v>35</v>
      </c>
      <c r="C26" s="3" t="s">
        <v>30</v>
      </c>
      <c r="D26" s="16">
        <f>Склад_Остатки_В3!$B$24</f>
        <v>10</v>
      </c>
      <c r="E26" s="16">
        <f t="shared" si="0"/>
        <v>0</v>
      </c>
      <c r="F26" s="39">
        <f>SUMPRODUCT((Тек_карты_В3!$B$5:$B$40=$B26)*Тек_карты_В3!$C$5:$C$40*Тек_карты_В3!$E$5:$E$40)</f>
        <v>1.043968</v>
      </c>
      <c r="G26" s="16">
        <f t="shared" si="1"/>
        <v>1.043968</v>
      </c>
      <c r="H26" s="17">
        <f>Склад_Остатки_В3!$B$33/100</f>
        <v>0.15</v>
      </c>
      <c r="I26" s="16">
        <f t="shared" si="2"/>
        <v>0.1565952</v>
      </c>
      <c r="J26" s="16">
        <f t="shared" si="3"/>
        <v>0</v>
      </c>
      <c r="K26" s="16">
        <f t="shared" si="4"/>
        <v>0</v>
      </c>
      <c r="L26" s="16">
        <f t="shared" si="5"/>
        <v>8.956032</v>
      </c>
    </row>
    <row r="27" spans="1:12">
      <c r="A27" s="14">
        <v>2</v>
      </c>
      <c r="B27" s="3" t="s">
        <v>41</v>
      </c>
      <c r="C27" s="3" t="s">
        <v>30</v>
      </c>
      <c r="D27" s="16">
        <f>Склад_Остатки_В3!$B$23</f>
        <v>50</v>
      </c>
      <c r="E27" s="16">
        <f t="shared" si="0"/>
        <v>0</v>
      </c>
      <c r="F27" s="39">
        <f>SUMPRODUCT((Тек_карты_В3!$B$5:$B$40=$B27)*Тек_карты_В3!$C$5:$C$40*Тек_карты_В3!$E$5:$E$40)</f>
        <v>138.5856</v>
      </c>
      <c r="G27" s="16">
        <f t="shared" si="1"/>
        <v>138.5856</v>
      </c>
      <c r="H27" s="17">
        <f>Склад_Остатки_В3!$B$33/100</f>
        <v>0.15</v>
      </c>
      <c r="I27" s="16">
        <f t="shared" si="2"/>
        <v>20.78784</v>
      </c>
      <c r="J27" s="16">
        <f t="shared" si="3"/>
        <v>0</v>
      </c>
      <c r="K27" s="16">
        <f t="shared" si="4"/>
        <v>109.37344</v>
      </c>
      <c r="L27" s="16">
        <f t="shared" si="5"/>
        <v>20.78784</v>
      </c>
    </row>
    <row r="28" spans="1:12">
      <c r="A28" s="14">
        <v>2</v>
      </c>
      <c r="B28" s="3" t="s">
        <v>42</v>
      </c>
      <c r="C28" s="3" t="s">
        <v>30</v>
      </c>
      <c r="D28" s="16">
        <f>0</f>
        <v>0</v>
      </c>
      <c r="E28" s="16">
        <f t="shared" si="0"/>
        <v>0</v>
      </c>
      <c r="F28" s="39">
        <f>SUMPRODUCT((Тек_карты_В3!$B$5:$B$40=$B28)*Тек_карты_В3!$C$5:$C$40*Тек_карты_В3!$E$5:$E$40)</f>
        <v>3.07968</v>
      </c>
      <c r="G28" s="16">
        <f t="shared" si="1"/>
        <v>3.07968</v>
      </c>
      <c r="H28" s="17">
        <f>Склад_Остатки_В3!$B$33/100</f>
        <v>0.15</v>
      </c>
      <c r="I28" s="16">
        <f t="shared" si="2"/>
        <v>0.461952</v>
      </c>
      <c r="J28" s="16">
        <f t="shared" si="3"/>
        <v>0</v>
      </c>
      <c r="K28" s="16">
        <f t="shared" si="4"/>
        <v>3.541632</v>
      </c>
      <c r="L28" s="16">
        <f t="shared" si="5"/>
        <v>0.461952</v>
      </c>
    </row>
    <row r="29" spans="1:12">
      <c r="A29" s="14">
        <v>2</v>
      </c>
      <c r="B29" s="3" t="s">
        <v>43</v>
      </c>
      <c r="C29" s="3" t="s">
        <v>30</v>
      </c>
      <c r="D29" s="16">
        <f>Склад_Остатки_В3!$B$25/1000</f>
        <v>0.1</v>
      </c>
      <c r="E29" s="16">
        <f t="shared" si="0"/>
        <v>0</v>
      </c>
      <c r="F29" s="39">
        <f>SUMPRODUCT((Тек_карты_В3!$B$5:$B$40=$B29)*Тек_карты_В3!$C$5:$C$40*Тек_карты_В3!$E$5:$E$40)</f>
        <v>0.461952</v>
      </c>
      <c r="G29" s="16">
        <f t="shared" si="1"/>
        <v>0.461952</v>
      </c>
      <c r="H29" s="17">
        <f>Склад_Остатки_В3!$B$33/100</f>
        <v>0.15</v>
      </c>
      <c r="I29" s="16">
        <f t="shared" si="2"/>
        <v>0.0692928</v>
      </c>
      <c r="J29" s="16">
        <f t="shared" si="3"/>
        <v>0</v>
      </c>
      <c r="K29" s="16">
        <f t="shared" si="4"/>
        <v>0.4312448</v>
      </c>
      <c r="L29" s="16">
        <f t="shared" si="5"/>
        <v>0.0692928</v>
      </c>
    </row>
    <row r="30" spans="1:12">
      <c r="A30" s="14">
        <v>2</v>
      </c>
      <c r="B30" s="3" t="s">
        <v>47</v>
      </c>
      <c r="C30" s="3" t="s">
        <v>30</v>
      </c>
      <c r="D30" s="16">
        <f>0</f>
        <v>0</v>
      </c>
      <c r="E30" s="16">
        <f t="shared" si="0"/>
        <v>0</v>
      </c>
      <c r="F30" s="39">
        <f>SUMPRODUCT((Тек_карты_В3!$B$5:$B$40=$B30)*Тек_карты_В3!$C$5:$C$40*Тек_карты_В3!$E$5:$E$40)</f>
        <v>77.08</v>
      </c>
      <c r="G30" s="16">
        <f t="shared" si="1"/>
        <v>77.08</v>
      </c>
      <c r="H30" s="17">
        <f>Склад_Остатки_В3!$B$33/100</f>
        <v>0.15</v>
      </c>
      <c r="I30" s="16">
        <f t="shared" si="2"/>
        <v>11.562</v>
      </c>
      <c r="J30" s="16">
        <f t="shared" si="3"/>
        <v>0</v>
      </c>
      <c r="K30" s="16">
        <f t="shared" si="4"/>
        <v>88.642</v>
      </c>
      <c r="L30" s="16">
        <f t="shared" si="5"/>
        <v>11.562</v>
      </c>
    </row>
    <row r="31" spans="1:12">
      <c r="A31" s="14">
        <v>2</v>
      </c>
      <c r="B31" s="3" t="s">
        <v>48</v>
      </c>
      <c r="C31" s="3" t="s">
        <v>30</v>
      </c>
      <c r="D31" s="16">
        <f>0</f>
        <v>0</v>
      </c>
      <c r="E31" s="16">
        <f t="shared" si="0"/>
        <v>0</v>
      </c>
      <c r="F31" s="39">
        <f>SUMPRODUCT((Тек_карты_В3!$B$5:$B$40=$B31)*Тек_карты_В3!$C$5:$C$40*Тек_карты_В3!$E$5:$E$40)</f>
        <v>70</v>
      </c>
      <c r="G31" s="16">
        <f t="shared" si="1"/>
        <v>70</v>
      </c>
      <c r="H31" s="17">
        <f>Склад_Остатки_В3!$B$33/100</f>
        <v>0.15</v>
      </c>
      <c r="I31" s="16">
        <f t="shared" si="2"/>
        <v>10.5</v>
      </c>
      <c r="J31" s="16">
        <f t="shared" si="3"/>
        <v>0</v>
      </c>
      <c r="K31" s="16">
        <f t="shared" si="4"/>
        <v>80.5</v>
      </c>
      <c r="L31" s="16">
        <f t="shared" si="5"/>
        <v>10.5</v>
      </c>
    </row>
    <row r="32" spans="1:12">
      <c r="A32" s="14">
        <v>2</v>
      </c>
      <c r="B32" s="3" t="s">
        <v>49</v>
      </c>
      <c r="C32" s="3" t="s">
        <v>30</v>
      </c>
      <c r="D32" s="16">
        <f>Склад_Остатки_В3!$B$27</f>
        <v>5</v>
      </c>
      <c r="E32" s="16">
        <f t="shared" si="0"/>
        <v>0</v>
      </c>
      <c r="F32" s="39">
        <f>SUMPRODUCT((Тек_карты_В3!$B$5:$B$40=$B32)*Тек_карты_В3!$C$5:$C$40*Тек_карты_В3!$E$5:$E$40)</f>
        <v>24.875</v>
      </c>
      <c r="G32" s="16">
        <f t="shared" si="1"/>
        <v>24.875</v>
      </c>
      <c r="H32" s="17">
        <f>Склад_Остатки_В3!$B$33/100</f>
        <v>0.15</v>
      </c>
      <c r="I32" s="16">
        <f t="shared" si="2"/>
        <v>3.73125</v>
      </c>
      <c r="J32" s="16">
        <f t="shared" si="3"/>
        <v>0</v>
      </c>
      <c r="K32" s="16">
        <f t="shared" si="4"/>
        <v>23.60625</v>
      </c>
      <c r="L32" s="16">
        <f t="shared" si="5"/>
        <v>3.73125</v>
      </c>
    </row>
    <row r="33" spans="1:12">
      <c r="A33" s="14">
        <v>2</v>
      </c>
      <c r="B33" s="3" t="s">
        <v>52</v>
      </c>
      <c r="C33" s="3" t="s">
        <v>30</v>
      </c>
      <c r="D33" s="16">
        <f>Склад_Остатки_В3!$B$26</f>
        <v>15</v>
      </c>
      <c r="E33" s="16">
        <f t="shared" si="0"/>
        <v>0</v>
      </c>
      <c r="F33" s="39">
        <f>SUMPRODUCT((Тек_карты_В3!$B$5:$B$40=$B33)*Тек_карты_В3!$C$5:$C$40*Тек_карты_В3!$E$5:$E$40)</f>
        <v>29.5</v>
      </c>
      <c r="G33" s="16">
        <f t="shared" si="1"/>
        <v>29.5</v>
      </c>
      <c r="H33" s="17">
        <f>Склад_Остатки_В3!$B$33/100</f>
        <v>0.15</v>
      </c>
      <c r="I33" s="16">
        <f t="shared" si="2"/>
        <v>4.425</v>
      </c>
      <c r="J33" s="16">
        <f t="shared" si="3"/>
        <v>0</v>
      </c>
      <c r="K33" s="16">
        <f t="shared" si="4"/>
        <v>18.925</v>
      </c>
      <c r="L33" s="16">
        <f t="shared" si="5"/>
        <v>4.425</v>
      </c>
    </row>
    <row r="34" spans="1:12">
      <c r="A34" s="14">
        <v>2</v>
      </c>
      <c r="B34" s="3" t="s">
        <v>53</v>
      </c>
      <c r="C34" s="3" t="s">
        <v>54</v>
      </c>
      <c r="D34" s="16">
        <f>0</f>
        <v>0</v>
      </c>
      <c r="E34" s="16">
        <f t="shared" si="0"/>
        <v>0</v>
      </c>
      <c r="F34" s="39">
        <f>SUMPRODUCT((Тек_карты_В3!$B$5:$B$40=$B34)*Тек_карты_В3!$C$5:$C$40*Тек_карты_В3!$E$5:$E$40)</f>
        <v>29.5</v>
      </c>
      <c r="G34" s="16">
        <f t="shared" si="1"/>
        <v>29.5</v>
      </c>
      <c r="H34" s="17">
        <f>Склад_Остатки_В3!$B$33/100</f>
        <v>0.15</v>
      </c>
      <c r="I34" s="16">
        <f t="shared" si="2"/>
        <v>4.425</v>
      </c>
      <c r="J34" s="16">
        <f t="shared" si="3"/>
        <v>0</v>
      </c>
      <c r="K34" s="16">
        <f t="shared" si="4"/>
        <v>33.925</v>
      </c>
      <c r="L34" s="16">
        <f t="shared" si="5"/>
        <v>4.425</v>
      </c>
    </row>
    <row r="35" spans="1:1">
      <c r="A35" s="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workbookViewId="0">
      <selection activeCell="E8" sqref="E8"/>
    </sheetView>
  </sheetViews>
  <sheetFormatPr defaultColWidth="9" defaultRowHeight="14.6"/>
  <cols>
    <col min="1" max="1" width="46" customWidth="1"/>
    <col min="2" max="2" width="18.929203539823" customWidth="1"/>
    <col min="3" max="3" width="21.0530973451327" style="26" customWidth="1"/>
    <col min="4" max="4" width="26" customWidth="1"/>
    <col min="5" max="8" width="14" customWidth="1"/>
  </cols>
  <sheetData>
    <row r="1" ht="17.25" spans="1:1">
      <c r="A1" s="1" t="s">
        <v>148</v>
      </c>
    </row>
    <row r="2" spans="1:1">
      <c r="A2" s="9" t="s">
        <v>149</v>
      </c>
    </row>
    <row r="4" spans="1:1">
      <c r="A4" s="2" t="s">
        <v>150</v>
      </c>
    </row>
    <row r="5" ht="29.25" spans="1:10">
      <c r="A5" s="10" t="s">
        <v>56</v>
      </c>
      <c r="B5" s="10" t="s">
        <v>151</v>
      </c>
      <c r="C5" s="10" t="s">
        <v>152</v>
      </c>
      <c r="D5" s="10" t="s">
        <v>153</v>
      </c>
      <c r="E5" s="26"/>
      <c r="F5" s="26"/>
      <c r="G5" s="26"/>
      <c r="H5" s="26"/>
      <c r="I5" s="26"/>
      <c r="J5" s="26"/>
    </row>
    <row r="6" spans="1:10">
      <c r="A6" s="3" t="s">
        <v>46</v>
      </c>
      <c r="B6" s="27">
        <f>Расчет_МРП!J6</f>
        <v>350</v>
      </c>
      <c r="C6" s="28">
        <f t="shared" ref="C6:C13" si="0">B6/$B$14</f>
        <v>0.245979292760337</v>
      </c>
      <c r="D6" s="29" t="s">
        <v>154</v>
      </c>
      <c r="E6" s="26"/>
      <c r="F6" s="26"/>
      <c r="G6" s="26"/>
      <c r="H6" s="26"/>
      <c r="I6" s="26"/>
      <c r="J6" s="26"/>
    </row>
    <row r="7" spans="1:10">
      <c r="A7" s="3" t="s">
        <v>51</v>
      </c>
      <c r="B7" s="27">
        <f>Расчет_МРП!J7</f>
        <v>147.5</v>
      </c>
      <c r="C7" s="28">
        <f t="shared" si="0"/>
        <v>0.103662701948999</v>
      </c>
      <c r="D7" s="29" t="s">
        <v>154</v>
      </c>
      <c r="E7" s="26"/>
      <c r="F7" s="26"/>
      <c r="G7" s="26"/>
      <c r="H7" s="26"/>
      <c r="I7" s="26"/>
      <c r="J7" s="26"/>
    </row>
    <row r="8" spans="1:10">
      <c r="A8" s="3" t="s">
        <v>45</v>
      </c>
      <c r="B8" s="27">
        <f>Расчет_МРП!J8</f>
        <v>0</v>
      </c>
      <c r="C8" s="28">
        <f t="shared" si="0"/>
        <v>0</v>
      </c>
      <c r="D8" s="29" t="s">
        <v>154</v>
      </c>
      <c r="E8" s="26"/>
      <c r="F8" s="26"/>
      <c r="G8" s="26"/>
      <c r="H8" s="26"/>
      <c r="I8" s="26"/>
      <c r="J8" s="26"/>
    </row>
    <row r="9" spans="1:10">
      <c r="A9" s="3" t="s">
        <v>50</v>
      </c>
      <c r="B9" s="27">
        <f>Расчет_МРП!J11</f>
        <v>35.4</v>
      </c>
      <c r="C9" s="28">
        <f t="shared" si="0"/>
        <v>0.0248790484677598</v>
      </c>
      <c r="D9" s="29" t="s">
        <v>155</v>
      </c>
      <c r="E9" s="26"/>
      <c r="F9" s="26"/>
      <c r="G9" s="26"/>
      <c r="H9" s="26"/>
      <c r="I9" s="26"/>
      <c r="J9" s="26"/>
    </row>
    <row r="10" spans="1:10">
      <c r="A10" s="3" t="s">
        <v>38</v>
      </c>
      <c r="B10" s="27">
        <f>Расчет_МРП!J12</f>
        <v>626</v>
      </c>
      <c r="C10" s="28">
        <f t="shared" si="0"/>
        <v>0.439951535051346</v>
      </c>
      <c r="D10" s="29" t="s">
        <v>156</v>
      </c>
      <c r="E10" s="26"/>
      <c r="F10" s="26"/>
      <c r="G10" s="26"/>
      <c r="H10" s="26"/>
      <c r="I10" s="26"/>
      <c r="J10" s="26"/>
    </row>
    <row r="11" spans="1:10">
      <c r="A11" s="3" t="s">
        <v>36</v>
      </c>
      <c r="B11" s="27">
        <f>Расчет_МРП!J13</f>
        <v>110</v>
      </c>
      <c r="C11" s="28">
        <f t="shared" si="0"/>
        <v>0.0773077777246775</v>
      </c>
      <c r="D11" s="29" t="s">
        <v>156</v>
      </c>
      <c r="E11" s="26"/>
      <c r="F11" s="26"/>
      <c r="G11" s="26"/>
      <c r="H11" s="26"/>
      <c r="I11" s="26"/>
      <c r="J11" s="26"/>
    </row>
    <row r="12" spans="1:10">
      <c r="A12" s="3" t="s">
        <v>28</v>
      </c>
      <c r="B12" s="27">
        <f>Расчет_МРП!J14</f>
        <v>0</v>
      </c>
      <c r="C12" s="28">
        <f t="shared" si="0"/>
        <v>0</v>
      </c>
      <c r="D12" s="29" t="s">
        <v>156</v>
      </c>
      <c r="E12" s="26"/>
      <c r="F12" s="26"/>
      <c r="G12" s="26"/>
      <c r="H12" s="26"/>
      <c r="I12" s="26"/>
      <c r="J12" s="26"/>
    </row>
    <row r="13" spans="1:10">
      <c r="A13" s="3" t="s">
        <v>40</v>
      </c>
      <c r="B13" s="27">
        <f>Расчет_МРП!J15</f>
        <v>153.984</v>
      </c>
      <c r="C13" s="28">
        <f t="shared" si="0"/>
        <v>0.108219644046879</v>
      </c>
      <c r="D13" s="29" t="s">
        <v>155</v>
      </c>
      <c r="E13" s="26"/>
      <c r="F13" s="26"/>
      <c r="G13" s="26"/>
      <c r="H13" s="26"/>
      <c r="I13" s="26"/>
      <c r="J13" s="26"/>
    </row>
    <row r="14" spans="1:10">
      <c r="A14" s="25" t="s">
        <v>157</v>
      </c>
      <c r="B14" s="30">
        <f>SUM(B6:B13)</f>
        <v>1422.884</v>
      </c>
      <c r="C14" s="31">
        <f>SUM(C6:C13)</f>
        <v>1</v>
      </c>
      <c r="D14" s="29"/>
      <c r="E14" s="26"/>
      <c r="F14" s="26"/>
      <c r="G14" s="26"/>
      <c r="H14" s="26"/>
      <c r="I14" s="26"/>
      <c r="J14" s="26"/>
    </row>
    <row r="15" spans="2:10">
      <c r="B15" s="26"/>
      <c r="C15" s="26"/>
      <c r="D15" s="26"/>
      <c r="E15" s="26"/>
      <c r="F15" s="26"/>
      <c r="G15" s="26"/>
      <c r="H15" s="26"/>
      <c r="I15" s="26"/>
      <c r="J15" s="26"/>
    </row>
    <row r="16" spans="1:10">
      <c r="A16" s="2" t="s">
        <v>158</v>
      </c>
      <c r="B16" s="26"/>
      <c r="C16" s="26"/>
      <c r="D16" s="26"/>
      <c r="E16" s="26"/>
      <c r="F16" s="26"/>
      <c r="G16" s="26"/>
      <c r="H16" s="26"/>
      <c r="I16" s="26"/>
      <c r="J16" s="26"/>
    </row>
    <row r="17" ht="29.25" spans="1:10">
      <c r="A17" s="10" t="s">
        <v>56</v>
      </c>
      <c r="B17" s="10" t="s">
        <v>66</v>
      </c>
      <c r="C17" s="10" t="s">
        <v>68</v>
      </c>
      <c r="D17" s="10" t="s">
        <v>71</v>
      </c>
      <c r="E17" s="10" t="s">
        <v>74</v>
      </c>
      <c r="F17" s="10" t="s">
        <v>76</v>
      </c>
      <c r="G17" s="10" t="s">
        <v>82</v>
      </c>
      <c r="H17" s="10" t="s">
        <v>84</v>
      </c>
      <c r="I17" s="26"/>
      <c r="J17" s="26"/>
    </row>
    <row r="18" spans="1:10">
      <c r="A18" s="3" t="s">
        <v>46</v>
      </c>
      <c r="B18" s="27">
        <f>SUMIFS(Тек_карты_В3!$I$44:$I$60,Тек_карты_В3!$A$44:$A$60,$A18,Тек_карты_В3!$H$44:$H$60,B$17)</f>
        <v>0</v>
      </c>
      <c r="C18" s="27">
        <f>SUMIFS(Тек_карты_В3!$I$44:$I$60,Тек_карты_В3!$A$44:$A$60,$A18,Тек_карты_В3!$H$44:$H$60,C$17)</f>
        <v>0</v>
      </c>
      <c r="D18" s="27">
        <f>SUMIFS(Тек_карты_В3!$I$44:$I$60,Тек_карты_В3!$A$44:$A$60,$A18,Тек_карты_В3!$H$44:$H$60,D$17)</f>
        <v>0</v>
      </c>
      <c r="E18" s="32">
        <f>SUMIFS(Тек_карты_В3!$I$44:$I$60,Тек_карты_В3!$A$44:$A$60,$A18,Тек_карты_В3!$H$44:$H$60,E$17)</f>
        <v>0.1</v>
      </c>
      <c r="F18" s="32">
        <f>SUMIFS(Тек_карты_В3!$I$44:$I$60,Тек_карты_В3!$A$44:$A$60,$A18,Тек_карты_В3!$H$44:$H$60,F$17)</f>
        <v>0.3</v>
      </c>
      <c r="G18" s="27">
        <f>SUMIFS(Тек_карты_В3!$I$44:$I$60,Тек_карты_В3!$A$44:$A$60,$A18,Тек_карты_В3!$H$44:$H$60,G$17)</f>
        <v>0</v>
      </c>
      <c r="H18" s="27">
        <f>SUMIFS(Тек_карты_В3!$I$44:$I$60,Тек_карты_В3!$A$44:$A$60,$A18,Тек_карты_В3!$H$44:$H$60,H$17)</f>
        <v>0</v>
      </c>
      <c r="I18" s="26"/>
      <c r="J18" s="26"/>
    </row>
    <row r="19" spans="1:10">
      <c r="A19" s="3" t="s">
        <v>51</v>
      </c>
      <c r="B19" s="27">
        <f>SUMIFS(Тек_карты_В3!$I$44:$I$60,Тек_карты_В3!$A$44:$A$60,$A19,Тек_карты_В3!$H$44:$H$60,B$17)</f>
        <v>0</v>
      </c>
      <c r="C19" s="27">
        <f>SUMIFS(Тек_карты_В3!$I$44:$I$60,Тек_карты_В3!$A$44:$A$60,$A19,Тек_карты_В3!$H$44:$H$60,C$17)</f>
        <v>0</v>
      </c>
      <c r="D19" s="27">
        <f>SUMIFS(Тек_карты_В3!$I$44:$I$60,Тек_карты_В3!$A$44:$A$60,$A19,Тек_карты_В3!$H$44:$H$60,D$17)</f>
        <v>0</v>
      </c>
      <c r="E19" s="27">
        <f>SUMIFS(Тек_карты_В3!$I$44:$I$60,Тек_карты_В3!$A$44:$A$60,$A19,Тек_карты_В3!$H$44:$H$60,E$17)</f>
        <v>0</v>
      </c>
      <c r="F19" s="27">
        <f>SUMIFS(Тек_карты_В3!$I$44:$I$60,Тек_карты_В3!$A$44:$A$60,$A19,Тек_карты_В3!$H$44:$H$60,F$17)</f>
        <v>0</v>
      </c>
      <c r="G19" s="27">
        <f>SUMIFS(Тек_карты_В3!$I$44:$I$60,Тек_карты_В3!$A$44:$A$60,$A19,Тек_карты_В3!$H$44:$H$60,G$17)</f>
        <v>0</v>
      </c>
      <c r="H19" s="32">
        <f>SUMIFS(Тек_карты_В3!$I$44:$I$60,Тек_карты_В3!$A$44:$A$60,$A19,Тек_карты_В3!$H$44:$H$60,H$17)</f>
        <v>0.4</v>
      </c>
      <c r="I19" s="26"/>
      <c r="J19" s="26"/>
    </row>
    <row r="20" spans="1:10">
      <c r="A20" s="3" t="s">
        <v>45</v>
      </c>
      <c r="B20" s="27">
        <f>SUMIFS(Тек_карты_В3!$I$44:$I$60,Тек_карты_В3!$A$44:$A$60,$A20,Тек_карты_В3!$H$44:$H$60,B$17)</f>
        <v>0</v>
      </c>
      <c r="C20" s="27">
        <f>SUMIFS(Тек_карты_В3!$I$44:$I$60,Тек_карты_В3!$A$44:$A$60,$A20,Тек_карты_В3!$H$44:$H$60,C$17)</f>
        <v>0</v>
      </c>
      <c r="D20" s="27">
        <f>SUMIFS(Тек_карты_В3!$I$44:$I$60,Тек_карты_В3!$A$44:$A$60,$A20,Тек_карты_В3!$H$44:$H$60,D$17)</f>
        <v>0</v>
      </c>
      <c r="E20" s="32">
        <f>SUMIFS(Тек_карты_В3!$I$44:$I$60,Тек_карты_В3!$A$44:$A$60,$A20,Тек_карты_В3!$H$44:$H$60,E$17)</f>
        <v>0.05</v>
      </c>
      <c r="F20" s="32">
        <f>SUMIFS(Тек_карты_В3!$I$44:$I$60,Тек_карты_В3!$A$44:$A$60,$A20,Тек_карты_В3!$H$44:$H$60,F$17)</f>
        <v>0.3</v>
      </c>
      <c r="G20" s="27">
        <f>SUMIFS(Тек_карты_В3!$I$44:$I$60,Тек_карты_В3!$A$44:$A$60,$A20,Тек_карты_В3!$H$44:$H$60,G$17)</f>
        <v>0</v>
      </c>
      <c r="H20" s="27">
        <f>SUMIFS(Тек_карты_В3!$I$44:$I$60,Тек_карты_В3!$A$44:$A$60,$A20,Тек_карты_В3!$H$44:$H$60,H$17)</f>
        <v>0</v>
      </c>
      <c r="I20" s="26"/>
      <c r="J20" s="26"/>
    </row>
    <row r="21" spans="1:10">
      <c r="A21" s="3" t="s">
        <v>50</v>
      </c>
      <c r="B21" s="27">
        <f>SUMIFS(Тек_карты_В3!$I$44:$I$60,Тек_карты_В3!$A$44:$A$60,$A21,Тек_карты_В3!$H$44:$H$60,B$17)</f>
        <v>0</v>
      </c>
      <c r="C21" s="27">
        <f>SUMIFS(Тек_карты_В3!$I$44:$I$60,Тек_карты_В3!$A$44:$A$60,$A21,Тек_карты_В3!$H$44:$H$60,C$17)</f>
        <v>0</v>
      </c>
      <c r="D21" s="27">
        <f>SUMIFS(Тек_карты_В3!$I$44:$I$60,Тек_карты_В3!$A$44:$A$60,$A21,Тек_карты_В3!$H$44:$H$60,D$17)</f>
        <v>0</v>
      </c>
      <c r="E21" s="27">
        <f>SUMIFS(Тек_карты_В3!$I$44:$I$60,Тек_карты_В3!$A$44:$A$60,$A21,Тек_карты_В3!$H$44:$H$60,E$17)</f>
        <v>0</v>
      </c>
      <c r="F21" s="27">
        <f>SUMIFS(Тек_карты_В3!$I$44:$I$60,Тек_карты_В3!$A$44:$A$60,$A21,Тек_карты_В3!$H$44:$H$60,F$17)</f>
        <v>0</v>
      </c>
      <c r="G21" s="32">
        <f>SUMIFS(Тек_карты_В3!$I$44:$I$60,Тек_карты_В3!$A$44:$A$60,$A21,Тек_карты_В3!$H$44:$H$60,G$17)</f>
        <v>0.1</v>
      </c>
      <c r="H21" s="27">
        <f>SUMIFS(Тек_карты_В3!$I$44:$I$60,Тек_карты_В3!$A$44:$A$60,$A21,Тек_карты_В3!$H$44:$H$60,H$17)</f>
        <v>0</v>
      </c>
      <c r="I21" s="26"/>
      <c r="J21" s="26"/>
    </row>
    <row r="22" spans="1:10">
      <c r="A22" s="3" t="s">
        <v>38</v>
      </c>
      <c r="B22" s="32">
        <f>SUMIFS(Тек_карты_В3!$I$44:$I$60,Тек_карты_В3!$A$44:$A$60,$A22,Тек_карты_В3!$H$44:$H$60,B$17)</f>
        <v>0.04</v>
      </c>
      <c r="C22" s="32">
        <f>SUMIFS(Тек_карты_В3!$I$44:$I$60,Тек_карты_В3!$A$44:$A$60,$A22,Тек_карты_В3!$H$44:$H$60,C$17)</f>
        <v>0.015</v>
      </c>
      <c r="D22" s="27">
        <f>SUMIFS(Тек_карты_В3!$I$44:$I$60,Тек_карты_В3!$A$44:$A$60,$A22,Тек_карты_В3!$H$44:$H$60,D$17)</f>
        <v>0</v>
      </c>
      <c r="E22" s="27">
        <f>SUMIFS(Тек_карты_В3!$I$44:$I$60,Тек_карты_В3!$A$44:$A$60,$A22,Тек_карты_В3!$H$44:$H$60,E$17)</f>
        <v>0</v>
      </c>
      <c r="F22" s="27">
        <f>SUMIFS(Тек_карты_В3!$I$44:$I$60,Тек_карты_В3!$A$44:$A$60,$A22,Тек_карты_В3!$H$44:$H$60,F$17)</f>
        <v>0</v>
      </c>
      <c r="G22" s="27">
        <f>SUMIFS(Тек_карты_В3!$I$44:$I$60,Тек_карты_В3!$A$44:$A$60,$A22,Тек_карты_В3!$H$44:$H$60,G$17)</f>
        <v>0</v>
      </c>
      <c r="H22" s="27">
        <f>SUMIFS(Тек_карты_В3!$I$44:$I$60,Тек_карты_В3!$A$44:$A$60,$A22,Тек_карты_В3!$H$44:$H$60,H$17)</f>
        <v>0</v>
      </c>
      <c r="I22" s="26"/>
      <c r="J22" s="26"/>
    </row>
    <row r="23" spans="1:10">
      <c r="A23" s="3" t="s">
        <v>36</v>
      </c>
      <c r="B23" s="32">
        <f>SUMIFS(Тек_карты_В3!$I$44:$I$60,Тек_карты_В3!$A$44:$A$60,$A23,Тек_карты_В3!$H$44:$H$60,B$17)</f>
        <v>0.05</v>
      </c>
      <c r="C23" s="32">
        <f>SUMIFS(Тек_карты_В3!$I$44:$I$60,Тек_карты_В3!$A$44:$A$60,$A23,Тек_карты_В3!$H$44:$H$60,C$17)</f>
        <v>0.02</v>
      </c>
      <c r="D23" s="27">
        <f>SUMIFS(Тек_карты_В3!$I$44:$I$60,Тек_карты_В3!$A$44:$A$60,$A23,Тек_карты_В3!$H$44:$H$60,D$17)</f>
        <v>0</v>
      </c>
      <c r="E23" s="27">
        <f>SUMIFS(Тек_карты_В3!$I$44:$I$60,Тек_карты_В3!$A$44:$A$60,$A23,Тек_карты_В3!$H$44:$H$60,E$17)</f>
        <v>0</v>
      </c>
      <c r="F23" s="27">
        <f>SUMIFS(Тек_карты_В3!$I$44:$I$60,Тек_карты_В3!$A$44:$A$60,$A23,Тек_карты_В3!$H$44:$H$60,F$17)</f>
        <v>0</v>
      </c>
      <c r="G23" s="27">
        <f>SUMIFS(Тек_карты_В3!$I$44:$I$60,Тек_карты_В3!$A$44:$A$60,$A23,Тек_карты_В3!$H$44:$H$60,G$17)</f>
        <v>0</v>
      </c>
      <c r="H23" s="27">
        <f>SUMIFS(Тек_карты_В3!$I$44:$I$60,Тек_карты_В3!$A$44:$A$60,$A23,Тек_карты_В3!$H$44:$H$60,H$17)</f>
        <v>0</v>
      </c>
      <c r="I23" s="26"/>
      <c r="J23" s="26"/>
    </row>
    <row r="24" spans="1:10">
      <c r="A24" s="3" t="s">
        <v>28</v>
      </c>
      <c r="B24" s="32">
        <f>SUMIFS(Тек_карты_В3!$I$44:$I$60,Тек_карты_В3!$A$44:$A$60,$A24,Тек_карты_В3!$H$44:$H$60,B$17)</f>
        <v>0.05</v>
      </c>
      <c r="C24" s="32">
        <f>SUMIFS(Тек_карты_В3!$I$44:$I$60,Тек_карты_В3!$A$44:$A$60,$A24,Тек_карты_В3!$H$44:$H$60,C$17)</f>
        <v>0.02</v>
      </c>
      <c r="D24" s="27">
        <f>SUMIFS(Тек_карты_В3!$I$44:$I$60,Тек_карты_В3!$A$44:$A$60,$A24,Тек_карты_В3!$H$44:$H$60,D$17)</f>
        <v>0</v>
      </c>
      <c r="E24" s="27">
        <f>SUMIFS(Тек_карты_В3!$I$44:$I$60,Тек_карты_В3!$A$44:$A$60,$A24,Тек_карты_В3!$H$44:$H$60,E$17)</f>
        <v>0</v>
      </c>
      <c r="F24" s="27">
        <f>SUMIFS(Тек_карты_В3!$I$44:$I$60,Тек_карты_В3!$A$44:$A$60,$A24,Тек_карты_В3!$H$44:$H$60,F$17)</f>
        <v>0</v>
      </c>
      <c r="G24" s="27">
        <f>SUMIFS(Тек_карты_В3!$I$44:$I$60,Тек_карты_В3!$A$44:$A$60,$A24,Тек_карты_В3!$H$44:$H$60,G$17)</f>
        <v>0</v>
      </c>
      <c r="H24" s="27">
        <f>SUMIFS(Тек_карты_В3!$I$44:$I$60,Тек_карты_В3!$A$44:$A$60,$A24,Тек_карты_В3!$H$44:$H$60,H$17)</f>
        <v>0</v>
      </c>
      <c r="I24" s="26"/>
      <c r="J24" s="26"/>
    </row>
    <row r="25" spans="1:10">
      <c r="A25" s="3" t="s">
        <v>40</v>
      </c>
      <c r="B25" s="27">
        <f>SUMIFS(Тек_карты_В3!$I$44:$I$60,Тек_карты_В3!$A$44:$A$60,$A25,Тек_карты_В3!$H$44:$H$60,B$17)</f>
        <v>0</v>
      </c>
      <c r="C25" s="27">
        <f>SUMIFS(Тек_карты_В3!$I$44:$I$60,Тек_карты_В3!$A$44:$A$60,$A25,Тек_карты_В3!$H$44:$H$60,C$17)</f>
        <v>0</v>
      </c>
      <c r="D25" s="32">
        <f>SUMIFS(Тек_карты_В3!$I$44:$I$60,Тек_карты_В3!$A$44:$A$60,$A25,Тек_карты_В3!$H$44:$H$60,D$17)</f>
        <v>0.2</v>
      </c>
      <c r="E25" s="27">
        <f>SUMIFS(Тек_карты_В3!$I$44:$I$60,Тек_карты_В3!$A$44:$A$60,$A25,Тек_карты_В3!$H$44:$H$60,E$17)</f>
        <v>0</v>
      </c>
      <c r="F25" s="27">
        <f>SUMIFS(Тек_карты_В3!$I$44:$I$60,Тек_карты_В3!$A$44:$A$60,$A25,Тек_карты_В3!$H$44:$H$60,F$17)</f>
        <v>0</v>
      </c>
      <c r="G25" s="27">
        <f>SUMIFS(Тек_карты_В3!$I$44:$I$60,Тек_карты_В3!$A$44:$A$60,$A25,Тек_карты_В3!$H$44:$H$60,G$17)</f>
        <v>0</v>
      </c>
      <c r="H25" s="27">
        <f>SUMIFS(Тек_карты_В3!$I$44:$I$60,Тек_карты_В3!$A$44:$A$60,$A25,Тек_карты_В3!$H$44:$H$60,H$17)</f>
        <v>0</v>
      </c>
      <c r="I25" s="26"/>
      <c r="J25" s="26"/>
    </row>
    <row r="26" spans="2:10">
      <c r="B26" s="26"/>
      <c r="C26" s="26"/>
      <c r="D26" s="26"/>
      <c r="E26" s="26"/>
      <c r="F26" s="26"/>
      <c r="G26" s="26"/>
      <c r="H26" s="26"/>
      <c r="I26" s="26"/>
      <c r="J26" s="26"/>
    </row>
    <row r="27" spans="1:10">
      <c r="A27" s="2" t="s">
        <v>159</v>
      </c>
      <c r="B27" s="26"/>
      <c r="C27" s="26"/>
      <c r="D27" s="26"/>
      <c r="E27" s="26"/>
      <c r="F27" s="26"/>
      <c r="G27" s="26"/>
      <c r="H27" s="26"/>
      <c r="I27" s="26"/>
      <c r="J27" s="26"/>
    </row>
    <row r="28" ht="58.5" spans="1:10">
      <c r="A28" s="10" t="s">
        <v>160</v>
      </c>
      <c r="B28" s="10" t="s">
        <v>161</v>
      </c>
      <c r="C28" s="26"/>
      <c r="D28" s="26"/>
      <c r="E28" s="26"/>
      <c r="F28" s="26"/>
      <c r="G28" s="26"/>
      <c r="H28" s="26"/>
      <c r="I28" s="26"/>
      <c r="J28" s="26"/>
    </row>
    <row r="29" spans="1:10">
      <c r="A29" s="3" t="s">
        <v>14</v>
      </c>
      <c r="B29" s="31">
        <f>SUMPRODUCT(B$18:B$25,$C$6:$C$13)</f>
        <v>0.0214634502882877</v>
      </c>
      <c r="D29" s="26"/>
      <c r="E29" s="26"/>
      <c r="F29" s="26"/>
      <c r="G29" s="26"/>
      <c r="H29" s="26"/>
      <c r="I29" s="26"/>
      <c r="J29" s="26"/>
    </row>
    <row r="30" spans="1:10">
      <c r="A30" s="3" t="s">
        <v>15</v>
      </c>
      <c r="B30" s="31">
        <f>SUMPRODUCT(C$18:C$25,$C$6:$C$13)</f>
        <v>0.00814542858026375</v>
      </c>
      <c r="D30" s="26"/>
      <c r="E30" s="26"/>
      <c r="F30" s="26"/>
      <c r="G30" s="26"/>
      <c r="H30" s="26"/>
      <c r="I30" s="26"/>
      <c r="J30" s="26"/>
    </row>
    <row r="31" spans="1:10">
      <c r="A31" s="3" t="s">
        <v>16</v>
      </c>
      <c r="B31" s="31">
        <f>SUMPRODUCT(D$18:D$25,$C$6:$C$13)</f>
        <v>0.0216439288093759</v>
      </c>
      <c r="D31" s="26"/>
      <c r="E31" s="26"/>
      <c r="F31" s="26"/>
      <c r="G31" s="26"/>
      <c r="H31" s="26"/>
      <c r="I31" s="26"/>
      <c r="J31" s="26"/>
    </row>
    <row r="32" spans="1:10">
      <c r="A32" s="3" t="s">
        <v>17</v>
      </c>
      <c r="B32" s="31">
        <f>SUMPRODUCT(E$18:E$25,$C$6:$C$13)</f>
        <v>0.0245979292760337</v>
      </c>
      <c r="D32" s="26"/>
      <c r="E32" s="26"/>
      <c r="F32" s="26"/>
      <c r="G32" s="26"/>
      <c r="H32" s="26"/>
      <c r="I32" s="26"/>
      <c r="J32" s="26"/>
    </row>
    <row r="33" spans="1:10">
      <c r="A33" s="3" t="s">
        <v>18</v>
      </c>
      <c r="B33" s="31">
        <f>SUMPRODUCT(F$18:F$25,$C$6:$C$13)</f>
        <v>0.0737937878281012</v>
      </c>
      <c r="D33" s="26"/>
      <c r="E33" s="26"/>
      <c r="F33" s="26"/>
      <c r="G33" s="26"/>
      <c r="H33" s="26"/>
      <c r="I33" s="26"/>
      <c r="J33" s="26"/>
    </row>
    <row r="34" spans="1:10">
      <c r="A34" s="3" t="s">
        <v>19</v>
      </c>
      <c r="B34" s="31">
        <f>SUMPRODUCT(G$18:G$25,$C$6:$C$13)</f>
        <v>0.00248790484677598</v>
      </c>
      <c r="D34" s="26"/>
      <c r="E34" s="26"/>
      <c r="F34" s="26"/>
      <c r="G34" s="26"/>
      <c r="H34" s="26"/>
      <c r="I34" s="26"/>
      <c r="J34" s="26"/>
    </row>
    <row r="35" spans="1:10">
      <c r="A35" s="3" t="s">
        <v>20</v>
      </c>
      <c r="B35" s="31">
        <f>SUMPRODUCT(H$18:H$25,$C$6:$C$13)</f>
        <v>0.0414650807795997</v>
      </c>
      <c r="D35" s="26"/>
      <c r="E35" s="26"/>
      <c r="F35" s="26"/>
      <c r="G35" s="26"/>
      <c r="H35" s="26"/>
      <c r="I35" s="26"/>
      <c r="J35" s="26"/>
    </row>
    <row r="36" spans="2:10">
      <c r="B36" s="26"/>
      <c r="C36" s="26"/>
      <c r="D36" s="26"/>
      <c r="E36" s="26"/>
      <c r="F36" s="26"/>
      <c r="G36" s="26"/>
      <c r="H36" s="26"/>
      <c r="I36" s="26"/>
      <c r="J36" s="26"/>
    </row>
    <row r="37" spans="2:10">
      <c r="B37" s="26"/>
      <c r="C37" s="26"/>
      <c r="D37" s="26"/>
      <c r="E37" s="26"/>
      <c r="F37" s="26"/>
      <c r="G37" s="26"/>
      <c r="H37" s="26"/>
      <c r="I37" s="26"/>
      <c r="J37" s="26"/>
    </row>
    <row r="38" spans="1:10">
      <c r="A38" s="2"/>
      <c r="B38" s="26"/>
      <c r="C38" s="26"/>
      <c r="D38" s="26"/>
      <c r="E38" s="26"/>
      <c r="F38" s="26"/>
      <c r="G38" s="26"/>
      <c r="H38" s="26"/>
      <c r="I38" s="26"/>
      <c r="J38" s="26"/>
    </row>
    <row r="39" spans="1:10">
      <c r="A39" s="9"/>
      <c r="B39" s="26"/>
      <c r="C39" s="26"/>
      <c r="D39" s="26"/>
      <c r="E39" s="26"/>
      <c r="F39" s="26"/>
      <c r="G39" s="26"/>
      <c r="H39" s="26"/>
      <c r="I39" s="26"/>
      <c r="J39" s="26"/>
    </row>
    <row r="40" spans="1:10">
      <c r="A40" s="33"/>
      <c r="B40" s="33"/>
      <c r="C40" s="33"/>
      <c r="D40" s="26"/>
      <c r="E40" s="26"/>
      <c r="F40" s="26"/>
      <c r="G40" s="26"/>
      <c r="H40" s="26"/>
      <c r="I40" s="26"/>
      <c r="J40" s="26"/>
    </row>
    <row r="41" spans="1:10">
      <c r="A41" s="34"/>
      <c r="B41" s="35"/>
      <c r="C41" s="36"/>
      <c r="D41" s="26"/>
      <c r="E41" s="26"/>
      <c r="F41" s="26"/>
      <c r="G41" s="26"/>
      <c r="H41" s="26"/>
      <c r="I41" s="26"/>
      <c r="J41" s="26"/>
    </row>
    <row r="42" spans="1:10">
      <c r="A42" s="3"/>
      <c r="B42" s="37"/>
      <c r="C42" s="38"/>
      <c r="D42" s="26"/>
      <c r="E42" s="26"/>
      <c r="F42" s="26"/>
      <c r="G42" s="26"/>
      <c r="H42" s="26"/>
      <c r="I42" s="26"/>
      <c r="J42" s="26"/>
    </row>
    <row r="43" spans="1:10">
      <c r="A43" s="3"/>
      <c r="B43" s="37"/>
      <c r="C43" s="38"/>
      <c r="D43" s="26"/>
      <c r="E43" s="26"/>
      <c r="F43" s="26"/>
      <c r="G43" s="26"/>
      <c r="H43" s="26"/>
      <c r="I43" s="26"/>
      <c r="J43" s="26"/>
    </row>
    <row r="44" spans="1:10">
      <c r="A44" s="3"/>
      <c r="B44" s="37"/>
      <c r="C44" s="38"/>
      <c r="D44" s="26"/>
      <c r="E44" s="26"/>
      <c r="F44" s="26"/>
      <c r="G44" s="26"/>
      <c r="H44" s="26"/>
      <c r="I44" s="26"/>
      <c r="J44" s="26"/>
    </row>
    <row r="45" spans="1:10">
      <c r="A45" s="3"/>
      <c r="B45" s="37"/>
      <c r="C45" s="38"/>
      <c r="D45" s="26"/>
      <c r="E45" s="26"/>
      <c r="F45" s="26"/>
      <c r="G45" s="26"/>
      <c r="H45" s="26"/>
      <c r="I45" s="26"/>
      <c r="J45" s="26"/>
    </row>
    <row r="46" spans="1:10">
      <c r="A46" s="3"/>
      <c r="B46" s="37"/>
      <c r="C46" s="38"/>
      <c r="D46" s="26"/>
      <c r="E46" s="26"/>
      <c r="F46" s="26"/>
      <c r="G46" s="26"/>
      <c r="H46" s="26"/>
      <c r="I46" s="26"/>
      <c r="J46" s="26"/>
    </row>
    <row r="47" spans="1:10">
      <c r="A47" s="3"/>
      <c r="B47" s="37"/>
      <c r="C47" s="38"/>
      <c r="D47" s="26"/>
      <c r="E47" s="26"/>
      <c r="F47" s="26"/>
      <c r="G47" s="26"/>
      <c r="H47" s="26"/>
      <c r="I47" s="26"/>
      <c r="J47" s="26"/>
    </row>
    <row r="48" spans="1:10">
      <c r="A48" s="9"/>
      <c r="B48" s="26"/>
      <c r="C48" s="26"/>
      <c r="D48" s="26"/>
      <c r="E48" s="26"/>
      <c r="F48" s="26"/>
      <c r="G48" s="26"/>
      <c r="H48" s="26"/>
      <c r="I48" s="26"/>
      <c r="J48" s="26"/>
    </row>
    <row r="49" spans="1:10">
      <c r="A49" s="9"/>
      <c r="B49" s="26"/>
      <c r="C49" s="26"/>
      <c r="D49" s="26"/>
      <c r="E49" s="26"/>
      <c r="F49" s="26"/>
      <c r="G49" s="26"/>
      <c r="H49" s="26"/>
      <c r="I49" s="26"/>
      <c r="J49" s="2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opLeftCell="A13" workbookViewId="0">
      <selection activeCell="D45" sqref="D45"/>
    </sheetView>
  </sheetViews>
  <sheetFormatPr defaultColWidth="9" defaultRowHeight="14.6" outlineLevelCol="3"/>
  <cols>
    <col min="1" max="1" width="80.7787610619469" customWidth="1"/>
    <col min="2" max="2" width="26" customWidth="1"/>
    <col min="3" max="4" width="30" customWidth="1"/>
  </cols>
  <sheetData>
    <row r="1" ht="17.25" spans="1:1">
      <c r="A1" s="1" t="s">
        <v>162</v>
      </c>
    </row>
    <row r="2" spans="1:1">
      <c r="A2" s="9" t="s">
        <v>163</v>
      </c>
    </row>
    <row r="4" spans="1:1">
      <c r="A4" s="2" t="s">
        <v>164</v>
      </c>
    </row>
    <row r="5" spans="1:2">
      <c r="A5" s="3" t="s">
        <v>4</v>
      </c>
      <c r="B5" s="3" t="s">
        <v>5</v>
      </c>
    </row>
    <row r="6" spans="1:2">
      <c r="A6" s="3" t="s">
        <v>165</v>
      </c>
      <c r="B6" s="14">
        <v>31</v>
      </c>
    </row>
    <row r="7" spans="1:2">
      <c r="A7" s="3" t="s">
        <v>166</v>
      </c>
      <c r="B7" s="14">
        <v>8</v>
      </c>
    </row>
    <row r="8" spans="1:2">
      <c r="A8" s="3" t="s">
        <v>167</v>
      </c>
      <c r="B8" s="14">
        <v>2</v>
      </c>
    </row>
    <row r="9" spans="1:2">
      <c r="A9" s="3" t="s">
        <v>168</v>
      </c>
      <c r="B9" s="14">
        <f>$B$6-$B$7-$B$8</f>
        <v>21</v>
      </c>
    </row>
    <row r="10" spans="1:2">
      <c r="A10" s="3" t="s">
        <v>169</v>
      </c>
      <c r="B10" s="14">
        <v>8</v>
      </c>
    </row>
    <row r="11" spans="1:2">
      <c r="A11" s="3" t="s">
        <v>170</v>
      </c>
      <c r="B11" s="14">
        <v>1</v>
      </c>
    </row>
    <row r="12" spans="1:2">
      <c r="A12" s="3" t="s">
        <v>171</v>
      </c>
      <c r="B12" s="14">
        <v>0</v>
      </c>
    </row>
    <row r="13" spans="1:2">
      <c r="A13" s="3" t="s">
        <v>172</v>
      </c>
      <c r="B13" s="14">
        <v>0</v>
      </c>
    </row>
    <row r="14" spans="1:2">
      <c r="A14" s="3" t="s">
        <v>173</v>
      </c>
      <c r="B14" s="17">
        <f>Задание!$B$9</f>
        <v>0.3</v>
      </c>
    </row>
    <row r="16" spans="1:1">
      <c r="A16" s="2" t="s">
        <v>174</v>
      </c>
    </row>
    <row r="17" spans="1:2">
      <c r="A17" s="3" t="s">
        <v>175</v>
      </c>
      <c r="B17" s="19">
        <f>$B$6*24</f>
        <v>744</v>
      </c>
    </row>
    <row r="18" spans="1:2">
      <c r="A18" s="3" t="s">
        <v>176</v>
      </c>
      <c r="B18" s="19">
        <f>($B$10*($B$6-$B$7-$B$8)-$B$13*$B$12)*$B$11</f>
        <v>168</v>
      </c>
    </row>
    <row r="19" spans="1:2">
      <c r="A19" s="3" t="s">
        <v>177</v>
      </c>
      <c r="B19" s="19">
        <f>$B$14*$B$17</f>
        <v>223.2</v>
      </c>
    </row>
    <row r="20" spans="1:2">
      <c r="A20" s="3" t="s">
        <v>178</v>
      </c>
      <c r="B20" s="19">
        <f>$B$14*$B$18</f>
        <v>50.4</v>
      </c>
    </row>
    <row r="22" spans="1:1">
      <c r="A22" s="2" t="s">
        <v>179</v>
      </c>
    </row>
    <row r="23" spans="1:1">
      <c r="A23" s="9" t="s">
        <v>180</v>
      </c>
    </row>
    <row r="24" ht="29.25" spans="1:4">
      <c r="A24" s="10" t="s">
        <v>181</v>
      </c>
      <c r="B24" s="10" t="s">
        <v>182</v>
      </c>
      <c r="C24" s="10" t="s">
        <v>183</v>
      </c>
      <c r="D24" s="10" t="s">
        <v>184</v>
      </c>
    </row>
    <row r="25" spans="1:4">
      <c r="A25" s="3" t="s">
        <v>185</v>
      </c>
      <c r="B25" s="11">
        <f>$B$18</f>
        <v>168</v>
      </c>
      <c r="C25" s="11">
        <f>$B$17</f>
        <v>744</v>
      </c>
      <c r="D25" s="11">
        <f>$B$17</f>
        <v>744</v>
      </c>
    </row>
    <row r="26" spans="1:4">
      <c r="A26" s="3" t="s">
        <v>186</v>
      </c>
      <c r="B26" s="11">
        <f>$B$14*B25</f>
        <v>50.4</v>
      </c>
      <c r="C26" s="11">
        <f>$B$14*C25</f>
        <v>223.2</v>
      </c>
      <c r="D26" s="11">
        <f>MIN($B$14*D25,$B$18)</f>
        <v>168</v>
      </c>
    </row>
    <row r="27" spans="1:4">
      <c r="A27" s="3" t="s">
        <v>187</v>
      </c>
      <c r="B27" s="11">
        <f>$B$18-B26</f>
        <v>117.6</v>
      </c>
      <c r="C27" s="11">
        <f>$B$18-C26</f>
        <v>-55.2</v>
      </c>
      <c r="D27" s="11">
        <f>MAX(0,$B$18-D26)</f>
        <v>0</v>
      </c>
    </row>
    <row r="28" spans="1:4">
      <c r="A28" s="3" t="s">
        <v>188</v>
      </c>
      <c r="B28" s="12" t="str">
        <f>IF(B27&gt;=0,"допустим","НЕДОПУСТИМ: Фд &lt; 0")</f>
        <v>допустим</v>
      </c>
      <c r="C28" s="12" t="str">
        <f>IF(C27&gt;=0,"допустим","НЕДОПУСТИМ: Фд &lt; 0")</f>
        <v>НЕДОПУСТИМ: Фд &lt; 0</v>
      </c>
      <c r="D28" s="12" t="str">
        <f>IF(D27&gt;=0,"допустим","НЕДОПУСТИМ: Фд &lt; 0")</f>
        <v>допустим</v>
      </c>
    </row>
    <row r="30" spans="1:1">
      <c r="A30" s="2" t="s">
        <v>189</v>
      </c>
    </row>
    <row r="31" spans="1:2">
      <c r="A31" s="3" t="s">
        <v>190</v>
      </c>
      <c r="B31" s="7">
        <v>1</v>
      </c>
    </row>
    <row r="32" spans="1:2">
      <c r="A32" s="3" t="s">
        <v>191</v>
      </c>
      <c r="B32" s="5" t="str">
        <f>CHOOSE(B31,"А: ремонт 30 % от режимного фонда","Б: ремонт 30 % от календарного фонда","В: ремонт 30 % от календарного фонда, но не более Фр")</f>
        <v>А: ремонт 30 % от режимного фонда</v>
      </c>
    </row>
    <row r="33" spans="1:2">
      <c r="A33" s="3" t="s">
        <v>192</v>
      </c>
      <c r="B33" s="6">
        <f>CHOOSE(B31,B26,C26,D26)</f>
        <v>50.4</v>
      </c>
    </row>
    <row r="34" spans="1:2">
      <c r="A34" s="3" t="s">
        <v>193</v>
      </c>
      <c r="B34" s="6">
        <f>CHOOSE(B31,B27,C27,D27)</f>
        <v>117.6</v>
      </c>
    </row>
    <row r="36" spans="1:1">
      <c r="A36" s="2" t="s">
        <v>194</v>
      </c>
    </row>
    <row r="37" ht="29.25" spans="1:4">
      <c r="A37" s="10" t="s">
        <v>195</v>
      </c>
      <c r="B37" s="10" t="s">
        <v>196</v>
      </c>
      <c r="C37" s="10" t="s">
        <v>197</v>
      </c>
      <c r="D37" s="10" t="s">
        <v>198</v>
      </c>
    </row>
    <row r="38" spans="1:4">
      <c r="A38" s="3" t="s">
        <v>14</v>
      </c>
      <c r="B38" s="14">
        <f>Задание!$B$13</f>
        <v>2</v>
      </c>
      <c r="C38" s="19">
        <f t="shared" ref="C38:C44" si="0">$B$34</f>
        <v>117.6</v>
      </c>
      <c r="D38" s="19">
        <f t="shared" ref="D38:D44" si="1">B38*C38</f>
        <v>235.2</v>
      </c>
    </row>
    <row r="39" spans="1:4">
      <c r="A39" s="3" t="s">
        <v>15</v>
      </c>
      <c r="B39" s="14">
        <f>Задание!$B$14</f>
        <v>2</v>
      </c>
      <c r="C39" s="19">
        <f t="shared" si="0"/>
        <v>117.6</v>
      </c>
      <c r="D39" s="19">
        <f t="shared" si="1"/>
        <v>235.2</v>
      </c>
    </row>
    <row r="40" spans="1:4">
      <c r="A40" s="3" t="s">
        <v>16</v>
      </c>
      <c r="B40" s="14">
        <f>Задание!$B$15</f>
        <v>1</v>
      </c>
      <c r="C40" s="19">
        <f t="shared" si="0"/>
        <v>117.6</v>
      </c>
      <c r="D40" s="19">
        <f t="shared" si="1"/>
        <v>117.6</v>
      </c>
    </row>
    <row r="41" spans="1:4">
      <c r="A41" s="3" t="s">
        <v>17</v>
      </c>
      <c r="B41" s="14">
        <f>Задание!$B$16</f>
        <v>3</v>
      </c>
      <c r="C41" s="19">
        <f t="shared" si="0"/>
        <v>117.6</v>
      </c>
      <c r="D41" s="19">
        <f t="shared" si="1"/>
        <v>352.8</v>
      </c>
    </row>
    <row r="42" spans="1:4">
      <c r="A42" s="3" t="s">
        <v>18</v>
      </c>
      <c r="B42" s="14">
        <f>Задание!$B$17</f>
        <v>4</v>
      </c>
      <c r="C42" s="19">
        <f t="shared" si="0"/>
        <v>117.6</v>
      </c>
      <c r="D42" s="19">
        <f t="shared" si="1"/>
        <v>470.4</v>
      </c>
    </row>
    <row r="43" spans="1:4">
      <c r="A43" s="3" t="s">
        <v>19</v>
      </c>
      <c r="B43" s="14">
        <f>Задание!$B$18</f>
        <v>4</v>
      </c>
      <c r="C43" s="19">
        <f t="shared" si="0"/>
        <v>117.6</v>
      </c>
      <c r="D43" s="19">
        <f t="shared" si="1"/>
        <v>470.4</v>
      </c>
    </row>
    <row r="44" spans="1:4">
      <c r="A44" s="3" t="s">
        <v>20</v>
      </c>
      <c r="B44" s="14">
        <f>Задание!$B$19</f>
        <v>1</v>
      </c>
      <c r="C44" s="19">
        <f t="shared" si="0"/>
        <v>117.6</v>
      </c>
      <c r="D44" s="19">
        <f t="shared" si="1"/>
        <v>117.6</v>
      </c>
    </row>
    <row r="45" spans="1:4">
      <c r="A45" s="25" t="s">
        <v>144</v>
      </c>
      <c r="B45" s="14">
        <f>SUM(B38:B44)</f>
        <v>17</v>
      </c>
      <c r="C45" s="3"/>
      <c r="D45" s="19">
        <f>SUM(D38:D44)</f>
        <v>1999.2</v>
      </c>
    </row>
    <row r="47" spans="1:1">
      <c r="A47" s="9" t="s">
        <v>199</v>
      </c>
    </row>
    <row r="48" spans="1:1">
      <c r="A48" s="9" t="s">
        <v>200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B5" sqref="B5"/>
    </sheetView>
  </sheetViews>
  <sheetFormatPr defaultColWidth="9" defaultRowHeight="14.6" outlineLevelCol="7"/>
  <cols>
    <col min="1" max="1" width="68" customWidth="1"/>
    <col min="2" max="2" width="16" customWidth="1"/>
    <col min="3" max="4" width="14" customWidth="1"/>
    <col min="5" max="5" width="20" customWidth="1"/>
    <col min="6" max="6" width="22" customWidth="1"/>
    <col min="7" max="7" width="18" customWidth="1"/>
    <col min="8" max="8" width="16" customWidth="1"/>
  </cols>
  <sheetData>
    <row r="1" ht="17.25" spans="1:1">
      <c r="A1" s="1" t="s">
        <v>201</v>
      </c>
    </row>
    <row r="2" spans="1:1">
      <c r="A2" s="9" t="s">
        <v>202</v>
      </c>
    </row>
    <row r="3" ht="58.5" spans="1:8">
      <c r="A3" s="10" t="s">
        <v>160</v>
      </c>
      <c r="B3" s="10" t="s">
        <v>203</v>
      </c>
      <c r="C3" s="10" t="s">
        <v>204</v>
      </c>
      <c r="D3" s="10" t="s">
        <v>205</v>
      </c>
      <c r="E3" s="10" t="s">
        <v>206</v>
      </c>
      <c r="F3" s="10" t="s">
        <v>207</v>
      </c>
      <c r="G3" s="10" t="s">
        <v>208</v>
      </c>
      <c r="H3" s="10" t="s">
        <v>209</v>
      </c>
    </row>
    <row r="4" spans="1:1">
      <c r="A4" s="18" t="s">
        <v>210</v>
      </c>
    </row>
    <row r="5" spans="1:8">
      <c r="A5" s="3" t="s">
        <v>14</v>
      </c>
      <c r="B5" s="19">
        <f>Этап2_ФондВремени!$C$38</f>
        <v>117.6</v>
      </c>
      <c r="C5" s="14">
        <f>Этап2_ФондВремени!$B$38</f>
        <v>2</v>
      </c>
      <c r="D5" s="19">
        <f>Этап2_ФондВремени!$D$38</f>
        <v>235.2</v>
      </c>
      <c r="E5" s="13">
        <f>Этап1_УсловнаяЕдиница!$B$29</f>
        <v>0.0214634502882877</v>
      </c>
      <c r="F5" s="15">
        <f>D5/E5</f>
        <v>10958.1636149312</v>
      </c>
      <c r="G5" s="16">
        <f>Расчет_МРП!$J$12+Расчет_МРП!$J$13+Расчет_МРП!$J$14</f>
        <v>736</v>
      </c>
      <c r="H5" s="14">
        <f>F5-G5</f>
        <v>10222.1636149312</v>
      </c>
    </row>
    <row r="6" spans="1:8">
      <c r="A6" s="3" t="s">
        <v>15</v>
      </c>
      <c r="B6" s="19">
        <f>Этап2_ФондВремени!$C$39</f>
        <v>117.6</v>
      </c>
      <c r="C6" s="14">
        <f>Этап2_ФондВремени!$B$39</f>
        <v>2</v>
      </c>
      <c r="D6" s="19">
        <f>Этап2_ФондВремени!$D$39</f>
        <v>235.2</v>
      </c>
      <c r="E6" s="13">
        <f>Этап1_УсловнаяЕдиница!$B$30</f>
        <v>0.00814542858026375</v>
      </c>
      <c r="F6" s="15">
        <f>D6/E6</f>
        <v>28875.0920448663</v>
      </c>
      <c r="G6" s="16">
        <f>Расчет_МРП!$J$12+Расчет_МРП!$J$13+Расчет_МРП!$J$14</f>
        <v>736</v>
      </c>
      <c r="H6" s="14">
        <f>F6-G6</f>
        <v>28139.0920448663</v>
      </c>
    </row>
    <row r="7" ht="14.65" spans="1:8">
      <c r="A7" s="20" t="s">
        <v>211</v>
      </c>
      <c r="B7" s="12" t="s">
        <v>212</v>
      </c>
      <c r="C7" s="12" t="s">
        <v>212</v>
      </c>
      <c r="D7" s="12" t="s">
        <v>212</v>
      </c>
      <c r="E7" s="12" t="s">
        <v>212</v>
      </c>
      <c r="F7" s="21">
        <f>MIN(F5,F6)</f>
        <v>10958.1636149312</v>
      </c>
      <c r="G7" s="22">
        <f>Расчет_МРП!$J$12+Расчет_МРП!$J$13+Расчет_МРП!$J$14</f>
        <v>736</v>
      </c>
      <c r="H7" s="23">
        <f>F7-G7</f>
        <v>10222.1636149312</v>
      </c>
    </row>
    <row r="8" spans="1:1">
      <c r="A8" s="18" t="s">
        <v>213</v>
      </c>
    </row>
    <row r="9" spans="1:8">
      <c r="A9" s="3" t="s">
        <v>16</v>
      </c>
      <c r="B9" s="19">
        <f>Этап2_ФондВремени!$C$40</f>
        <v>117.6</v>
      </c>
      <c r="C9" s="14">
        <f>Этап2_ФондВремени!$B$40</f>
        <v>1</v>
      </c>
      <c r="D9" s="19">
        <f>Этап2_ФондВремени!$D$40</f>
        <v>117.6</v>
      </c>
      <c r="E9" s="13">
        <f>Этап1_УсловнаяЕдиница!$B$31</f>
        <v>0.0216439288093759</v>
      </c>
      <c r="F9" s="15">
        <f>D9/E9</f>
        <v>5433.39432668329</v>
      </c>
      <c r="G9" s="16">
        <f>Расчет_МРП!$J$15</f>
        <v>153.984</v>
      </c>
      <c r="H9" s="14">
        <f>F9-G9</f>
        <v>5279.41032668329</v>
      </c>
    </row>
    <row r="10" spans="1:8">
      <c r="A10" s="3" t="s">
        <v>19</v>
      </c>
      <c r="B10" s="19">
        <f>Этап2_ФондВремени!$C$43</f>
        <v>117.6</v>
      </c>
      <c r="C10" s="14">
        <f>Этап2_ФондВремени!$B$43</f>
        <v>4</v>
      </c>
      <c r="D10" s="19">
        <f>Этап2_ФондВремени!$D$43</f>
        <v>470.4</v>
      </c>
      <c r="E10" s="13">
        <f>Этап1_УсловнаяЕдиница!$B$34</f>
        <v>0.00248790484677598</v>
      </c>
      <c r="F10" s="15">
        <f>D10/E10</f>
        <v>189074.755254237</v>
      </c>
      <c r="G10" s="16">
        <f>Расчет_МРП!$J$11</f>
        <v>35.4</v>
      </c>
      <c r="H10" s="14">
        <f>F10-G10</f>
        <v>189039.355254237</v>
      </c>
    </row>
    <row r="11" ht="14.65" spans="1:8">
      <c r="A11" s="20" t="s">
        <v>214</v>
      </c>
      <c r="B11" s="12" t="s">
        <v>212</v>
      </c>
      <c r="C11" s="12" t="s">
        <v>212</v>
      </c>
      <c r="D11" s="12" t="s">
        <v>212</v>
      </c>
      <c r="E11" s="12" t="s">
        <v>212</v>
      </c>
      <c r="F11" s="21">
        <f>MIN(F9,F10)</f>
        <v>5433.39432668329</v>
      </c>
      <c r="G11" s="22">
        <f>Расчет_МРП!$J$15+Расчет_МРП!$J$11</f>
        <v>189.384</v>
      </c>
      <c r="H11" s="23">
        <f>F11-G11</f>
        <v>5244.01032668329</v>
      </c>
    </row>
    <row r="12" spans="1:1">
      <c r="A12" s="18" t="s">
        <v>215</v>
      </c>
    </row>
    <row r="13" spans="1:8">
      <c r="A13" s="3" t="s">
        <v>17</v>
      </c>
      <c r="B13" s="19">
        <f>Этап2_ФондВремени!$C$41</f>
        <v>117.6</v>
      </c>
      <c r="C13" s="14">
        <f>Этап2_ФондВремени!$B$41</f>
        <v>3</v>
      </c>
      <c r="D13" s="19">
        <f>Этап2_ФондВремени!$D$41</f>
        <v>352.8</v>
      </c>
      <c r="E13" s="13">
        <f>Этап1_УсловнаяЕдиница!$B$32</f>
        <v>0.0245979292760337</v>
      </c>
      <c r="F13" s="15">
        <f>D13/E13</f>
        <v>14342.67072</v>
      </c>
      <c r="G13" s="16">
        <f>Расчет_МРП!$J$6+Расчет_МРП!$J$8</f>
        <v>350</v>
      </c>
      <c r="H13" s="14">
        <f>F13-G13</f>
        <v>13992.67072</v>
      </c>
    </row>
    <row r="14" spans="1:8">
      <c r="A14" s="3" t="s">
        <v>18</v>
      </c>
      <c r="B14" s="19">
        <f>Этап2_ФондВремени!$C$42</f>
        <v>117.6</v>
      </c>
      <c r="C14" s="14">
        <f>Этап2_ФондВремени!$B$42</f>
        <v>4</v>
      </c>
      <c r="D14" s="19">
        <f>Этап2_ФондВремени!$D$42</f>
        <v>470.4</v>
      </c>
      <c r="E14" s="13">
        <f>Этап1_УсловнаяЕдиница!$B$33</f>
        <v>0.0737937878281012</v>
      </c>
      <c r="F14" s="15">
        <f>D14/E14</f>
        <v>6374.52032</v>
      </c>
      <c r="G14" s="16">
        <f>Расчет_МРП!$J$6+Расчет_МРП!$J$8</f>
        <v>350</v>
      </c>
      <c r="H14" s="14">
        <f>F14-G14</f>
        <v>6024.52032</v>
      </c>
    </row>
    <row r="15" spans="1:8">
      <c r="A15" s="3" t="s">
        <v>20</v>
      </c>
      <c r="B15" s="19">
        <f>Этап2_ФондВремени!$C$44</f>
        <v>117.6</v>
      </c>
      <c r="C15" s="14">
        <f>Этап2_ФондВремени!$B$44</f>
        <v>1</v>
      </c>
      <c r="D15" s="19">
        <f>Этап2_ФондВремени!$D$44</f>
        <v>117.6</v>
      </c>
      <c r="E15" s="13">
        <f>Этап1_УсловнаяЕдиница!$B$35</f>
        <v>0.0414650807795997</v>
      </c>
      <c r="F15" s="15">
        <f>D15/E15</f>
        <v>2836.12132881356</v>
      </c>
      <c r="G15" s="16">
        <f>Расчет_МРП!$J$7</f>
        <v>147.5</v>
      </c>
      <c r="H15" s="14">
        <f>F15-G15</f>
        <v>2688.62132881356</v>
      </c>
    </row>
    <row r="16" ht="14.65" spans="1:8">
      <c r="A16" s="20" t="s">
        <v>216</v>
      </c>
      <c r="B16" s="12" t="s">
        <v>212</v>
      </c>
      <c r="C16" s="12" t="s">
        <v>212</v>
      </c>
      <c r="D16" s="12" t="s">
        <v>212</v>
      </c>
      <c r="E16" s="12" t="s">
        <v>212</v>
      </c>
      <c r="F16" s="21">
        <f>MIN(F13,F14,F15)</f>
        <v>2836.12132881356</v>
      </c>
      <c r="G16" s="22">
        <f>Расчет_МРП!$J$6+Расчет_МРП!$J$8+Расчет_МРП!$J$7</f>
        <v>497.5</v>
      </c>
      <c r="H16" s="23">
        <f>F16-G16</f>
        <v>2338.62132881356</v>
      </c>
    </row>
    <row r="18" spans="1:6">
      <c r="A18" s="20" t="s">
        <v>217</v>
      </c>
      <c r="B18" s="3"/>
      <c r="C18" s="3"/>
      <c r="D18" s="3"/>
      <c r="E18" s="3"/>
      <c r="F18" s="15">
        <f>MIN(F7,F11,F16)</f>
        <v>2836.12132881356</v>
      </c>
    </row>
    <row r="19" spans="1:7">
      <c r="A19" s="20" t="s">
        <v>218</v>
      </c>
      <c r="B19" s="3"/>
      <c r="C19" s="3"/>
      <c r="D19" s="3"/>
      <c r="E19" s="3"/>
      <c r="F19" s="3"/>
      <c r="G19" s="24">
        <f>Этап1_УсловнаяЕдиница!$B$14</f>
        <v>1422.884</v>
      </c>
    </row>
    <row r="21" spans="1:6">
      <c r="A21" s="3" t="s">
        <v>219</v>
      </c>
      <c r="F21" s="7">
        <f>F18-G19</f>
        <v>1413.23732881356</v>
      </c>
    </row>
    <row r="22" spans="1:6">
      <c r="A22" s="3" t="s">
        <v>220</v>
      </c>
      <c r="F22" s="8">
        <f>F18/G19-1</f>
        <v>0.99322033898305</v>
      </c>
    </row>
    <row r="23" spans="1:6">
      <c r="A23" s="3" t="s">
        <v>221</v>
      </c>
      <c r="F23" s="8">
        <f>G19/F18</f>
        <v>0.501700680272109</v>
      </c>
    </row>
    <row r="24" spans="1:6">
      <c r="A24" s="3" t="s">
        <v>222</v>
      </c>
      <c r="F24" s="4">
        <f>F18/G19</f>
        <v>1.99322033898305</v>
      </c>
    </row>
    <row r="25" spans="1:6">
      <c r="A25" s="3" t="s">
        <v>223</v>
      </c>
      <c r="F25" s="5" t="str">
        <f>IF(F18&gt;=G19,"программа обеспечивается (мощность достаточна)","МОЩНОСТИ НЕДОСТАТОЧНО — дефицит")</f>
        <v>программа обеспечивается (мощность достаточна)</v>
      </c>
    </row>
    <row r="26" spans="1:6">
      <c r="A26" s="3" t="s">
        <v>224</v>
      </c>
      <c r="F26" s="5" t="str">
        <f>IF(F18=F7,"Цех 1 (разделочный)",IF(F18=F11,"Цех 2 (мучных заготовок)","Цех 3 (готовой продукции)"))</f>
        <v>Цех 3 (готовой продукции)</v>
      </c>
    </row>
    <row r="27" spans="1:6">
      <c r="A27" s="3" t="s">
        <v>225</v>
      </c>
      <c r="F27" s="5" t="str">
        <f>IF(F18=F7,INDEX(A5:A6,MATCH(F7,F5:F6,0)),IF(F18=F11,INDEX(A9:A10,MATCH(F11,F9:F10,0)),INDEX(A13:A15,MATCH(F16,F13:F15,0))))</f>
        <v>Оборудование 7</v>
      </c>
    </row>
    <row r="28" spans="1:6">
      <c r="A28" s="3" t="s">
        <v>226</v>
      </c>
      <c r="F28" s="7">
        <f>F18</f>
        <v>2836.12132881356</v>
      </c>
    </row>
    <row r="30" spans="1:1">
      <c r="A30" s="9" t="s">
        <v>227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opLeftCell="A4" workbookViewId="0">
      <selection activeCell="A1" sqref="A1"/>
    </sheetView>
  </sheetViews>
  <sheetFormatPr defaultColWidth="9" defaultRowHeight="14.6" outlineLevelCol="4"/>
  <cols>
    <col min="1" max="1" width="64" customWidth="1"/>
    <col min="2" max="4" width="26" customWidth="1"/>
    <col min="5" max="5" width="20" customWidth="1"/>
  </cols>
  <sheetData>
    <row r="1" ht="17.25" spans="1:1">
      <c r="A1" s="1" t="s">
        <v>228</v>
      </c>
    </row>
    <row r="3" ht="14.65" spans="1:4">
      <c r="A3" s="10" t="s">
        <v>181</v>
      </c>
      <c r="B3" s="10" t="s">
        <v>229</v>
      </c>
      <c r="C3" s="10" t="s">
        <v>230</v>
      </c>
      <c r="D3" s="10" t="s">
        <v>231</v>
      </c>
    </row>
    <row r="4" spans="1:4">
      <c r="A4" s="3" t="s">
        <v>185</v>
      </c>
      <c r="B4" s="11">
        <f>Этап2_ФондВремени!$B$25</f>
        <v>168</v>
      </c>
      <c r="C4" s="11">
        <f>Этап2_ФондВремени!$C$25</f>
        <v>744</v>
      </c>
      <c r="D4" s="11">
        <f>Этап2_ФондВремени!$D$25</f>
        <v>744</v>
      </c>
    </row>
    <row r="5" spans="1:4">
      <c r="A5" s="3" t="s">
        <v>186</v>
      </c>
      <c r="B5" s="11">
        <f>Этап2_ФондВремени!$B$26</f>
        <v>50.4</v>
      </c>
      <c r="C5" s="11">
        <f>Этап2_ФондВремени!$C$26</f>
        <v>223.2</v>
      </c>
      <c r="D5" s="11">
        <f>Этап2_ФондВремени!$D$26</f>
        <v>168</v>
      </c>
    </row>
    <row r="6" spans="1:4">
      <c r="A6" s="3" t="s">
        <v>232</v>
      </c>
      <c r="B6" s="11">
        <f>Этап2_ФондВремени!$B$27</f>
        <v>117.6</v>
      </c>
      <c r="C6" s="11">
        <f>Этап2_ФондВремени!$C$27</f>
        <v>-55.2</v>
      </c>
      <c r="D6" s="11">
        <f>Этап2_ФондВремени!$D$27</f>
        <v>0</v>
      </c>
    </row>
    <row r="7" spans="1:4">
      <c r="A7" s="3" t="s">
        <v>233</v>
      </c>
      <c r="B7" s="12" t="str">
        <f>Этап2_ФондВремени!$B$28</f>
        <v>допустим</v>
      </c>
      <c r="C7" s="12" t="str">
        <f>Этап2_ФондВремени!$C$28</f>
        <v>НЕДОПУСТИМ: Фд &lt; 0</v>
      </c>
      <c r="D7" s="12" t="str">
        <f>Этап2_ФондВремени!$D$28</f>
        <v>допустим</v>
      </c>
    </row>
    <row r="9" spans="1:1">
      <c r="A9" s="2" t="s">
        <v>234</v>
      </c>
    </row>
    <row r="10" ht="29.25" spans="1:5">
      <c r="A10" s="10" t="s">
        <v>160</v>
      </c>
      <c r="B10" s="10" t="s">
        <v>235</v>
      </c>
      <c r="C10" s="10" t="s">
        <v>236</v>
      </c>
      <c r="D10" s="10" t="s">
        <v>237</v>
      </c>
      <c r="E10" s="10" t="s">
        <v>238</v>
      </c>
    </row>
    <row r="11" spans="1:5">
      <c r="A11" s="3" t="s">
        <v>14</v>
      </c>
      <c r="B11" s="13">
        <f>Этап1_УсловнаяЕдиница!$B$29</f>
        <v>0.0214634502882877</v>
      </c>
      <c r="C11" s="14">
        <f>Задание!$B$13*Этап2_ФондВремени!$B$27/$B11</f>
        <v>10958.1636149312</v>
      </c>
      <c r="D11" s="14">
        <f>Задание!$B$13*Этап2_ФондВремени!$C$27/$B11</f>
        <v>-5143.62781925344</v>
      </c>
      <c r="E11" s="14">
        <f>Задание!$B$13*Этап2_ФондВремени!$D$27/$B11</f>
        <v>0</v>
      </c>
    </row>
    <row r="12" spans="1:5">
      <c r="A12" s="3" t="s">
        <v>15</v>
      </c>
      <c r="B12" s="13">
        <f>Этап1_УсловнаяЕдиница!$B$30</f>
        <v>0.00814542858026375</v>
      </c>
      <c r="C12" s="14">
        <f>Задание!$B$14*Этап2_ФондВремени!$B$27/$B12</f>
        <v>28875.0920448663</v>
      </c>
      <c r="D12" s="14">
        <f>Задание!$B$14*Этап2_ФондВремени!$C$27/$B12</f>
        <v>-13553.6146333046</v>
      </c>
      <c r="E12" s="14">
        <f>Задание!$B$14*Этап2_ФондВремени!$D$27/$B12</f>
        <v>0</v>
      </c>
    </row>
    <row r="13" spans="1:5">
      <c r="A13" s="3" t="s">
        <v>16</v>
      </c>
      <c r="B13" s="13">
        <f>Этап1_УсловнаяЕдиница!$B$31</f>
        <v>0.0216439288093759</v>
      </c>
      <c r="C13" s="14">
        <f>Задание!$B$15*Этап2_ФондВремени!$B$27/$B13</f>
        <v>5433.39432668329</v>
      </c>
      <c r="D13" s="14">
        <f>Задание!$B$15*Этап2_ФондВремени!$C$27/$B13</f>
        <v>-2550.36876558603</v>
      </c>
      <c r="E13" s="14">
        <f>Задание!$B$15*Этап2_ФондВремени!$D$27/$B13</f>
        <v>0</v>
      </c>
    </row>
    <row r="14" spans="1:5">
      <c r="A14" s="3" t="s">
        <v>17</v>
      </c>
      <c r="B14" s="13">
        <f>Этап1_УсловнаяЕдиница!$B$32</f>
        <v>0.0245979292760337</v>
      </c>
      <c r="C14" s="14">
        <f>Задание!$B$16*Этап2_ФондВремени!$B$27/$B14</f>
        <v>14342.67072</v>
      </c>
      <c r="D14" s="14">
        <f>Задание!$B$16*Этап2_ФондВремени!$C$27/$B14</f>
        <v>-6732.27401142857</v>
      </c>
      <c r="E14" s="14">
        <f>Задание!$B$16*Этап2_ФондВремени!$D$27/$B14</f>
        <v>0</v>
      </c>
    </row>
    <row r="15" spans="1:5">
      <c r="A15" s="3" t="s">
        <v>18</v>
      </c>
      <c r="B15" s="13">
        <f>Этап1_УсловнаяЕдиница!$B$33</f>
        <v>0.0737937878281012</v>
      </c>
      <c r="C15" s="14">
        <f>Задание!$B$17*Этап2_ФондВремени!$B$27/$B15</f>
        <v>6374.52032</v>
      </c>
      <c r="D15" s="14">
        <f>Задание!$B$17*Этап2_ФондВремени!$C$27/$B15</f>
        <v>-2992.12178285714</v>
      </c>
      <c r="E15" s="14">
        <f>Задание!$B$17*Этап2_ФондВремени!$D$27/$B15</f>
        <v>0</v>
      </c>
    </row>
    <row r="16" spans="1:5">
      <c r="A16" s="3" t="s">
        <v>19</v>
      </c>
      <c r="B16" s="13">
        <f>Этап1_УсловнаяЕдиница!$B$34</f>
        <v>0.00248790484677598</v>
      </c>
      <c r="C16" s="14">
        <f>Задание!$B$18*Этап2_ФондВремени!$B$27/$B16</f>
        <v>189074.755254237</v>
      </c>
      <c r="D16" s="14">
        <f>Задание!$B$18*Этап2_ФондВремени!$C$27/$B16</f>
        <v>-88749.3749152542</v>
      </c>
      <c r="E16" s="14">
        <f>Задание!$B$18*Этап2_ФондВремени!$D$27/$B16</f>
        <v>0</v>
      </c>
    </row>
    <row r="17" spans="1:5">
      <c r="A17" s="3" t="s">
        <v>20</v>
      </c>
      <c r="B17" s="13">
        <f>Этап1_УсловнаяЕдиница!$B$35</f>
        <v>0.0414650807795997</v>
      </c>
      <c r="C17" s="14">
        <f>Задание!$B$19*Этап2_ФондВремени!$B$27/$B17</f>
        <v>2836.12132881356</v>
      </c>
      <c r="D17" s="14">
        <f>Задание!$B$19*Этап2_ФондВремени!$C$27/$B17</f>
        <v>-1331.24062372881</v>
      </c>
      <c r="E17" s="14">
        <f>Задание!$B$19*Этап2_ФондВремени!$D$27/$B17</f>
        <v>0</v>
      </c>
    </row>
    <row r="19" ht="14.65" spans="1:4">
      <c r="A19" s="10" t="s">
        <v>181</v>
      </c>
      <c r="B19" s="10" t="s">
        <v>239</v>
      </c>
      <c r="C19" s="10" t="s">
        <v>240</v>
      </c>
      <c r="D19" s="10" t="s">
        <v>241</v>
      </c>
    </row>
    <row r="20" spans="1:4">
      <c r="A20" s="3" t="s">
        <v>242</v>
      </c>
      <c r="B20" s="14">
        <f>MIN(C11,C12)</f>
        <v>10958.1636149312</v>
      </c>
      <c r="C20" s="14">
        <f>MIN(D11,D12)</f>
        <v>-13553.6146333046</v>
      </c>
      <c r="D20" s="14">
        <f>MIN(E11,E12)</f>
        <v>0</v>
      </c>
    </row>
    <row r="21" spans="1:4">
      <c r="A21" s="3" t="s">
        <v>243</v>
      </c>
      <c r="B21" s="14">
        <f>MIN(C13,C16)</f>
        <v>5433.39432668329</v>
      </c>
      <c r="C21" s="14">
        <f>MIN(D13,D16)</f>
        <v>-88749.3749152542</v>
      </c>
      <c r="D21" s="14">
        <f>MIN(E13,E16)</f>
        <v>0</v>
      </c>
    </row>
    <row r="22" spans="1:4">
      <c r="A22" s="3" t="s">
        <v>244</v>
      </c>
      <c r="B22" s="14">
        <f>MIN(C14,C15,C17)</f>
        <v>2836.12132881356</v>
      </c>
      <c r="C22" s="14">
        <f>MIN(D14,D15,D17)</f>
        <v>-6732.27401142857</v>
      </c>
      <c r="D22" s="14">
        <f>MIN(E14,E15,E17)</f>
        <v>0</v>
      </c>
    </row>
    <row r="23" spans="1:4">
      <c r="A23" s="3" t="s">
        <v>245</v>
      </c>
      <c r="B23" s="15">
        <f>MIN(B20:B22)</f>
        <v>2836.12132881356</v>
      </c>
      <c r="C23" s="15">
        <f>MIN(C20:C22)</f>
        <v>-88749.3749152542</v>
      </c>
      <c r="D23" s="15">
        <f>MIN(D20:D22)</f>
        <v>0</v>
      </c>
    </row>
    <row r="24" spans="1:4">
      <c r="A24" s="3" t="s">
        <v>246</v>
      </c>
      <c r="B24" s="16">
        <f>Этап1_УсловнаяЕдиница!$B$14</f>
        <v>1422.884</v>
      </c>
      <c r="C24" s="16">
        <f>Этап1_УсловнаяЕдиница!$B$14</f>
        <v>1422.884</v>
      </c>
      <c r="D24" s="16">
        <f>Этап1_УсловнаяЕдиница!$B$14</f>
        <v>1422.884</v>
      </c>
    </row>
    <row r="25" spans="1:4">
      <c r="A25" s="3" t="s">
        <v>209</v>
      </c>
      <c r="B25" s="14">
        <f>B23-B24</f>
        <v>1413.23732881356</v>
      </c>
      <c r="C25" s="14">
        <f>C23-C24</f>
        <v>-90172.2589152542</v>
      </c>
      <c r="D25" s="14">
        <f>D23-D24</f>
        <v>-1422.884</v>
      </c>
    </row>
    <row r="26" spans="1:4">
      <c r="A26" s="3" t="s">
        <v>220</v>
      </c>
      <c r="B26" s="17">
        <f>IFERROR(B23/B24,"н/д")</f>
        <v>1.99322033898305</v>
      </c>
      <c r="C26" s="17">
        <f>IFERROR(C23/C24,"н/д")</f>
        <v>-62.3728813559322</v>
      </c>
      <c r="D26" s="17">
        <f>IFERROR(D23/D24,"н/д")</f>
        <v>0</v>
      </c>
    </row>
    <row r="27" spans="1:4">
      <c r="A27" s="3" t="s">
        <v>247</v>
      </c>
      <c r="B27" s="17">
        <f>IFERROR(B24/B23,"н/д")</f>
        <v>0.501700680272109</v>
      </c>
      <c r="C27" s="17">
        <f>IFERROR(C24/C23,"н/д")</f>
        <v>-0.0160326086956522</v>
      </c>
      <c r="D27" s="17" t="str">
        <f>IFERROR(D24/D23,"н/д")</f>
        <v>н/д</v>
      </c>
    </row>
    <row r="28" spans="1:4">
      <c r="A28" s="3" t="s">
        <v>248</v>
      </c>
      <c r="B28" s="3" t="str">
        <f>IF(B23&gt;=B24,"мощность достаточна","ДЕФИЦИТ мощности")</f>
        <v>мощность достаточна</v>
      </c>
      <c r="C28" s="3" t="str">
        <f>IF(C23&gt;=C24,"мощность достаточна","ДЕФИЦИТ мощности")</f>
        <v>ДЕФИЦИТ мощности</v>
      </c>
      <c r="D28" s="3" t="str">
        <f>IF(D23&gt;=D24,"мощность достаточна","ДЕФИЦИТ мощности")</f>
        <v>ДЕФИЦИТ мощности</v>
      </c>
    </row>
    <row r="30" spans="1:1">
      <c r="A30" s="9" t="s">
        <v>249</v>
      </c>
    </row>
    <row r="31" spans="1:1">
      <c r="A31" s="9" t="s">
        <v>250</v>
      </c>
    </row>
    <row r="32" spans="1:1">
      <c r="A32" s="9" t="s">
        <v>251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A1" sqref="A1"/>
    </sheetView>
  </sheetViews>
  <sheetFormatPr defaultColWidth="9" defaultRowHeight="14.6" outlineLevelCol="1"/>
  <cols>
    <col min="1" max="1" width="74" customWidth="1"/>
    <col min="2" max="2" width="30" customWidth="1"/>
  </cols>
  <sheetData>
    <row r="1" ht="17.25" spans="1:1">
      <c r="A1" s="1" t="s">
        <v>252</v>
      </c>
    </row>
    <row r="3" spans="1:1">
      <c r="A3" t="s">
        <v>253</v>
      </c>
    </row>
    <row r="4" spans="1:1">
      <c r="A4" t="s">
        <v>254</v>
      </c>
    </row>
    <row r="5" spans="1:1">
      <c r="A5" t="s">
        <v>255</v>
      </c>
    </row>
    <row r="6" spans="1:1">
      <c r="A6" t="s">
        <v>256</v>
      </c>
    </row>
    <row r="7" spans="1:1">
      <c r="A7" t="s">
        <v>257</v>
      </c>
    </row>
    <row r="8" spans="1:1">
      <c r="A8" t="s">
        <v>258</v>
      </c>
    </row>
    <row r="9" spans="1:1">
      <c r="A9" s="2" t="s">
        <v>259</v>
      </c>
    </row>
    <row r="10" spans="1:2">
      <c r="A10" s="3" t="s">
        <v>260</v>
      </c>
      <c r="B10" s="4">
        <f>Расчет_МРП!$J$16</f>
        <v>1422.884</v>
      </c>
    </row>
    <row r="11" spans="1:2">
      <c r="A11" s="3" t="s">
        <v>261</v>
      </c>
      <c r="B11" s="5" t="str">
        <f>TEXT(Этап1_УсловнаяЕдиница!$B$29,"0.000000")&amp;" / "&amp;TEXT(Этап1_УсловнаяЕдиница!$B$30,"0.000000")&amp;" / "&amp;TEXT(Этап1_УсловнаяЕдиница!$B$31,"0.000000")&amp;" / "&amp;TEXT(Этап1_УсловнаяЕдиница!$B$32,"0.000000")&amp;" / "&amp;TEXT(Этап1_УсловнаяЕдиница!$B$33,"0.000000")&amp;" / "&amp;TEXT(Этап1_УсловнаяЕдиница!$B$34,"0.000000")&amp;" / "&amp;TEXT(Этап1_УсловнаяЕдиница!$B$35,"0.000000")</f>
        <v>0.021463 / 0.008145 / 0.021644 / 0.024598 / 0.073794 / 0.002488 / 0.041465</v>
      </c>
    </row>
    <row r="12" spans="1:2">
      <c r="A12" s="3" t="s">
        <v>262</v>
      </c>
      <c r="B12" s="6">
        <f>Этап2_ФондВремени!$B$17</f>
        <v>744</v>
      </c>
    </row>
    <row r="13" spans="1:2">
      <c r="A13" s="3" t="s">
        <v>263</v>
      </c>
      <c r="B13" s="6">
        <f>Этап2_ФондВремени!$B$18</f>
        <v>168</v>
      </c>
    </row>
    <row r="14" spans="1:2">
      <c r="A14" s="3" t="s">
        <v>264</v>
      </c>
      <c r="B14" s="5" t="str">
        <f>Этап2_ФондВремени!$B$32</f>
        <v>А: ремонт 30 % от режимного фонда</v>
      </c>
    </row>
    <row r="15" spans="1:2">
      <c r="A15" s="3" t="s">
        <v>265</v>
      </c>
      <c r="B15" s="6">
        <f>Этап2_ФондВремени!$B$34</f>
        <v>117.6</v>
      </c>
    </row>
    <row r="16" spans="1:2">
      <c r="A16" s="3" t="s">
        <v>266</v>
      </c>
      <c r="B16" s="7">
        <f>Этап3_Произв_мощность!$F$7</f>
        <v>10958.1636149312</v>
      </c>
    </row>
    <row r="17" spans="1:2">
      <c r="A17" s="3" t="s">
        <v>267</v>
      </c>
      <c r="B17" s="7">
        <f>Этап3_Произв_мощность!$F$11</f>
        <v>5433.39432668329</v>
      </c>
    </row>
    <row r="18" spans="1:2">
      <c r="A18" s="3" t="s">
        <v>268</v>
      </c>
      <c r="B18" s="7">
        <f>Этап3_Произв_мощность!$F$16</f>
        <v>2836.12132881356</v>
      </c>
    </row>
    <row r="19" spans="1:2">
      <c r="A19" s="3" t="s">
        <v>269</v>
      </c>
      <c r="B19" s="7">
        <f>Этап3_Произв_мощность!$F$18</f>
        <v>2836.12132881356</v>
      </c>
    </row>
    <row r="20" spans="1:2">
      <c r="A20" s="3" t="s">
        <v>246</v>
      </c>
      <c r="B20" s="4">
        <f>Этап3_Произв_мощность!$G$19</f>
        <v>1422.884</v>
      </c>
    </row>
    <row r="21" spans="1:2">
      <c r="A21" s="3" t="s">
        <v>270</v>
      </c>
      <c r="B21" s="7">
        <f>Этап3_Произв_мощность!$F$21</f>
        <v>1413.23732881356</v>
      </c>
    </row>
    <row r="22" spans="1:2">
      <c r="A22" s="3" t="s">
        <v>220</v>
      </c>
      <c r="B22" s="8">
        <f>Этап3_Произв_мощность!$F$22</f>
        <v>0.99322033898305</v>
      </c>
    </row>
    <row r="23" spans="1:2">
      <c r="A23" s="3" t="s">
        <v>271</v>
      </c>
      <c r="B23" s="4">
        <f>Этап3_Произв_мощность!$F$24</f>
        <v>1.99322033898305</v>
      </c>
    </row>
    <row r="24" spans="1:2">
      <c r="A24" s="3" t="s">
        <v>224</v>
      </c>
      <c r="B24" s="5" t="str">
        <f>Этап3_Произв_мощность!$F$26</f>
        <v>Цех 3 (готовой продукции)</v>
      </c>
    </row>
    <row r="25" spans="1:2">
      <c r="A25" s="3" t="s">
        <v>225</v>
      </c>
      <c r="B25" s="5" t="str">
        <f>Этап3_Произв_мощность!$F$27</f>
        <v>Оборудование 7</v>
      </c>
    </row>
    <row r="26" spans="1:2">
      <c r="A26" s="3" t="s">
        <v>223</v>
      </c>
      <c r="B26" s="5" t="str">
        <f>Этап3_Произв_мощность!$F$25</f>
        <v>программа обеспечивается (мощность достаточна)</v>
      </c>
    </row>
    <row r="28" spans="1:1">
      <c r="A28" s="9" t="s">
        <v>272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4.6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Задание</vt:lpstr>
      <vt:lpstr>Тек_карты_В3</vt:lpstr>
      <vt:lpstr>Склад_Остатки_В3</vt:lpstr>
      <vt:lpstr>Заказы_Клиентов_В3</vt:lpstr>
      <vt:lpstr>Расчет_МРП</vt:lpstr>
      <vt:lpstr>Этап1_УсловнаяЕдиница</vt:lpstr>
      <vt:lpstr>Этап2_ФондВремени</vt:lpstr>
      <vt:lpstr>Этап3_Произв_мощность</vt:lpstr>
      <vt:lpstr>Сравнение_Сценариев</vt:lpstr>
      <vt:lpstr>Выводы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sasha</cp:lastModifiedBy>
  <dcterms:created xsi:type="dcterms:W3CDTF">2026-09-30T15:42:00Z</dcterms:created>
  <dcterms:modified xsi:type="dcterms:W3CDTF">2026-09-30T17:56:34Z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