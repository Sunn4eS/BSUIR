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asha\BSUIR\7 semester\SMAD\lab3\"/>
    </mc:Choice>
  </mc:AlternateContent>
  <xr:revisionPtr revIDLastSave="0" documentId="13_ncr:1_{1DC06582-FA1C-46C1-8E20-6191C205BB24}" xr6:coauthVersionLast="47" xr6:coauthVersionMax="47" xr10:uidLastSave="{00000000-0000-0000-0000-000000000000}"/>
  <bookViews>
    <workbookView xWindow="0" yWindow="2366" windowWidth="16457" windowHeight="9454" tabRatio="500" xr2:uid="{00000000-000D-0000-FFFF-FFFF00000000}"/>
  </bookViews>
  <sheets>
    <sheet name="Лист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5" i="1" l="1"/>
  <c r="K24" i="1"/>
  <c r="V38" i="1" l="1"/>
  <c r="S38" i="1"/>
  <c r="V37" i="1"/>
  <c r="S37" i="1"/>
  <c r="V36" i="1"/>
  <c r="S36" i="1"/>
  <c r="G25" i="1"/>
  <c r="F25" i="1"/>
  <c r="E25" i="1"/>
  <c r="D25" i="1"/>
  <c r="E24" i="1"/>
  <c r="D24" i="1"/>
  <c r="I23" i="1"/>
  <c r="J23" i="1" s="1"/>
  <c r="G23" i="1"/>
  <c r="H23" i="1" s="1"/>
  <c r="F23" i="1"/>
  <c r="G22" i="1"/>
  <c r="H22" i="1" s="1"/>
  <c r="F22" i="1"/>
  <c r="I21" i="1"/>
  <c r="J21" i="1" s="1"/>
  <c r="G21" i="1"/>
  <c r="H21" i="1" s="1"/>
  <c r="F21" i="1"/>
  <c r="G20" i="1"/>
  <c r="H20" i="1" s="1"/>
  <c r="F20" i="1"/>
  <c r="K19" i="1"/>
  <c r="I19" i="1"/>
  <c r="J19" i="1" s="1"/>
  <c r="G19" i="1"/>
  <c r="H19" i="1" s="1"/>
  <c r="F19" i="1"/>
  <c r="G18" i="1"/>
  <c r="H18" i="1" s="1"/>
  <c r="F18" i="1"/>
  <c r="I17" i="1"/>
  <c r="K17" i="1" s="1"/>
  <c r="G17" i="1"/>
  <c r="H17" i="1" s="1"/>
  <c r="F17" i="1"/>
  <c r="G16" i="1"/>
  <c r="H16" i="1" s="1"/>
  <c r="F16" i="1"/>
  <c r="I15" i="1"/>
  <c r="K15" i="1" s="1"/>
  <c r="G15" i="1"/>
  <c r="H15" i="1" s="1"/>
  <c r="F15" i="1"/>
  <c r="G14" i="1"/>
  <c r="H14" i="1" s="1"/>
  <c r="F14" i="1"/>
  <c r="I13" i="1"/>
  <c r="K13" i="1" s="1"/>
  <c r="G13" i="1"/>
  <c r="H13" i="1" s="1"/>
  <c r="F13" i="1"/>
  <c r="G12" i="1"/>
  <c r="H12" i="1" s="1"/>
  <c r="F12" i="1"/>
  <c r="I11" i="1"/>
  <c r="J11" i="1" s="1"/>
  <c r="G11" i="1"/>
  <c r="H11" i="1" s="1"/>
  <c r="F11" i="1"/>
  <c r="G10" i="1"/>
  <c r="H10" i="1" s="1"/>
  <c r="F10" i="1"/>
  <c r="K9" i="1"/>
  <c r="I9" i="1"/>
  <c r="J9" i="1" s="1"/>
  <c r="G9" i="1"/>
  <c r="H9" i="1" s="1"/>
  <c r="F9" i="1"/>
  <c r="G8" i="1"/>
  <c r="F8" i="1"/>
  <c r="I7" i="1"/>
  <c r="K7" i="1" s="1"/>
  <c r="G7" i="1"/>
  <c r="H7" i="1" s="1"/>
  <c r="F7" i="1"/>
  <c r="G6" i="1"/>
  <c r="H6" i="1" s="1"/>
  <c r="F6" i="1"/>
  <c r="I5" i="1"/>
  <c r="J5" i="1" s="1"/>
  <c r="G5" i="1"/>
  <c r="H5" i="1" s="1"/>
  <c r="F5" i="1"/>
  <c r="G4" i="1"/>
  <c r="H4" i="1" s="1"/>
  <c r="F4" i="1"/>
  <c r="F24" i="1" s="1"/>
  <c r="J15" i="1" l="1"/>
  <c r="K21" i="1"/>
  <c r="J7" i="1"/>
  <c r="J17" i="1"/>
  <c r="K5" i="1"/>
  <c r="K11" i="1"/>
  <c r="J13" i="1"/>
  <c r="K23" i="1"/>
  <c r="H24" i="1"/>
  <c r="H25" i="1"/>
  <c r="I22" i="1"/>
  <c r="J22" i="1" s="1"/>
  <c r="I20" i="1"/>
  <c r="J20" i="1" s="1"/>
  <c r="I18" i="1"/>
  <c r="J18" i="1" s="1"/>
  <c r="I16" i="1"/>
  <c r="J16" i="1" s="1"/>
  <c r="I14" i="1"/>
  <c r="J14" i="1" s="1"/>
  <c r="I12" i="1"/>
  <c r="J12" i="1" s="1"/>
  <c r="I10" i="1"/>
  <c r="J10" i="1" s="1"/>
  <c r="I8" i="1"/>
  <c r="J8" i="1" s="1"/>
  <c r="I6" i="1"/>
  <c r="J6" i="1" s="1"/>
  <c r="I4" i="1"/>
  <c r="H8" i="1"/>
  <c r="G24" i="1"/>
  <c r="K4" i="1"/>
  <c r="K22" i="1"/>
  <c r="K20" i="1" l="1"/>
  <c r="K16" i="1"/>
  <c r="K8" i="1"/>
  <c r="K10" i="1"/>
  <c r="K6" i="1"/>
  <c r="K12" i="1"/>
  <c r="K18" i="1"/>
  <c r="K14" i="1"/>
  <c r="I25" i="1"/>
  <c r="J4" i="1"/>
  <c r="I24" i="1"/>
  <c r="N31" i="1" l="1"/>
  <c r="J24" i="1"/>
  <c r="J25" i="1"/>
  <c r="N30" i="1" l="1"/>
  <c r="Q62" i="1" l="1"/>
  <c r="Q56" i="1"/>
  <c r="Q60" i="1"/>
  <c r="M23" i="1"/>
  <c r="N23" i="1" s="1"/>
  <c r="O23" i="1" s="1"/>
  <c r="P23" i="1" s="1"/>
  <c r="Q59" i="1"/>
  <c r="M16" i="1"/>
  <c r="N16" i="1" s="1"/>
  <c r="O16" i="1" s="1"/>
  <c r="P16" i="1" s="1"/>
  <c r="M10" i="1"/>
  <c r="N10" i="1" s="1"/>
  <c r="O10" i="1" s="1"/>
  <c r="P10" i="1" s="1"/>
  <c r="M4" i="1"/>
  <c r="Q61" i="1"/>
  <c r="Q64" i="1"/>
  <c r="M22" i="1"/>
  <c r="N22" i="1" s="1"/>
  <c r="O22" i="1" s="1"/>
  <c r="P22" i="1" s="1"/>
  <c r="M20" i="1"/>
  <c r="N20" i="1" s="1"/>
  <c r="O20" i="1" s="1"/>
  <c r="P20" i="1" s="1"/>
  <c r="M18" i="1"/>
  <c r="N18" i="1" s="1"/>
  <c r="O18" i="1" s="1"/>
  <c r="P18" i="1" s="1"/>
  <c r="M14" i="1"/>
  <c r="N14" i="1" s="1"/>
  <c r="O14" i="1" s="1"/>
  <c r="P14" i="1" s="1"/>
  <c r="M12" i="1"/>
  <c r="N12" i="1" s="1"/>
  <c r="O12" i="1" s="1"/>
  <c r="P12" i="1" s="1"/>
  <c r="M8" i="1"/>
  <c r="N8" i="1" s="1"/>
  <c r="O8" i="1" s="1"/>
  <c r="P8" i="1" s="1"/>
  <c r="M6" i="1"/>
  <c r="N6" i="1" s="1"/>
  <c r="O6" i="1" s="1"/>
  <c r="P6" i="1" s="1"/>
  <c r="Q58" i="1"/>
  <c r="Q63" i="1"/>
  <c r="Q57" i="1"/>
  <c r="M21" i="1"/>
  <c r="N21" i="1" s="1"/>
  <c r="O21" i="1" s="1"/>
  <c r="P21" i="1" s="1"/>
  <c r="M13" i="1"/>
  <c r="N13" i="1" s="1"/>
  <c r="O13" i="1" s="1"/>
  <c r="P13" i="1" s="1"/>
  <c r="M17" i="1"/>
  <c r="N17" i="1" s="1"/>
  <c r="O17" i="1" s="1"/>
  <c r="P17" i="1" s="1"/>
  <c r="M7" i="1"/>
  <c r="N7" i="1" s="1"/>
  <c r="O7" i="1" s="1"/>
  <c r="P7" i="1" s="1"/>
  <c r="M11" i="1"/>
  <c r="N11" i="1" s="1"/>
  <c r="O11" i="1" s="1"/>
  <c r="P11" i="1" s="1"/>
  <c r="M15" i="1"/>
  <c r="N15" i="1" s="1"/>
  <c r="O15" i="1" s="1"/>
  <c r="P15" i="1" s="1"/>
  <c r="M5" i="1"/>
  <c r="N5" i="1" s="1"/>
  <c r="O5" i="1" s="1"/>
  <c r="P5" i="1" s="1"/>
  <c r="M19" i="1"/>
  <c r="N19" i="1" s="1"/>
  <c r="O19" i="1" s="1"/>
  <c r="P19" i="1" s="1"/>
  <c r="M9" i="1"/>
  <c r="N9" i="1" s="1"/>
  <c r="O9" i="1" s="1"/>
  <c r="P9" i="1" s="1"/>
  <c r="M24" i="1" l="1"/>
  <c r="N4" i="1"/>
  <c r="M25" i="1"/>
  <c r="O4" i="1" l="1"/>
  <c r="N24" i="1"/>
  <c r="N25" i="1"/>
  <c r="O24" i="1" l="1"/>
  <c r="N44" i="1" s="1"/>
  <c r="N46" i="1" s="1"/>
  <c r="P4" i="1"/>
  <c r="O25" i="1"/>
  <c r="P24" i="1" l="1"/>
  <c r="P25" i="1"/>
  <c r="P31" i="1" l="1"/>
  <c r="U56" i="1"/>
  <c r="V58" i="1"/>
  <c r="U58" i="1"/>
  <c r="V59" i="1"/>
  <c r="W61" i="1"/>
  <c r="S63" i="1"/>
  <c r="S59" i="1"/>
  <c r="W63" i="1"/>
  <c r="R61" i="1"/>
  <c r="U63" i="1"/>
  <c r="V62" i="1"/>
  <c r="R60" i="1"/>
  <c r="S57" i="1"/>
  <c r="S56" i="1"/>
  <c r="W56" i="1"/>
  <c r="S60" i="1"/>
  <c r="W58" i="1"/>
  <c r="W64" i="1"/>
  <c r="R58" i="1"/>
  <c r="R59" i="1"/>
  <c r="V64" i="1"/>
  <c r="T58" i="1"/>
  <c r="W59" i="1"/>
  <c r="S58" i="1"/>
  <c r="S64" i="1"/>
  <c r="U59" i="1"/>
  <c r="S61" i="1"/>
  <c r="T63" i="1"/>
  <c r="T61" i="1"/>
  <c r="V57" i="1"/>
  <c r="W57" i="1"/>
  <c r="R63" i="1"/>
  <c r="W62" i="1"/>
  <c r="W60" i="1"/>
  <c r="R62" i="1"/>
  <c r="S62" i="1"/>
  <c r="V56" i="1"/>
  <c r="U64" i="1"/>
  <c r="T64" i="1"/>
  <c r="V61" i="1"/>
  <c r="R64" i="1"/>
  <c r="T59" i="1"/>
  <c r="U61" i="1"/>
  <c r="R57" i="1"/>
  <c r="V63" i="1"/>
  <c r="U62" i="1"/>
  <c r="U57" i="1"/>
  <c r="T57" i="1"/>
  <c r="T62" i="1"/>
  <c r="V60" i="1"/>
  <c r="U60" i="1"/>
  <c r="T60" i="1"/>
  <c r="T56" i="1"/>
  <c r="R56" i="1"/>
  <c r="P30" i="1" l="1"/>
  <c r="R31" i="1"/>
  <c r="F39" i="1"/>
  <c r="E39" i="1"/>
  <c r="F38" i="1"/>
  <c r="F37" i="1"/>
  <c r="E37" i="1"/>
  <c r="E38" i="1"/>
  <c r="D37" i="1" l="1"/>
  <c r="C37" i="1"/>
  <c r="D39" i="1"/>
  <c r="C38" i="1"/>
  <c r="D38" i="1"/>
  <c r="C39" i="1"/>
  <c r="R30" i="1"/>
</calcChain>
</file>

<file path=xl/sharedStrings.xml><?xml version="1.0" encoding="utf-8"?>
<sst xmlns="http://schemas.openxmlformats.org/spreadsheetml/2006/main" count="53" uniqueCount="38">
  <si>
    <t>t</t>
  </si>
  <si>
    <t>xt</t>
  </si>
  <si>
    <t>yt</t>
  </si>
  <si>
    <t>^yt</t>
  </si>
  <si>
    <t>et</t>
  </si>
  <si>
    <t>et^2</t>
  </si>
  <si>
    <t>st^2</t>
  </si>
  <si>
    <t>сумма</t>
  </si>
  <si>
    <t>среднее</t>
  </si>
  <si>
    <t>Параметр</t>
  </si>
  <si>
    <t>Знак</t>
  </si>
  <si>
    <t>Пояснение</t>
  </si>
  <si>
    <t>Оценочное значение</t>
  </si>
  <si>
    <t>Рассчетное значение</t>
  </si>
  <si>
    <t>s^2, Несмещенная оценка дисперсии</t>
  </si>
  <si>
    <t>tнабл., Наблюдаемое значение статистики Стьюдента</t>
  </si>
  <si>
    <t>Проверка гипотезы о значимости</t>
  </si>
  <si>
    <t>a0</t>
  </si>
  <si>
    <t>Положительный</t>
  </si>
  <si>
    <t>При значении X=0, прогнозируемое значение Y составило бы примерно 120</t>
  </si>
  <si>
    <t>Т.к. t набл. Больше t крит. Для любого из уровней, то параметр является высоко значимым на всех общепринятых уровнях значимости.</t>
  </si>
  <si>
    <t>a1</t>
  </si>
  <si>
    <t>Прямая зависимость Y от X.Крутизна наклона достаточно большая, значение X влияет на Y достаточно сильно</t>
  </si>
  <si>
    <t>Доверительные интервалы параметров</t>
  </si>
  <si>
    <t>Квантиль распределения Стьюдента</t>
  </si>
  <si>
    <t>Квантиль распределения Фишера</t>
  </si>
  <si>
    <t>y (уровень)</t>
  </si>
  <si>
    <t>Значение</t>
  </si>
  <si>
    <t>от</t>
  </si>
  <si>
    <t>до</t>
  </si>
  <si>
    <t>R^2, Коэф. Детерминации</t>
  </si>
  <si>
    <t>F, Наблюдаемое значение статистики Фишера для коэффа детерминации</t>
  </si>
  <si>
    <t>Доверительные интервалы прогноза</t>
  </si>
  <si>
    <t>y = 0.9</t>
  </si>
  <si>
    <t>y = 0.95</t>
  </si>
  <si>
    <t>y = 0.99</t>
  </si>
  <si>
    <t>x пр</t>
  </si>
  <si>
    <t>y пр.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</si>
</sst>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0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2" fontId="0" fillId="0" borderId="6" xfId="0" applyNumberFormat="1" applyFon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/>
    <xf numFmtId="0" fontId="0" fillId="0" borderId="2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2" xfId="0" applyNumberFormat="1" applyBorder="1"/>
    <xf numFmtId="0" fontId="0" fillId="0" borderId="1" xfId="0" applyFont="1" applyBorder="1"/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4" xfId="0" applyFont="1" applyBorder="1"/>
    <xf numFmtId="0" fontId="0" fillId="0" borderId="5" xfId="0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6" xfId="0" applyNumberFormat="1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2" fontId="0" fillId="0" borderId="7" xfId="0" applyNumberFormat="1" applyFont="1" applyBorder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8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ru-RU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График зависимости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Лист1!$E$3</c:f>
              <c:strCache>
                <c:ptCount val="1"/>
                <c:pt idx="0">
                  <c:v>yt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noFill/>
                    </a:ln>
                  </c:spPr>
                </c15:leaderLines>
              </c:ext>
            </c:extLst>
          </c:dLbls>
          <c:trendline>
            <c:spPr>
              <a:ln w="19080" cap="rnd">
                <a:solidFill>
                  <a:schemeClr val="accent1"/>
                </a:solidFill>
                <a:prstDash val="sysDot"/>
                <a:round/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Лист1!$D$4:$D$23</c:f>
              <c:numCache>
                <c:formatCode>General</c:formatCode>
                <c:ptCount val="20"/>
                <c:pt idx="0">
                  <c:v>14</c:v>
                </c:pt>
                <c:pt idx="1">
                  <c:v>16</c:v>
                </c:pt>
                <c:pt idx="2">
                  <c:v>17</c:v>
                </c:pt>
                <c:pt idx="3">
                  <c:v>19</c:v>
                </c:pt>
                <c:pt idx="4">
                  <c:v>18</c:v>
                </c:pt>
                <c:pt idx="5">
                  <c:v>15</c:v>
                </c:pt>
                <c:pt idx="6">
                  <c:v>14</c:v>
                </c:pt>
                <c:pt idx="7">
                  <c:v>18</c:v>
                </c:pt>
                <c:pt idx="8">
                  <c:v>17</c:v>
                </c:pt>
                <c:pt idx="9">
                  <c:v>15</c:v>
                </c:pt>
                <c:pt idx="10">
                  <c:v>13</c:v>
                </c:pt>
                <c:pt idx="11">
                  <c:v>16</c:v>
                </c:pt>
                <c:pt idx="12">
                  <c:v>17</c:v>
                </c:pt>
                <c:pt idx="13">
                  <c:v>19</c:v>
                </c:pt>
                <c:pt idx="14">
                  <c:v>18</c:v>
                </c:pt>
                <c:pt idx="15">
                  <c:v>20</c:v>
                </c:pt>
                <c:pt idx="16">
                  <c:v>12</c:v>
                </c:pt>
                <c:pt idx="17">
                  <c:v>13</c:v>
                </c:pt>
                <c:pt idx="18">
                  <c:v>12</c:v>
                </c:pt>
                <c:pt idx="19">
                  <c:v>14</c:v>
                </c:pt>
              </c:numCache>
            </c:numRef>
          </c:xVal>
          <c:yVal>
            <c:numRef>
              <c:f>Лист1!$E$4:$E$23</c:f>
              <c:numCache>
                <c:formatCode>General</c:formatCode>
                <c:ptCount val="20"/>
                <c:pt idx="0">
                  <c:v>222</c:v>
                </c:pt>
                <c:pt idx="1">
                  <c:v>241</c:v>
                </c:pt>
                <c:pt idx="2">
                  <c:v>243</c:v>
                </c:pt>
                <c:pt idx="3">
                  <c:v>285</c:v>
                </c:pt>
                <c:pt idx="4">
                  <c:v>253</c:v>
                </c:pt>
                <c:pt idx="5">
                  <c:v>247</c:v>
                </c:pt>
                <c:pt idx="6">
                  <c:v>246</c:v>
                </c:pt>
                <c:pt idx="7">
                  <c:v>276</c:v>
                </c:pt>
                <c:pt idx="8">
                  <c:v>261</c:v>
                </c:pt>
                <c:pt idx="9">
                  <c:v>254</c:v>
                </c:pt>
                <c:pt idx="10">
                  <c:v>229</c:v>
                </c:pt>
                <c:pt idx="11">
                  <c:v>249</c:v>
                </c:pt>
                <c:pt idx="12">
                  <c:v>252</c:v>
                </c:pt>
                <c:pt idx="13">
                  <c:v>279</c:v>
                </c:pt>
                <c:pt idx="14">
                  <c:v>262</c:v>
                </c:pt>
                <c:pt idx="15">
                  <c:v>275</c:v>
                </c:pt>
                <c:pt idx="16">
                  <c:v>211</c:v>
                </c:pt>
                <c:pt idx="17">
                  <c:v>220</c:v>
                </c:pt>
                <c:pt idx="18">
                  <c:v>218</c:v>
                </c:pt>
                <c:pt idx="19">
                  <c:v>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F6-4EB6-B5AF-61ADE5A16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91977"/>
        <c:axId val="11686534"/>
      </c:scatterChart>
      <c:valAx>
        <c:axId val="22491977"/>
        <c:scaling>
          <c:orientation val="minMax"/>
          <c:max val="20"/>
          <c:min val="12"/>
        </c:scaling>
        <c:delete val="0"/>
        <c:axPos val="b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endParaRPr lang="ru-RU"/>
          </a:p>
        </c:txPr>
        <c:crossAx val="11686534"/>
        <c:crosses val="autoZero"/>
        <c:crossBetween val="midCat"/>
      </c:valAx>
      <c:valAx>
        <c:axId val="11686534"/>
        <c:scaling>
          <c:orientation val="minMax"/>
          <c:max val="300"/>
          <c:min val="200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endParaRPr lang="ru-RU"/>
          </a:p>
        </c:txPr>
        <c:crossAx val="2249197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ru-RU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Доверительные интервалы прогноза (</a:t>
            </a:r>
            <a:r>
              <a:rPr lang="en-US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y = 0.9</a:t>
            </a:r>
            <a:r>
              <a:rPr lang="ru-RU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 пр.</c:v>
          </c:tx>
          <c:spPr>
            <a:ln w="19080" cap="rnd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Лист1!$P$56:$P$64</c:f>
              <c:numCache>
                <c:formatCode>0.00</c:formatCode>
                <c:ptCount val="9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</c:numCache>
            </c:numRef>
          </c:xVal>
          <c:yVal>
            <c:numRef>
              <c:f>Лист1!$Q$56:$Q$64</c:f>
              <c:numCache>
                <c:formatCode>0.00</c:formatCode>
                <c:ptCount val="9"/>
                <c:pt idx="0">
                  <c:v>216.64726788094183</c:v>
                </c:pt>
                <c:pt idx="1">
                  <c:v>224.72589960017771</c:v>
                </c:pt>
                <c:pt idx="2">
                  <c:v>232.80453131941363</c:v>
                </c:pt>
                <c:pt idx="3">
                  <c:v>240.88316303864951</c:v>
                </c:pt>
                <c:pt idx="4">
                  <c:v>248.9617947578854</c:v>
                </c:pt>
                <c:pt idx="5">
                  <c:v>257.04042647712129</c:v>
                </c:pt>
                <c:pt idx="6">
                  <c:v>265.11905819635717</c:v>
                </c:pt>
                <c:pt idx="7">
                  <c:v>273.19768991559306</c:v>
                </c:pt>
                <c:pt idx="8">
                  <c:v>281.27632163482895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C8-49F4-BCD6-E20680C1DCA7}"/>
            </c:ext>
          </c:extLst>
        </c:ser>
        <c:ser>
          <c:idx val="1"/>
          <c:order val="1"/>
          <c:tx>
            <c:v>Нижняя граница</c:v>
          </c:tx>
          <c:spPr>
            <a:ln w="19080" cap="rnd">
              <a:solidFill>
                <a:srgbClr val="00B05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  <a:prstDash val="dash"/>
                    </a:ln>
                  </c:spPr>
                </c15:leaderLines>
              </c:ext>
            </c:extLst>
          </c:dLbls>
          <c:xVal>
            <c:numRef>
              <c:f>Лист1!$P$56:$P$64</c:f>
              <c:numCache>
                <c:formatCode>0.00</c:formatCode>
                <c:ptCount val="9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</c:numCache>
            </c:numRef>
          </c:xVal>
          <c:yVal>
            <c:numRef>
              <c:f>Лист1!$R$56:$R$64</c:f>
              <c:numCache>
                <c:formatCode>0.00</c:formatCode>
                <c:ptCount val="9"/>
                <c:pt idx="0">
                  <c:v>210.21224177817754</c:v>
                </c:pt>
                <c:pt idx="1">
                  <c:v>219.4492894832417</c:v>
                </c:pt>
                <c:pt idx="2">
                  <c:v>228.52370166616632</c:v>
                </c:pt>
                <c:pt idx="3">
                  <c:v>237.29732624298131</c:v>
                </c:pt>
                <c:pt idx="4">
                  <c:v>245.57937205495614</c:v>
                </c:pt>
                <c:pt idx="5">
                  <c:v>253.28900328471937</c:v>
                </c:pt>
                <c:pt idx="6">
                  <c:v>260.56324834444638</c:v>
                </c:pt>
                <c:pt idx="7">
                  <c:v>267.58632059464117</c:v>
                </c:pt>
                <c:pt idx="8">
                  <c:v>274.4741629541931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AC8-49F4-BCD6-E20680C1DCA7}"/>
            </c:ext>
          </c:extLst>
        </c:ser>
        <c:ser>
          <c:idx val="2"/>
          <c:order val="2"/>
          <c:tx>
            <c:v>Верхняя граница</c:v>
          </c:tx>
          <c:spPr>
            <a:ln w="19080" cap="rnd">
              <a:solidFill>
                <a:srgbClr val="FF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  <a:prstDash val="dash"/>
                    </a:ln>
                  </c:spPr>
                </c15:leaderLines>
              </c:ext>
            </c:extLst>
          </c:dLbls>
          <c:xVal>
            <c:numRef>
              <c:f>Лист1!$P$56:$P$64</c:f>
              <c:numCache>
                <c:formatCode>0.00</c:formatCode>
                <c:ptCount val="9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</c:numCache>
            </c:numRef>
          </c:xVal>
          <c:yVal>
            <c:numRef>
              <c:f>Лист1!$S$56:$S$64</c:f>
              <c:numCache>
                <c:formatCode>0.00</c:formatCode>
                <c:ptCount val="9"/>
                <c:pt idx="0">
                  <c:v>223.08229398370611</c:v>
                </c:pt>
                <c:pt idx="1">
                  <c:v>230.00250971711372</c:v>
                </c:pt>
                <c:pt idx="2">
                  <c:v>237.08536097266094</c:v>
                </c:pt>
                <c:pt idx="3">
                  <c:v>244.46899983431771</c:v>
                </c:pt>
                <c:pt idx="4">
                  <c:v>252.34421746081466</c:v>
                </c:pt>
                <c:pt idx="5">
                  <c:v>260.79184966952323</c:v>
                </c:pt>
                <c:pt idx="6">
                  <c:v>269.67486804826797</c:v>
                </c:pt>
                <c:pt idx="7">
                  <c:v>278.80905923654495</c:v>
                </c:pt>
                <c:pt idx="8">
                  <c:v>288.07848031546479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AC8-49F4-BCD6-E20680C1D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09539"/>
        <c:axId val="34237291"/>
      </c:scatterChart>
      <c:valAx>
        <c:axId val="38309539"/>
        <c:scaling>
          <c:orientation val="minMax"/>
          <c:max val="20"/>
          <c:min val="12"/>
        </c:scaling>
        <c:delete val="0"/>
        <c:axPos val="b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Calibri"/>
                  </a:rPr>
                  <a:t>X </a:t>
                </a:r>
                <a:r>
                  <a:rPr lang="ru-RU" sz="10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Calibri"/>
                  </a:rPr>
                  <a:t>пр.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endParaRPr lang="ru-RU"/>
          </a:p>
        </c:txPr>
        <c:crossAx val="34237291"/>
        <c:crosses val="autoZero"/>
        <c:crossBetween val="midCat"/>
      </c:valAx>
      <c:valAx>
        <c:axId val="34237291"/>
        <c:scaling>
          <c:orientation val="minMax"/>
          <c:min val="190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Calibri"/>
                  </a:rPr>
                  <a:t>Y</a:t>
                </a:r>
                <a:r>
                  <a:rPr lang="ru-RU" sz="10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Calibri"/>
                  </a:rPr>
                  <a:t> пр.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endParaRPr lang="ru-RU"/>
          </a:p>
        </c:txPr>
        <c:crossAx val="3830953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ru-RU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Доверительные интервалы прогноза (</a:t>
            </a:r>
            <a:r>
              <a:rPr lang="en-US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y = 0.9</a:t>
            </a:r>
            <a:r>
              <a:rPr lang="ru-RU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 пр.</c:v>
          </c:tx>
          <c:spPr>
            <a:ln w="19080" cap="rnd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Лист1!$P$56:$P$64</c:f>
              <c:numCache>
                <c:formatCode>0.00</c:formatCode>
                <c:ptCount val="9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</c:numCache>
            </c:numRef>
          </c:xVal>
          <c:yVal>
            <c:numRef>
              <c:f>Лист1!$Q$56:$Q$64</c:f>
              <c:numCache>
                <c:formatCode>0.00</c:formatCode>
                <c:ptCount val="9"/>
                <c:pt idx="0">
                  <c:v>216.64726788094183</c:v>
                </c:pt>
                <c:pt idx="1">
                  <c:v>224.72589960017771</c:v>
                </c:pt>
                <c:pt idx="2">
                  <c:v>232.80453131941363</c:v>
                </c:pt>
                <c:pt idx="3">
                  <c:v>240.88316303864951</c:v>
                </c:pt>
                <c:pt idx="4">
                  <c:v>248.9617947578854</c:v>
                </c:pt>
                <c:pt idx="5">
                  <c:v>257.04042647712129</c:v>
                </c:pt>
                <c:pt idx="6">
                  <c:v>265.11905819635717</c:v>
                </c:pt>
                <c:pt idx="7">
                  <c:v>273.19768991559306</c:v>
                </c:pt>
                <c:pt idx="8">
                  <c:v>281.27632163482895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41-46D4-B4C6-E7C4E6FCCAFB}"/>
            </c:ext>
          </c:extLst>
        </c:ser>
        <c:ser>
          <c:idx val="1"/>
          <c:order val="1"/>
          <c:tx>
            <c:v>Нижняя граница</c:v>
          </c:tx>
          <c:spPr>
            <a:ln w="19080" cap="rnd">
              <a:solidFill>
                <a:srgbClr val="00B05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  <a:prstDash val="dash"/>
                    </a:ln>
                  </c:spPr>
                </c15:leaderLines>
              </c:ext>
            </c:extLst>
          </c:dLbls>
          <c:xVal>
            <c:numRef>
              <c:f>Лист1!$P$56:$P$64</c:f>
              <c:numCache>
                <c:formatCode>0.00</c:formatCode>
                <c:ptCount val="9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</c:numCache>
            </c:numRef>
          </c:xVal>
          <c:yVal>
            <c:numRef>
              <c:f>Лист1!$T$56:$T$64</c:f>
              <c:numCache>
                <c:formatCode>0.00</c:formatCode>
                <c:ptCount val="9"/>
                <c:pt idx="0">
                  <c:v>208.85084788963886</c:v>
                </c:pt>
                <c:pt idx="1">
                  <c:v>218.33297003858365</c:v>
                </c:pt>
                <c:pt idx="2">
                  <c:v>227.61804950023298</c:v>
                </c:pt>
                <c:pt idx="3">
                  <c:v>236.53870674075074</c:v>
                </c:pt>
                <c:pt idx="4">
                  <c:v>244.8637868307961</c:v>
                </c:pt>
                <c:pt idx="5">
                  <c:v>252.49535233041098</c:v>
                </c:pt>
                <c:pt idx="6">
                  <c:v>259.59942137767291</c:v>
                </c:pt>
                <c:pt idx="7">
                  <c:v>266.39917950494214</c:v>
                </c:pt>
                <c:pt idx="8">
                  <c:v>273.03509851081657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41-46D4-B4C6-E7C4E6FCCAFB}"/>
            </c:ext>
          </c:extLst>
        </c:ser>
        <c:ser>
          <c:idx val="2"/>
          <c:order val="2"/>
          <c:tx>
            <c:v>Верхняя граница</c:v>
          </c:tx>
          <c:spPr>
            <a:ln w="19080" cap="rnd">
              <a:solidFill>
                <a:srgbClr val="FF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  <a:prstDash val="dash"/>
                    </a:ln>
                  </c:spPr>
                </c15:leaderLines>
              </c:ext>
            </c:extLst>
          </c:dLbls>
          <c:xVal>
            <c:numRef>
              <c:f>Лист1!$P$56:$P$64</c:f>
              <c:numCache>
                <c:formatCode>0.00</c:formatCode>
                <c:ptCount val="9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</c:numCache>
            </c:numRef>
          </c:xVal>
          <c:yVal>
            <c:numRef>
              <c:f>Лист1!$U$56:$U$64</c:f>
              <c:numCache>
                <c:formatCode>0.00</c:formatCode>
                <c:ptCount val="9"/>
                <c:pt idx="0">
                  <c:v>224.44368787224479</c:v>
                </c:pt>
                <c:pt idx="1">
                  <c:v>231.11882916177177</c:v>
                </c:pt>
                <c:pt idx="2">
                  <c:v>237.99101313859427</c:v>
                </c:pt>
                <c:pt idx="3">
                  <c:v>245.22761933654829</c:v>
                </c:pt>
                <c:pt idx="4">
                  <c:v>253.0598026849747</c:v>
                </c:pt>
                <c:pt idx="5">
                  <c:v>261.58550062383159</c:v>
                </c:pt>
                <c:pt idx="6">
                  <c:v>270.63869501504143</c:v>
                </c:pt>
                <c:pt idx="7">
                  <c:v>279.99620032624398</c:v>
                </c:pt>
                <c:pt idx="8">
                  <c:v>289.51754475884132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B41-46D4-B4C6-E7C4E6FCC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29816"/>
        <c:axId val="21076040"/>
      </c:scatterChart>
      <c:valAx>
        <c:axId val="21529816"/>
        <c:scaling>
          <c:orientation val="minMax"/>
          <c:max val="20"/>
          <c:min val="12"/>
        </c:scaling>
        <c:delete val="0"/>
        <c:axPos val="b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Calibri"/>
                  </a:rPr>
                  <a:t>X </a:t>
                </a:r>
                <a:r>
                  <a:rPr lang="ru-RU" sz="10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Calibri"/>
                  </a:rPr>
                  <a:t>пр.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endParaRPr lang="ru-RU"/>
          </a:p>
        </c:txPr>
        <c:crossAx val="21076040"/>
        <c:crosses val="autoZero"/>
        <c:crossBetween val="midCat"/>
      </c:valAx>
      <c:valAx>
        <c:axId val="21076040"/>
        <c:scaling>
          <c:orientation val="minMax"/>
          <c:min val="190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Calibri"/>
                  </a:rPr>
                  <a:t>Y</a:t>
                </a:r>
                <a:r>
                  <a:rPr lang="ru-RU" sz="10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Calibri"/>
                  </a:rPr>
                  <a:t> пр.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endParaRPr lang="ru-RU"/>
          </a:p>
        </c:txPr>
        <c:crossAx val="21529816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ru-RU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Доверительные интервалы прогноза (</a:t>
            </a:r>
            <a:r>
              <a:rPr lang="en-US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y = 0.9</a:t>
            </a:r>
            <a:r>
              <a:rPr lang="ru-RU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9)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 пр.</c:v>
          </c:tx>
          <c:spPr>
            <a:ln w="19080" cap="rnd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Лист1!$P$56:$P$64</c:f>
              <c:numCache>
                <c:formatCode>0.00</c:formatCode>
                <c:ptCount val="9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</c:numCache>
            </c:numRef>
          </c:xVal>
          <c:yVal>
            <c:numRef>
              <c:f>Лист1!$Q$56:$Q$64</c:f>
              <c:numCache>
                <c:formatCode>0.00</c:formatCode>
                <c:ptCount val="9"/>
                <c:pt idx="0">
                  <c:v>216.64726788094183</c:v>
                </c:pt>
                <c:pt idx="1">
                  <c:v>224.72589960017771</c:v>
                </c:pt>
                <c:pt idx="2">
                  <c:v>232.80453131941363</c:v>
                </c:pt>
                <c:pt idx="3">
                  <c:v>240.88316303864951</c:v>
                </c:pt>
                <c:pt idx="4">
                  <c:v>248.9617947578854</c:v>
                </c:pt>
                <c:pt idx="5">
                  <c:v>257.04042647712129</c:v>
                </c:pt>
                <c:pt idx="6">
                  <c:v>265.11905819635717</c:v>
                </c:pt>
                <c:pt idx="7">
                  <c:v>273.19768991559306</c:v>
                </c:pt>
                <c:pt idx="8">
                  <c:v>281.27632163482895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10-4EDD-A901-5CFAD6AAD81F}"/>
            </c:ext>
          </c:extLst>
        </c:ser>
        <c:ser>
          <c:idx val="1"/>
          <c:order val="1"/>
          <c:tx>
            <c:v>Нижняя граница</c:v>
          </c:tx>
          <c:spPr>
            <a:ln w="19080" cap="rnd">
              <a:solidFill>
                <a:srgbClr val="00B05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  <a:prstDash val="dash"/>
                    </a:ln>
                  </c:spPr>
                </c15:leaderLines>
              </c:ext>
            </c:extLst>
          </c:dLbls>
          <c:xVal>
            <c:numRef>
              <c:f>Лист1!$P$56:$P$64</c:f>
              <c:numCache>
                <c:formatCode>0.00</c:formatCode>
                <c:ptCount val="9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</c:numCache>
            </c:numRef>
          </c:xVal>
          <c:yVal>
            <c:numRef>
              <c:f>Лист1!$V$56:$V$64</c:f>
              <c:numCache>
                <c:formatCode>0.00</c:formatCode>
                <c:ptCount val="9"/>
                <c:pt idx="0">
                  <c:v>205.96551462423358</c:v>
                </c:pt>
                <c:pt idx="1">
                  <c:v>215.96704665990001</c:v>
                </c:pt>
                <c:pt idx="2">
                  <c:v>225.69861358734028</c:v>
                </c:pt>
                <c:pt idx="3">
                  <c:v>234.93089132156987</c:v>
                </c:pt>
                <c:pt idx="4">
                  <c:v>243.3471781043402</c:v>
                </c:pt>
                <c:pt idx="5">
                  <c:v>250.81329137886325</c:v>
                </c:pt>
                <c:pt idx="6">
                  <c:v>257.55669000305846</c:v>
                </c:pt>
                <c:pt idx="7">
                  <c:v>263.88315698884662</c:v>
                </c:pt>
                <c:pt idx="8">
                  <c:v>269.98515055343796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910-4EDD-A901-5CFAD6AAD81F}"/>
            </c:ext>
          </c:extLst>
        </c:ser>
        <c:ser>
          <c:idx val="2"/>
          <c:order val="2"/>
          <c:tx>
            <c:v>Верхняя граница</c:v>
          </c:tx>
          <c:spPr>
            <a:ln w="19080" cap="rnd">
              <a:solidFill>
                <a:srgbClr val="FF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  <a:prstDash val="dash"/>
                    </a:ln>
                  </c:spPr>
                </c15:leaderLines>
              </c:ext>
            </c:extLst>
          </c:dLbls>
          <c:xVal>
            <c:numRef>
              <c:f>Лист1!$P$56:$P$64</c:f>
              <c:numCache>
                <c:formatCode>0.00</c:formatCode>
                <c:ptCount val="9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</c:numCache>
            </c:numRef>
          </c:xVal>
          <c:yVal>
            <c:numRef>
              <c:f>Лист1!$W$56:$W$64</c:f>
              <c:numCache>
                <c:formatCode>0.00</c:formatCode>
                <c:ptCount val="9"/>
                <c:pt idx="0">
                  <c:v>227.32902113765007</c:v>
                </c:pt>
                <c:pt idx="1">
                  <c:v>233.48475254045542</c:v>
                </c:pt>
                <c:pt idx="2">
                  <c:v>239.91044905148698</c:v>
                </c:pt>
                <c:pt idx="3">
                  <c:v>246.83543475572915</c:v>
                </c:pt>
                <c:pt idx="4">
                  <c:v>254.5764114114306</c:v>
                </c:pt>
                <c:pt idx="5">
                  <c:v>263.26756157537932</c:v>
                </c:pt>
                <c:pt idx="6">
                  <c:v>272.68142638965588</c:v>
                </c:pt>
                <c:pt idx="7">
                  <c:v>282.5122228423395</c:v>
                </c:pt>
                <c:pt idx="8">
                  <c:v>292.56749271621993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910-4EDD-A901-5CFAD6AAD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21662"/>
        <c:axId val="47563171"/>
      </c:scatterChart>
      <c:valAx>
        <c:axId val="16221662"/>
        <c:scaling>
          <c:orientation val="minMax"/>
          <c:max val="20"/>
          <c:min val="12"/>
        </c:scaling>
        <c:delete val="0"/>
        <c:axPos val="b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Calibri"/>
                  </a:rPr>
                  <a:t>X </a:t>
                </a:r>
                <a:r>
                  <a:rPr lang="ru-RU" sz="10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Calibri"/>
                  </a:rPr>
                  <a:t>пр.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endParaRPr lang="ru-RU"/>
          </a:p>
        </c:txPr>
        <c:crossAx val="47563171"/>
        <c:crosses val="autoZero"/>
        <c:crossBetween val="midCat"/>
      </c:valAx>
      <c:valAx>
        <c:axId val="47563171"/>
        <c:scaling>
          <c:orientation val="minMax"/>
          <c:min val="190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Calibri"/>
                  </a:rPr>
                  <a:t>Y</a:t>
                </a:r>
                <a:r>
                  <a:rPr lang="ru-RU" sz="10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Calibri"/>
                  </a:rPr>
                  <a:t> пр.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endParaRPr lang="ru-RU"/>
          </a:p>
        </c:txPr>
        <c:crossAx val="1622166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ru-RU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График  остатков модели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noFill/>
                    </a:ln>
                  </c:spPr>
                </c15:leaderLines>
              </c:ext>
            </c:extLst>
          </c:dLbls>
          <c:xVal>
            <c:numRef>
              <c:f>Лист1!$C$4:$C$23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Лист1!$N$4:$N$23</c:f>
              <c:numCache>
                <c:formatCode>0.00</c:formatCode>
                <c:ptCount val="20"/>
                <c:pt idx="0">
                  <c:v>-10.804531319413627</c:v>
                </c:pt>
                <c:pt idx="1">
                  <c:v>-7.9617947578854</c:v>
                </c:pt>
                <c:pt idx="2">
                  <c:v>-14.040426477121287</c:v>
                </c:pt>
                <c:pt idx="3">
                  <c:v>11.80231008440694</c:v>
                </c:pt>
                <c:pt idx="4">
                  <c:v>-12.119058196357173</c:v>
                </c:pt>
                <c:pt idx="5">
                  <c:v>6.1168369613504865</c:v>
                </c:pt>
                <c:pt idx="6">
                  <c:v>13.195468680586373</c:v>
                </c:pt>
                <c:pt idx="7">
                  <c:v>10.880941803642827</c:v>
                </c:pt>
                <c:pt idx="8">
                  <c:v>3.9595735228787134</c:v>
                </c:pt>
                <c:pt idx="9">
                  <c:v>13.116836961350486</c:v>
                </c:pt>
                <c:pt idx="10">
                  <c:v>4.274100399822288</c:v>
                </c:pt>
                <c:pt idx="11">
                  <c:v>3.8205242114599969E-2</c:v>
                </c:pt>
                <c:pt idx="12">
                  <c:v>-5.0404264771212866</c:v>
                </c:pt>
                <c:pt idx="13">
                  <c:v>5.8023100844069404</c:v>
                </c:pt>
                <c:pt idx="14">
                  <c:v>-3.1190581963571731</c:v>
                </c:pt>
                <c:pt idx="15">
                  <c:v>-6.2763216348289461</c:v>
                </c:pt>
                <c:pt idx="16">
                  <c:v>-5.6472678809418255</c:v>
                </c:pt>
                <c:pt idx="17">
                  <c:v>-4.725899600177712</c:v>
                </c:pt>
                <c:pt idx="18">
                  <c:v>1.3527321190581745</c:v>
                </c:pt>
                <c:pt idx="19">
                  <c:v>-0.80453131941362699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B9-497B-ADC1-35FE963BB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802755"/>
        <c:axId val="21347689"/>
      </c:scatterChart>
      <c:valAx>
        <c:axId val="36802755"/>
        <c:scaling>
          <c:orientation val="minMax"/>
        </c:scaling>
        <c:delete val="0"/>
        <c:axPos val="b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ru-RU" sz="10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Calibri"/>
                  </a:rPr>
                  <a:t>Номер наблюдения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endParaRPr lang="ru-RU"/>
          </a:p>
        </c:txPr>
        <c:crossAx val="21347689"/>
        <c:crossesAt val="0"/>
        <c:crossBetween val="midCat"/>
      </c:valAx>
      <c:valAx>
        <c:axId val="21347689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ru-RU" sz="10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Calibri"/>
                  </a:rPr>
                  <a:t>Остаток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endParaRPr lang="ru-RU"/>
          </a:p>
        </c:txPr>
        <c:crossAx val="3680275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181080</xdr:colOff>
      <xdr:row>2</xdr:row>
      <xdr:rowOff>95400</xdr:rowOff>
    </xdr:from>
    <xdr:to>
      <xdr:col>21</xdr:col>
      <xdr:colOff>734680</xdr:colOff>
      <xdr:row>25</xdr:row>
      <xdr:rowOff>135921</xdr:rowOff>
    </xdr:to>
    <xdr:graphicFrame macro="">
      <xdr:nvGraphicFramePr>
        <xdr:cNvPr id="2" name="Диаграмма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155520</xdr:colOff>
      <xdr:row>2</xdr:row>
      <xdr:rowOff>3600</xdr:rowOff>
    </xdr:from>
    <xdr:to>
      <xdr:col>5</xdr:col>
      <xdr:colOff>516801</xdr:colOff>
      <xdr:row>2</xdr:row>
      <xdr:rowOff>142280</xdr:rowOff>
    </xdr:to>
    <xdr:sp macro="" textlink="">
      <xdr:nvSpPr>
        <xdr:cNvPr id="3" name="TextBox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409200" y="384480"/>
          <a:ext cx="358560" cy="1400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0" tIns="0" rIns="0" bIns="0" anchor="t">
          <a:spAutoFit/>
        </a:bodyPr>
        <a:lstStyle/>
        <a:p>
          <a:pPr>
            <a:lnSpc>
              <a:spcPct val="100000"/>
            </a:lnSpc>
          </a:pP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mbria Math"/>
            </a:rPr>
            <a:t>𝑥</a:t>
          </a:r>
          <a:r>
            <a:rPr lang="ru-RU" sz="1100" b="0" u="none" strike="noStrike">
              <a:solidFill>
                <a:schemeClr val="dk1"/>
              </a:solidFill>
              <a:effectLst/>
              <a:uFillTx/>
              <a:latin typeface="Cambria Math"/>
            </a:rPr>
            <a:t>_</a:t>
          </a: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mbria Math"/>
            </a:rPr>
            <a:t>𝑡</a:t>
          </a:r>
          <a:r>
            <a:rPr lang="ru-RU" sz="1100" b="0" u="none" strike="noStrike">
              <a:solidFill>
                <a:schemeClr val="dk1"/>
              </a:solidFill>
              <a:effectLst/>
              <a:uFillTx/>
              <a:latin typeface="Cambria Math"/>
            </a:rPr>
            <a:t>^</a:t>
          </a: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mbria Math"/>
            </a:rPr>
            <a:t>2</a:t>
          </a:r>
          <a:endParaRPr lang="ru-RU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573480</xdr:colOff>
      <xdr:row>1</xdr:row>
      <xdr:rowOff>170280</xdr:rowOff>
    </xdr:from>
    <xdr:to>
      <xdr:col>7</xdr:col>
      <xdr:colOff>9237</xdr:colOff>
      <xdr:row>2</xdr:row>
      <xdr:rowOff>121240</xdr:rowOff>
    </xdr:to>
    <xdr:sp macro="" textlink="">
      <xdr:nvSpPr>
        <xdr:cNvPr id="4" name="TextBox 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827160" y="360720"/>
          <a:ext cx="644040" cy="1400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0" tIns="0" rIns="0" bIns="0" anchor="t">
          <a:spAutoFit/>
        </a:bodyPr>
        <a:lstStyle/>
        <a:p>
          <a:pPr>
            <a:lnSpc>
              <a:spcPct val="100000"/>
            </a:lnSpc>
          </a:pP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mbria Math"/>
            </a:rPr>
            <a:t>𝑥</a:t>
          </a:r>
          <a:r>
            <a:rPr lang="ru-RU" sz="1100" b="0" u="none" strike="noStrike">
              <a:solidFill>
                <a:schemeClr val="dk1"/>
              </a:solidFill>
              <a:effectLst/>
              <a:uFillTx/>
              <a:latin typeface="Cambria Math"/>
            </a:rPr>
            <a:t>_</a:t>
          </a: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mbria Math"/>
            </a:rPr>
            <a:t>𝑡^ −𝑥 ̅</a:t>
          </a:r>
          <a:endParaRPr lang="ru-RU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476251</xdr:colOff>
      <xdr:row>1</xdr:row>
      <xdr:rowOff>162280</xdr:rowOff>
    </xdr:from>
    <xdr:to>
      <xdr:col>8</xdr:col>
      <xdr:colOff>76201</xdr:colOff>
      <xdr:row>3</xdr:row>
      <xdr:rowOff>132423</xdr:rowOff>
    </xdr:to>
    <xdr:sp macro="" textlink="">
      <xdr:nvSpPr>
        <xdr:cNvPr id="5" name="TextBox 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324351" y="343255"/>
          <a:ext cx="800100" cy="334814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wrap="square" lIns="0" tIns="0" rIns="0" bIns="0" anchor="t">
          <a:spAutoFit/>
        </a:bodyPr>
        <a:lstStyle/>
        <a:p>
          <a:pPr>
            <a:lnSpc>
              <a:spcPct val="100000"/>
            </a:lnSpc>
          </a:pP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mbria Math"/>
            </a:rPr>
            <a:t>(</a:t>
          </a:r>
          <a:r>
            <a:rPr lang="zh-CN" sz="1100" b="0" u="none" strike="noStrike">
              <a:solidFill>
                <a:schemeClr val="dk1"/>
              </a:solidFill>
              <a:effectLst/>
              <a:uFillTx/>
              <a:latin typeface="Cambria Math"/>
            </a:rPr>
            <a:t>〖</a:t>
          </a: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mbria Math"/>
            </a:rPr>
            <a:t>𝑥</a:t>
          </a:r>
          <a:r>
            <a:rPr lang="ru-RU" sz="1100" b="0" u="none" strike="noStrike">
              <a:solidFill>
                <a:schemeClr val="dk1"/>
              </a:solidFill>
              <a:effectLst/>
              <a:uFillTx/>
              <a:latin typeface="Cambria Math"/>
            </a:rPr>
            <a:t>_</a:t>
          </a: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mbria Math"/>
            </a:rPr>
            <a:t>𝑡^ −𝑥 ̅)</a:t>
          </a:r>
          <a:r>
            <a:rPr lang="zh-CN" sz="1100" b="0" u="none" strike="noStrike">
              <a:solidFill>
                <a:schemeClr val="dk1"/>
              </a:solidFill>
              <a:effectLst/>
              <a:uFillTx/>
              <a:latin typeface="Cambria Math"/>
            </a:rPr>
            <a:t>〗</a:t>
          </a:r>
          <a:r>
            <a:rPr lang="ru-RU" sz="1100" b="0" u="none" strike="noStrike">
              <a:solidFill>
                <a:schemeClr val="dk1"/>
              </a:solidFill>
              <a:effectLst/>
              <a:uFillTx/>
              <a:latin typeface="Cambria Math"/>
            </a:rPr>
            <a:t>^</a:t>
          </a: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mbria Math"/>
            </a:rPr>
            <a:t>2</a:t>
          </a:r>
          <a:endParaRPr lang="ru-RU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8</xdr:col>
      <xdr:colOff>4320</xdr:colOff>
      <xdr:row>1</xdr:row>
      <xdr:rowOff>166680</xdr:rowOff>
    </xdr:from>
    <xdr:to>
      <xdr:col>9</xdr:col>
      <xdr:colOff>47800</xdr:colOff>
      <xdr:row>2</xdr:row>
      <xdr:rowOff>116280</xdr:rowOff>
    </xdr:to>
    <xdr:sp macro="" textlink="">
      <xdr:nvSpPr>
        <xdr:cNvPr id="6" name="TextBox 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064120" y="357120"/>
          <a:ext cx="644040" cy="1400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0" tIns="0" rIns="0" bIns="0" anchor="t">
          <a:spAutoFit/>
        </a:bodyPr>
        <a:lstStyle/>
        <a:p>
          <a:pPr>
            <a:lnSpc>
              <a:spcPct val="100000"/>
            </a:lnSpc>
          </a:pP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mbria Math"/>
            </a:rPr>
            <a:t>𝑦</a:t>
          </a:r>
          <a:r>
            <a:rPr lang="ru-RU" sz="1100" b="0" u="none" strike="noStrike">
              <a:solidFill>
                <a:schemeClr val="dk1"/>
              </a:solidFill>
              <a:effectLst/>
              <a:uFillTx/>
              <a:latin typeface="Cambria Math"/>
            </a:rPr>
            <a:t>_</a:t>
          </a: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mbria Math"/>
            </a:rPr>
            <a:t>𝑡^ −𝑦 ̅</a:t>
          </a:r>
          <a:endParaRPr lang="ru-RU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16200</xdr:colOff>
      <xdr:row>1</xdr:row>
      <xdr:rowOff>159480</xdr:rowOff>
    </xdr:from>
    <xdr:to>
      <xdr:col>10</xdr:col>
      <xdr:colOff>55599</xdr:colOff>
      <xdr:row>3</xdr:row>
      <xdr:rowOff>142597</xdr:rowOff>
    </xdr:to>
    <xdr:sp macro="" textlink="">
      <xdr:nvSpPr>
        <xdr:cNvPr id="7" name="TextBox 1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677920" y="349920"/>
          <a:ext cx="644040" cy="3711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0" tIns="0" rIns="0" bIns="0" anchor="t">
          <a:spAutoFit/>
        </a:bodyPr>
        <a:lstStyle/>
        <a:p>
          <a:pPr>
            <a:lnSpc>
              <a:spcPct val="100000"/>
            </a:lnSpc>
          </a:pP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mbria Math"/>
            </a:rPr>
            <a:t>(</a:t>
          </a:r>
          <a:r>
            <a:rPr lang="zh-CN" sz="1100" b="0" u="none" strike="noStrike">
              <a:solidFill>
                <a:schemeClr val="dk1"/>
              </a:solidFill>
              <a:effectLst/>
              <a:uFillTx/>
              <a:latin typeface="Cambria Math"/>
            </a:rPr>
            <a:t>〖</a:t>
          </a: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mbria Math"/>
            </a:rPr>
            <a:t>𝑦</a:t>
          </a:r>
          <a:r>
            <a:rPr lang="ru-RU" sz="1100" b="0" u="none" strike="noStrike">
              <a:solidFill>
                <a:schemeClr val="dk1"/>
              </a:solidFill>
              <a:effectLst/>
              <a:uFillTx/>
              <a:latin typeface="Cambria Math"/>
            </a:rPr>
            <a:t>_</a:t>
          </a: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mbria Math"/>
            </a:rPr>
            <a:t>𝑡^ −𝑦 ̅)</a:t>
          </a:r>
          <a:r>
            <a:rPr lang="zh-CN" sz="1100" b="0" u="none" strike="noStrike">
              <a:solidFill>
                <a:schemeClr val="dk1"/>
              </a:solidFill>
              <a:effectLst/>
              <a:uFillTx/>
              <a:latin typeface="Cambria Math"/>
            </a:rPr>
            <a:t>〗</a:t>
          </a:r>
          <a:r>
            <a:rPr lang="ru-RU" sz="1100" b="0" u="none" strike="noStrike">
              <a:solidFill>
                <a:schemeClr val="dk1"/>
              </a:solidFill>
              <a:effectLst/>
              <a:uFillTx/>
              <a:latin typeface="Cambria Math"/>
            </a:rPr>
            <a:t>^</a:t>
          </a: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mbria Math"/>
            </a:rPr>
            <a:t>2</a:t>
          </a:r>
          <a:endParaRPr lang="ru-RU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10</xdr:col>
      <xdr:colOff>12600</xdr:colOff>
      <xdr:row>1</xdr:row>
      <xdr:rowOff>174960</xdr:rowOff>
    </xdr:from>
    <xdr:to>
      <xdr:col>11</xdr:col>
      <xdr:colOff>617637</xdr:colOff>
      <xdr:row>2</xdr:row>
      <xdr:rowOff>131241</xdr:rowOff>
    </xdr:to>
    <xdr:sp macro="" textlink="">
      <xdr:nvSpPr>
        <xdr:cNvPr id="8" name="TextBox 1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276240" y="365400"/>
          <a:ext cx="1434600" cy="1440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0" tIns="0" rIns="0" bIns="0" anchor="t">
          <a:spAutoFit/>
        </a:bodyPr>
        <a:lstStyle/>
        <a:p>
          <a:pPr>
            <a:lnSpc>
              <a:spcPct val="100000"/>
            </a:lnSpc>
          </a:pPr>
          <a:r>
            <a:rPr lang="ru-RU" sz="1100" b="0" u="none" strike="noStrike">
              <a:solidFill>
                <a:schemeClr val="dk1"/>
              </a:solidFill>
              <a:effectLst/>
              <a:uFillTx/>
              <a:latin typeface="Cambria Math"/>
            </a:rPr>
            <a:t>(</a:t>
          </a: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mbria Math"/>
            </a:rPr>
            <a:t>𝑥</a:t>
          </a:r>
          <a:r>
            <a:rPr lang="ru-RU" sz="1100" b="0" u="none" strike="noStrike">
              <a:solidFill>
                <a:schemeClr val="dk1"/>
              </a:solidFill>
              <a:effectLst/>
              <a:uFillTx/>
              <a:latin typeface="Cambria Math"/>
            </a:rPr>
            <a:t>_</a:t>
          </a: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mbria Math"/>
            </a:rPr>
            <a:t>𝑡</a:t>
          </a:r>
          <a:r>
            <a:rPr lang="ru-RU" sz="1100" b="0" u="none" strike="noStrike">
              <a:solidFill>
                <a:schemeClr val="dk1"/>
              </a:solidFill>
              <a:effectLst/>
              <a:uFillTx/>
              <a:latin typeface="Cambria Math"/>
            </a:rPr>
            <a:t>^ </a:t>
          </a: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mbria Math"/>
            </a:rPr>
            <a:t>−𝑥 ̅</a:t>
          </a:r>
          <a:r>
            <a:rPr lang="ru-RU" sz="1100" b="0" u="none" strike="noStrike">
              <a:solidFill>
                <a:schemeClr val="dk1"/>
              </a:solidFill>
              <a:effectLst/>
              <a:uFillTx/>
              <a:latin typeface="Cambria Math"/>
            </a:rPr>
            <a:t> )</a:t>
          </a:r>
          <a:r>
            <a:rPr lang="ru-RU" sz="1100" b="0" u="none" strike="noStrike">
              <a:solidFill>
                <a:schemeClr val="dk1"/>
              </a:solidFill>
              <a:effectLst/>
              <a:uFillTx/>
              <a:latin typeface="Cambria Math"/>
              <a:ea typeface="Cambria Math"/>
            </a:rPr>
            <a:t>∙(</a:t>
          </a: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libri"/>
              <a:ea typeface="Cambria Math"/>
            </a:rPr>
            <a:t>𝑦</a:t>
          </a:r>
          <a:r>
            <a:rPr lang="ru-RU" sz="1100" b="0" u="none" strike="noStrike">
              <a:solidFill>
                <a:schemeClr val="dk1"/>
              </a:solidFill>
              <a:effectLst/>
              <a:uFillTx/>
              <a:latin typeface="Calibri"/>
              <a:ea typeface="Cambria Math"/>
            </a:rPr>
            <a:t>_</a:t>
          </a:r>
          <a:r>
            <a:rPr lang="en-US" sz="1100" b="0" u="none" strike="noStrike">
              <a:solidFill>
                <a:schemeClr val="dk1"/>
              </a:solidFill>
              <a:effectLst/>
              <a:uFillTx/>
              <a:latin typeface="Calibri"/>
              <a:ea typeface="Cambria Math"/>
            </a:rPr>
            <a:t>𝑡^ −𝑦 ̅</a:t>
          </a:r>
          <a:r>
            <a:rPr lang="ru-RU" sz="1100" b="0" u="none" strike="noStrike">
              <a:solidFill>
                <a:schemeClr val="dk1"/>
              </a:solidFill>
              <a:effectLst/>
              <a:uFillTx/>
              <a:latin typeface="Cambria Math"/>
              <a:ea typeface="Cambria Math"/>
            </a:rPr>
            <a:t>)</a:t>
          </a:r>
          <a:endParaRPr lang="ru-RU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11</xdr:col>
      <xdr:colOff>91080</xdr:colOff>
      <xdr:row>67</xdr:row>
      <xdr:rowOff>11520</xdr:rowOff>
    </xdr:from>
    <xdr:to>
      <xdr:col>17</xdr:col>
      <xdr:colOff>896961</xdr:colOff>
      <xdr:row>81</xdr:row>
      <xdr:rowOff>83397</xdr:rowOff>
    </xdr:to>
    <xdr:graphicFrame macro="">
      <xdr:nvGraphicFramePr>
        <xdr:cNvPr id="9" name="Диаграмма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513360</xdr:colOff>
      <xdr:row>66</xdr:row>
      <xdr:rowOff>165600</xdr:rowOff>
    </xdr:from>
    <xdr:to>
      <xdr:col>22</xdr:col>
      <xdr:colOff>477159</xdr:colOff>
      <xdr:row>81</xdr:row>
      <xdr:rowOff>47037</xdr:rowOff>
    </xdr:to>
    <xdr:graphicFrame macro="">
      <xdr:nvGraphicFramePr>
        <xdr:cNvPr id="10" name="Диаграмма 1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22</xdr:col>
      <xdr:colOff>1159560</xdr:colOff>
      <xdr:row>66</xdr:row>
      <xdr:rowOff>140760</xdr:rowOff>
    </xdr:from>
    <xdr:to>
      <xdr:col>30</xdr:col>
      <xdr:colOff>254960</xdr:colOff>
      <xdr:row>81</xdr:row>
      <xdr:rowOff>30363</xdr:rowOff>
    </xdr:to>
    <xdr:graphicFrame macro="">
      <xdr:nvGraphicFramePr>
        <xdr:cNvPr id="11" name="Диаграмма 1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688680</xdr:colOff>
      <xdr:row>66</xdr:row>
      <xdr:rowOff>21240</xdr:rowOff>
    </xdr:from>
    <xdr:to>
      <xdr:col>9</xdr:col>
      <xdr:colOff>543203</xdr:colOff>
      <xdr:row>82</xdr:row>
      <xdr:rowOff>131241</xdr:rowOff>
    </xdr:to>
    <xdr:graphicFrame macro="">
      <xdr:nvGraphicFramePr>
        <xdr:cNvPr id="12" name="Диаграмма 18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X64"/>
  <sheetViews>
    <sheetView tabSelected="1" zoomScaleNormal="100" workbookViewId="0">
      <selection activeCell="D27" sqref="D27"/>
    </sheetView>
  </sheetViews>
  <sheetFormatPr defaultColWidth="8.53515625" defaultRowHeight="14.6" x14ac:dyDescent="0.4"/>
  <cols>
    <col min="2" max="2" width="12" customWidth="1"/>
    <col min="11" max="11" width="11.69140625" customWidth="1"/>
    <col min="12" max="12" width="10.53515625" customWidth="1"/>
    <col min="18" max="18" width="17" customWidth="1"/>
    <col min="19" max="19" width="17.69140625" customWidth="1"/>
    <col min="20" max="20" width="16.84375" customWidth="1"/>
    <col min="21" max="21" width="16.53515625" customWidth="1"/>
    <col min="22" max="22" width="17.84375" customWidth="1"/>
    <col min="23" max="23" width="17.69140625" customWidth="1"/>
  </cols>
  <sheetData>
    <row r="3" spans="3:16" x14ac:dyDescent="0.4">
      <c r="C3" t="s">
        <v>0</v>
      </c>
      <c r="D3" t="s">
        <v>1</v>
      </c>
      <c r="E3" t="s">
        <v>2</v>
      </c>
      <c r="K3" s="12"/>
      <c r="L3" s="12"/>
      <c r="M3" t="s">
        <v>3</v>
      </c>
      <c r="N3" t="s">
        <v>4</v>
      </c>
      <c r="O3" t="s">
        <v>5</v>
      </c>
      <c r="P3" t="s">
        <v>6</v>
      </c>
    </row>
    <row r="4" spans="3:16" x14ac:dyDescent="0.4">
      <c r="C4" s="13">
        <v>1</v>
      </c>
      <c r="D4" s="13">
        <v>14</v>
      </c>
      <c r="E4" s="13">
        <v>222</v>
      </c>
      <c r="F4" s="14">
        <f t="shared" ref="F4:F23" si="0">D4^2</f>
        <v>196</v>
      </c>
      <c r="G4" s="14">
        <f t="shared" ref="G4:G23" si="1">D4-$D$25</f>
        <v>-1.8499999999999996</v>
      </c>
      <c r="H4" s="14">
        <f t="shared" ref="H4:H23" si="2">G4^2</f>
        <v>3.4224999999999985</v>
      </c>
      <c r="I4" s="14">
        <f t="shared" ref="I4:I23" si="3">E4-$E$25</f>
        <v>-25.75</v>
      </c>
      <c r="J4" s="14">
        <f t="shared" ref="J4:J23" si="4">I4^2</f>
        <v>663.0625</v>
      </c>
      <c r="K4" s="11">
        <f t="shared" ref="K4:K23" si="5">G4*I4</f>
        <v>47.637499999999989</v>
      </c>
      <c r="L4" s="11"/>
      <c r="M4" s="15">
        <f t="shared" ref="M4:M23" si="6">$N$30+$N$31*D4</f>
        <v>232.80453131941363</v>
      </c>
      <c r="N4" s="15">
        <f t="shared" ref="N4:N23" si="7">E4-M4</f>
        <v>-10.804531319413627</v>
      </c>
      <c r="O4" s="15">
        <f t="shared" ref="O4:O23" si="8">N4^2</f>
        <v>116.73789703218998</v>
      </c>
      <c r="P4" s="15">
        <f t="shared" ref="P4:P23" si="9">O4/($C$23-2)</f>
        <v>6.485438724010554</v>
      </c>
    </row>
    <row r="5" spans="3:16" x14ac:dyDescent="0.4">
      <c r="C5" s="16">
        <v>2</v>
      </c>
      <c r="D5" s="16">
        <v>16</v>
      </c>
      <c r="E5" s="16">
        <v>241</v>
      </c>
      <c r="F5" s="14">
        <f t="shared" si="0"/>
        <v>256</v>
      </c>
      <c r="G5" s="17">
        <f t="shared" si="1"/>
        <v>0.15000000000000036</v>
      </c>
      <c r="H5" s="14">
        <f t="shared" si="2"/>
        <v>2.2500000000000107E-2</v>
      </c>
      <c r="I5" s="17">
        <f t="shared" si="3"/>
        <v>-6.75</v>
      </c>
      <c r="J5" s="14">
        <f t="shared" si="4"/>
        <v>45.5625</v>
      </c>
      <c r="K5" s="10">
        <f t="shared" si="5"/>
        <v>-1.0125000000000024</v>
      </c>
      <c r="L5" s="10"/>
      <c r="M5" s="18">
        <f t="shared" si="6"/>
        <v>248.9617947578854</v>
      </c>
      <c r="N5" s="18">
        <f t="shared" si="7"/>
        <v>-7.9617947578854</v>
      </c>
      <c r="O5" s="15">
        <f t="shared" si="8"/>
        <v>63.390175766691435</v>
      </c>
      <c r="P5" s="18">
        <f t="shared" si="9"/>
        <v>3.5216764314828577</v>
      </c>
    </row>
    <row r="6" spans="3:16" x14ac:dyDescent="0.4">
      <c r="C6" s="16">
        <v>3</v>
      </c>
      <c r="D6" s="16">
        <v>17</v>
      </c>
      <c r="E6" s="16">
        <v>243</v>
      </c>
      <c r="F6" s="14">
        <f t="shared" si="0"/>
        <v>289</v>
      </c>
      <c r="G6" s="17">
        <f t="shared" si="1"/>
        <v>1.1500000000000004</v>
      </c>
      <c r="H6" s="14">
        <f t="shared" si="2"/>
        <v>1.3225000000000009</v>
      </c>
      <c r="I6" s="17">
        <f t="shared" si="3"/>
        <v>-4.75</v>
      </c>
      <c r="J6" s="14">
        <f t="shared" si="4"/>
        <v>22.5625</v>
      </c>
      <c r="K6" s="10">
        <f t="shared" si="5"/>
        <v>-5.4625000000000021</v>
      </c>
      <c r="L6" s="10"/>
      <c r="M6" s="18">
        <f t="shared" si="6"/>
        <v>257.04042647712129</v>
      </c>
      <c r="N6" s="18">
        <f t="shared" si="7"/>
        <v>-14.040426477121287</v>
      </c>
      <c r="O6" s="15">
        <f t="shared" si="8"/>
        <v>197.13357565944847</v>
      </c>
      <c r="P6" s="18">
        <f t="shared" si="9"/>
        <v>10.951865314413803</v>
      </c>
    </row>
    <row r="7" spans="3:16" x14ac:dyDescent="0.4">
      <c r="C7" s="16">
        <v>4</v>
      </c>
      <c r="D7" s="16">
        <v>19</v>
      </c>
      <c r="E7" s="16">
        <v>285</v>
      </c>
      <c r="F7" s="14">
        <f t="shared" si="0"/>
        <v>361</v>
      </c>
      <c r="G7" s="17">
        <f t="shared" si="1"/>
        <v>3.1500000000000004</v>
      </c>
      <c r="H7" s="14">
        <f t="shared" si="2"/>
        <v>9.922500000000003</v>
      </c>
      <c r="I7" s="17">
        <f t="shared" si="3"/>
        <v>37.25</v>
      </c>
      <c r="J7" s="14">
        <f t="shared" si="4"/>
        <v>1387.5625</v>
      </c>
      <c r="K7" s="10">
        <f t="shared" si="5"/>
        <v>117.33750000000002</v>
      </c>
      <c r="L7" s="10"/>
      <c r="M7" s="18">
        <f t="shared" si="6"/>
        <v>273.19768991559306</v>
      </c>
      <c r="N7" s="18">
        <f t="shared" si="7"/>
        <v>11.80231008440694</v>
      </c>
      <c r="O7" s="15">
        <f t="shared" si="8"/>
        <v>139.29452332849377</v>
      </c>
      <c r="P7" s="18">
        <f t="shared" si="9"/>
        <v>7.7385846293607647</v>
      </c>
    </row>
    <row r="8" spans="3:16" x14ac:dyDescent="0.4">
      <c r="C8" s="16">
        <v>5</v>
      </c>
      <c r="D8" s="16">
        <v>18</v>
      </c>
      <c r="E8" s="16">
        <v>253</v>
      </c>
      <c r="F8" s="14">
        <f t="shared" si="0"/>
        <v>324</v>
      </c>
      <c r="G8" s="17">
        <f t="shared" si="1"/>
        <v>2.1500000000000004</v>
      </c>
      <c r="H8" s="14">
        <f t="shared" si="2"/>
        <v>4.6225000000000014</v>
      </c>
      <c r="I8" s="17">
        <f t="shared" si="3"/>
        <v>5.25</v>
      </c>
      <c r="J8" s="14">
        <f t="shared" si="4"/>
        <v>27.5625</v>
      </c>
      <c r="K8" s="10">
        <f t="shared" si="5"/>
        <v>11.287500000000001</v>
      </c>
      <c r="L8" s="10"/>
      <c r="M8" s="18">
        <f t="shared" si="6"/>
        <v>265.11905819635717</v>
      </c>
      <c r="N8" s="18">
        <f t="shared" si="7"/>
        <v>-12.119058196357173</v>
      </c>
      <c r="O8" s="15">
        <f t="shared" si="8"/>
        <v>146.87157156669198</v>
      </c>
      <c r="P8" s="18">
        <f t="shared" si="9"/>
        <v>8.1595317537051102</v>
      </c>
    </row>
    <row r="9" spans="3:16" x14ac:dyDescent="0.4">
      <c r="C9" s="16">
        <v>6</v>
      </c>
      <c r="D9" s="16">
        <v>15</v>
      </c>
      <c r="E9" s="16">
        <v>247</v>
      </c>
      <c r="F9" s="14">
        <f t="shared" si="0"/>
        <v>225</v>
      </c>
      <c r="G9" s="17">
        <f t="shared" si="1"/>
        <v>-0.84999999999999964</v>
      </c>
      <c r="H9" s="14">
        <f t="shared" si="2"/>
        <v>0.72249999999999936</v>
      </c>
      <c r="I9" s="17">
        <f t="shared" si="3"/>
        <v>-0.75</v>
      </c>
      <c r="J9" s="14">
        <f t="shared" si="4"/>
        <v>0.5625</v>
      </c>
      <c r="K9" s="10">
        <f t="shared" si="5"/>
        <v>0.63749999999999973</v>
      </c>
      <c r="L9" s="10"/>
      <c r="M9" s="18">
        <f t="shared" si="6"/>
        <v>240.88316303864951</v>
      </c>
      <c r="N9" s="18">
        <f t="shared" si="7"/>
        <v>6.1168369613504865</v>
      </c>
      <c r="O9" s="15">
        <f t="shared" si="8"/>
        <v>37.415694411743452</v>
      </c>
      <c r="P9" s="18">
        <f t="shared" si="9"/>
        <v>2.0786496895413027</v>
      </c>
    </row>
    <row r="10" spans="3:16" x14ac:dyDescent="0.4">
      <c r="C10" s="16">
        <v>7</v>
      </c>
      <c r="D10" s="16">
        <v>14</v>
      </c>
      <c r="E10" s="16">
        <v>246</v>
      </c>
      <c r="F10" s="14">
        <f t="shared" si="0"/>
        <v>196</v>
      </c>
      <c r="G10" s="17">
        <f t="shared" si="1"/>
        <v>-1.8499999999999996</v>
      </c>
      <c r="H10" s="14">
        <f t="shared" si="2"/>
        <v>3.4224999999999985</v>
      </c>
      <c r="I10" s="17">
        <f t="shared" si="3"/>
        <v>-1.75</v>
      </c>
      <c r="J10" s="14">
        <f t="shared" si="4"/>
        <v>3.0625</v>
      </c>
      <c r="K10" s="10">
        <f t="shared" si="5"/>
        <v>3.2374999999999994</v>
      </c>
      <c r="L10" s="10"/>
      <c r="M10" s="18">
        <f t="shared" si="6"/>
        <v>232.80453131941363</v>
      </c>
      <c r="N10" s="18">
        <f t="shared" si="7"/>
        <v>13.195468680586373</v>
      </c>
      <c r="O10" s="15">
        <f t="shared" si="8"/>
        <v>174.12039370033588</v>
      </c>
      <c r="P10" s="18">
        <f t="shared" si="9"/>
        <v>9.6733552055742162</v>
      </c>
    </row>
    <row r="11" spans="3:16" x14ac:dyDescent="0.4">
      <c r="C11" s="16">
        <v>8</v>
      </c>
      <c r="D11" s="16">
        <v>18</v>
      </c>
      <c r="E11" s="16">
        <v>276</v>
      </c>
      <c r="F11" s="14">
        <f t="shared" si="0"/>
        <v>324</v>
      </c>
      <c r="G11" s="17">
        <f t="shared" si="1"/>
        <v>2.1500000000000004</v>
      </c>
      <c r="H11" s="14">
        <f t="shared" si="2"/>
        <v>4.6225000000000014</v>
      </c>
      <c r="I11" s="17">
        <f t="shared" si="3"/>
        <v>28.25</v>
      </c>
      <c r="J11" s="14">
        <f t="shared" si="4"/>
        <v>798.0625</v>
      </c>
      <c r="K11" s="10">
        <f t="shared" si="5"/>
        <v>60.737500000000011</v>
      </c>
      <c r="L11" s="10"/>
      <c r="M11" s="18">
        <f t="shared" si="6"/>
        <v>265.11905819635717</v>
      </c>
      <c r="N11" s="18">
        <f t="shared" si="7"/>
        <v>10.880941803642827</v>
      </c>
      <c r="O11" s="15">
        <f t="shared" si="8"/>
        <v>118.39489453426202</v>
      </c>
      <c r="P11" s="18">
        <f t="shared" si="9"/>
        <v>6.5774941407923349</v>
      </c>
    </row>
    <row r="12" spans="3:16" x14ac:dyDescent="0.4">
      <c r="C12" s="16">
        <v>9</v>
      </c>
      <c r="D12" s="16">
        <v>17</v>
      </c>
      <c r="E12" s="16">
        <v>261</v>
      </c>
      <c r="F12" s="14">
        <f t="shared" si="0"/>
        <v>289</v>
      </c>
      <c r="G12" s="17">
        <f t="shared" si="1"/>
        <v>1.1500000000000004</v>
      </c>
      <c r="H12" s="14">
        <f t="shared" si="2"/>
        <v>1.3225000000000009</v>
      </c>
      <c r="I12" s="17">
        <f t="shared" si="3"/>
        <v>13.25</v>
      </c>
      <c r="J12" s="14">
        <f t="shared" si="4"/>
        <v>175.5625</v>
      </c>
      <c r="K12" s="10">
        <f t="shared" si="5"/>
        <v>15.237500000000004</v>
      </c>
      <c r="L12" s="10"/>
      <c r="M12" s="18">
        <f t="shared" si="6"/>
        <v>257.04042647712129</v>
      </c>
      <c r="N12" s="18">
        <f t="shared" si="7"/>
        <v>3.9595735228787134</v>
      </c>
      <c r="O12" s="15">
        <f t="shared" si="8"/>
        <v>15.678222483082145</v>
      </c>
      <c r="P12" s="18">
        <f t="shared" si="9"/>
        <v>0.87101236017123029</v>
      </c>
    </row>
    <row r="13" spans="3:16" x14ac:dyDescent="0.4">
      <c r="C13" s="16">
        <v>10</v>
      </c>
      <c r="D13" s="16">
        <v>15</v>
      </c>
      <c r="E13" s="16">
        <v>254</v>
      </c>
      <c r="F13" s="14">
        <f t="shared" si="0"/>
        <v>225</v>
      </c>
      <c r="G13" s="17">
        <f t="shared" si="1"/>
        <v>-0.84999999999999964</v>
      </c>
      <c r="H13" s="14">
        <f t="shared" si="2"/>
        <v>0.72249999999999936</v>
      </c>
      <c r="I13" s="17">
        <f t="shared" si="3"/>
        <v>6.25</v>
      </c>
      <c r="J13" s="14">
        <f t="shared" si="4"/>
        <v>39.0625</v>
      </c>
      <c r="K13" s="10">
        <f t="shared" si="5"/>
        <v>-5.3124999999999982</v>
      </c>
      <c r="L13" s="10"/>
      <c r="M13" s="18">
        <f t="shared" si="6"/>
        <v>240.88316303864951</v>
      </c>
      <c r="N13" s="18">
        <f t="shared" si="7"/>
        <v>13.116836961350486</v>
      </c>
      <c r="O13" s="15">
        <f t="shared" si="8"/>
        <v>172.05141187065027</v>
      </c>
      <c r="P13" s="18">
        <f t="shared" si="9"/>
        <v>9.5584117705916825</v>
      </c>
    </row>
    <row r="14" spans="3:16" x14ac:dyDescent="0.4">
      <c r="C14" s="16">
        <v>11</v>
      </c>
      <c r="D14" s="16">
        <v>13</v>
      </c>
      <c r="E14" s="16">
        <v>229</v>
      </c>
      <c r="F14" s="14">
        <f t="shared" si="0"/>
        <v>169</v>
      </c>
      <c r="G14" s="17">
        <f t="shared" si="1"/>
        <v>-2.8499999999999996</v>
      </c>
      <c r="H14" s="14">
        <f t="shared" si="2"/>
        <v>8.1224999999999987</v>
      </c>
      <c r="I14" s="17">
        <f t="shared" si="3"/>
        <v>-18.75</v>
      </c>
      <c r="J14" s="14">
        <f t="shared" si="4"/>
        <v>351.5625</v>
      </c>
      <c r="K14" s="10">
        <f t="shared" si="5"/>
        <v>53.437499999999993</v>
      </c>
      <c r="L14" s="10"/>
      <c r="M14" s="18">
        <f t="shared" si="6"/>
        <v>224.72589960017771</v>
      </c>
      <c r="N14" s="18">
        <f t="shared" si="7"/>
        <v>4.274100399822288</v>
      </c>
      <c r="O14" s="15">
        <f t="shared" si="8"/>
        <v>18.267934227761042</v>
      </c>
      <c r="P14" s="18">
        <f t="shared" si="9"/>
        <v>1.0148852348756134</v>
      </c>
    </row>
    <row r="15" spans="3:16" x14ac:dyDescent="0.4">
      <c r="C15" s="16">
        <v>12</v>
      </c>
      <c r="D15" s="16">
        <v>16</v>
      </c>
      <c r="E15" s="16">
        <v>249</v>
      </c>
      <c r="F15" s="14">
        <f t="shared" si="0"/>
        <v>256</v>
      </c>
      <c r="G15" s="17">
        <f t="shared" si="1"/>
        <v>0.15000000000000036</v>
      </c>
      <c r="H15" s="14">
        <f t="shared" si="2"/>
        <v>2.2500000000000107E-2</v>
      </c>
      <c r="I15" s="17">
        <f t="shared" si="3"/>
        <v>1.25</v>
      </c>
      <c r="J15" s="14">
        <f t="shared" si="4"/>
        <v>1.5625</v>
      </c>
      <c r="K15" s="10">
        <f t="shared" si="5"/>
        <v>0.18750000000000044</v>
      </c>
      <c r="L15" s="10"/>
      <c r="M15" s="18">
        <f t="shared" si="6"/>
        <v>248.9617947578854</v>
      </c>
      <c r="N15" s="18">
        <f t="shared" si="7"/>
        <v>3.8205242114599969E-2</v>
      </c>
      <c r="O15" s="15">
        <f t="shared" si="8"/>
        <v>1.4596405250352031E-3</v>
      </c>
      <c r="P15" s="18">
        <f t="shared" si="9"/>
        <v>8.1091140279733508E-5</v>
      </c>
    </row>
    <row r="16" spans="3:16" x14ac:dyDescent="0.4">
      <c r="C16" s="16">
        <v>13</v>
      </c>
      <c r="D16" s="16">
        <v>17</v>
      </c>
      <c r="E16" s="16">
        <v>252</v>
      </c>
      <c r="F16" s="14">
        <f t="shared" si="0"/>
        <v>289</v>
      </c>
      <c r="G16" s="17">
        <f t="shared" si="1"/>
        <v>1.1500000000000004</v>
      </c>
      <c r="H16" s="14">
        <f t="shared" si="2"/>
        <v>1.3225000000000009</v>
      </c>
      <c r="I16" s="17">
        <f t="shared" si="3"/>
        <v>4.25</v>
      </c>
      <c r="J16" s="14">
        <f t="shared" si="4"/>
        <v>18.0625</v>
      </c>
      <c r="K16" s="10">
        <f t="shared" si="5"/>
        <v>4.8875000000000011</v>
      </c>
      <c r="L16" s="10"/>
      <c r="M16" s="18">
        <f t="shared" si="6"/>
        <v>257.04042647712129</v>
      </c>
      <c r="N16" s="18">
        <f t="shared" si="7"/>
        <v>-5.0404264771212866</v>
      </c>
      <c r="O16" s="15">
        <f t="shared" si="8"/>
        <v>25.405899071265303</v>
      </c>
      <c r="P16" s="18">
        <f t="shared" si="9"/>
        <v>1.4114388372925168</v>
      </c>
    </row>
    <row r="17" spans="2:24" x14ac:dyDescent="0.4">
      <c r="C17" s="16">
        <v>14</v>
      </c>
      <c r="D17" s="16">
        <v>19</v>
      </c>
      <c r="E17" s="16">
        <v>279</v>
      </c>
      <c r="F17" s="14">
        <f t="shared" si="0"/>
        <v>361</v>
      </c>
      <c r="G17" s="17">
        <f t="shared" si="1"/>
        <v>3.1500000000000004</v>
      </c>
      <c r="H17" s="14">
        <f t="shared" si="2"/>
        <v>9.922500000000003</v>
      </c>
      <c r="I17" s="17">
        <f t="shared" si="3"/>
        <v>31.25</v>
      </c>
      <c r="J17" s="14">
        <f t="shared" si="4"/>
        <v>976.5625</v>
      </c>
      <c r="K17" s="10">
        <f t="shared" si="5"/>
        <v>98.437500000000014</v>
      </c>
      <c r="L17" s="10"/>
      <c r="M17" s="18">
        <f t="shared" si="6"/>
        <v>273.19768991559306</v>
      </c>
      <c r="N17" s="18">
        <f t="shared" si="7"/>
        <v>5.8023100844069404</v>
      </c>
      <c r="O17" s="15">
        <f t="shared" si="8"/>
        <v>33.666802315610475</v>
      </c>
      <c r="P17" s="18">
        <f t="shared" si="9"/>
        <v>1.8703779064228041</v>
      </c>
    </row>
    <row r="18" spans="2:24" x14ac:dyDescent="0.4">
      <c r="C18" s="16">
        <v>15</v>
      </c>
      <c r="D18" s="16">
        <v>18</v>
      </c>
      <c r="E18" s="16">
        <v>262</v>
      </c>
      <c r="F18" s="14">
        <f t="shared" si="0"/>
        <v>324</v>
      </c>
      <c r="G18" s="17">
        <f t="shared" si="1"/>
        <v>2.1500000000000004</v>
      </c>
      <c r="H18" s="14">
        <f t="shared" si="2"/>
        <v>4.6225000000000014</v>
      </c>
      <c r="I18" s="17">
        <f t="shared" si="3"/>
        <v>14.25</v>
      </c>
      <c r="J18" s="14">
        <f t="shared" si="4"/>
        <v>203.0625</v>
      </c>
      <c r="K18" s="10">
        <f t="shared" si="5"/>
        <v>30.637500000000006</v>
      </c>
      <c r="L18" s="10"/>
      <c r="M18" s="18">
        <f t="shared" si="6"/>
        <v>265.11905819635717</v>
      </c>
      <c r="N18" s="18">
        <f t="shared" si="7"/>
        <v>-3.1190581963571731</v>
      </c>
      <c r="O18" s="15">
        <f t="shared" si="8"/>
        <v>9.728524032262861</v>
      </c>
      <c r="P18" s="18">
        <f t="shared" si="9"/>
        <v>0.54047355734793667</v>
      </c>
    </row>
    <row r="19" spans="2:24" x14ac:dyDescent="0.4">
      <c r="C19" s="16">
        <v>16</v>
      </c>
      <c r="D19" s="16">
        <v>20</v>
      </c>
      <c r="E19" s="16">
        <v>275</v>
      </c>
      <c r="F19" s="14">
        <f t="shared" si="0"/>
        <v>400</v>
      </c>
      <c r="G19" s="17">
        <f t="shared" si="1"/>
        <v>4.1500000000000004</v>
      </c>
      <c r="H19" s="14">
        <f t="shared" si="2"/>
        <v>17.222500000000004</v>
      </c>
      <c r="I19" s="17">
        <f t="shared" si="3"/>
        <v>27.25</v>
      </c>
      <c r="J19" s="14">
        <f t="shared" si="4"/>
        <v>742.5625</v>
      </c>
      <c r="K19" s="10">
        <f t="shared" si="5"/>
        <v>113.08750000000001</v>
      </c>
      <c r="L19" s="10"/>
      <c r="M19" s="18">
        <f t="shared" si="6"/>
        <v>281.27632163482895</v>
      </c>
      <c r="N19" s="18">
        <f t="shared" si="7"/>
        <v>-6.2763216348289461</v>
      </c>
      <c r="O19" s="15">
        <f t="shared" si="8"/>
        <v>39.392213263821894</v>
      </c>
      <c r="P19" s="18">
        <f t="shared" si="9"/>
        <v>2.1884562924345499</v>
      </c>
    </row>
    <row r="20" spans="2:24" x14ac:dyDescent="0.4">
      <c r="C20" s="16">
        <v>17</v>
      </c>
      <c r="D20" s="16">
        <v>12</v>
      </c>
      <c r="E20" s="16">
        <v>211</v>
      </c>
      <c r="F20" s="14">
        <f t="shared" si="0"/>
        <v>144</v>
      </c>
      <c r="G20" s="17">
        <f t="shared" si="1"/>
        <v>-3.8499999999999996</v>
      </c>
      <c r="H20" s="14">
        <f t="shared" si="2"/>
        <v>14.822499999999998</v>
      </c>
      <c r="I20" s="17">
        <f t="shared" si="3"/>
        <v>-36.75</v>
      </c>
      <c r="J20" s="14">
        <f t="shared" si="4"/>
        <v>1350.5625</v>
      </c>
      <c r="K20" s="10">
        <f t="shared" si="5"/>
        <v>141.48749999999998</v>
      </c>
      <c r="L20" s="10"/>
      <c r="M20" s="18">
        <f t="shared" si="6"/>
        <v>216.64726788094183</v>
      </c>
      <c r="N20" s="18">
        <f t="shared" si="7"/>
        <v>-5.6472678809418255</v>
      </c>
      <c r="O20" s="15">
        <f t="shared" si="8"/>
        <v>31.891634519117176</v>
      </c>
      <c r="P20" s="18">
        <f t="shared" si="9"/>
        <v>1.7717574732842876</v>
      </c>
    </row>
    <row r="21" spans="2:24" x14ac:dyDescent="0.4">
      <c r="C21" s="16">
        <v>18</v>
      </c>
      <c r="D21" s="16">
        <v>13</v>
      </c>
      <c r="E21" s="16">
        <v>220</v>
      </c>
      <c r="F21" s="14">
        <f t="shared" si="0"/>
        <v>169</v>
      </c>
      <c r="G21" s="17">
        <f t="shared" si="1"/>
        <v>-2.8499999999999996</v>
      </c>
      <c r="H21" s="14">
        <f t="shared" si="2"/>
        <v>8.1224999999999987</v>
      </c>
      <c r="I21" s="17">
        <f t="shared" si="3"/>
        <v>-27.75</v>
      </c>
      <c r="J21" s="14">
        <f t="shared" si="4"/>
        <v>770.0625</v>
      </c>
      <c r="K21" s="10">
        <f t="shared" si="5"/>
        <v>79.087499999999991</v>
      </c>
      <c r="L21" s="10"/>
      <c r="M21" s="18">
        <f t="shared" si="6"/>
        <v>224.72589960017771</v>
      </c>
      <c r="N21" s="18">
        <f t="shared" si="7"/>
        <v>-4.725899600177712</v>
      </c>
      <c r="O21" s="15">
        <f t="shared" si="8"/>
        <v>22.334127030959859</v>
      </c>
      <c r="P21" s="18">
        <f t="shared" si="9"/>
        <v>1.2407848350533255</v>
      </c>
    </row>
    <row r="22" spans="2:24" x14ac:dyDescent="0.4">
      <c r="C22" s="16">
        <v>19</v>
      </c>
      <c r="D22" s="16">
        <v>12</v>
      </c>
      <c r="E22" s="16">
        <v>218</v>
      </c>
      <c r="F22" s="14">
        <f t="shared" si="0"/>
        <v>144</v>
      </c>
      <c r="G22" s="17">
        <f t="shared" si="1"/>
        <v>-3.8499999999999996</v>
      </c>
      <c r="H22" s="14">
        <f t="shared" si="2"/>
        <v>14.822499999999998</v>
      </c>
      <c r="I22" s="17">
        <f t="shared" si="3"/>
        <v>-29.75</v>
      </c>
      <c r="J22" s="14">
        <f t="shared" si="4"/>
        <v>885.0625</v>
      </c>
      <c r="K22" s="10">
        <f t="shared" si="5"/>
        <v>114.53749999999999</v>
      </c>
      <c r="L22" s="10"/>
      <c r="M22" s="18">
        <f t="shared" si="6"/>
        <v>216.64726788094183</v>
      </c>
      <c r="N22" s="18">
        <f t="shared" si="7"/>
        <v>1.3527321190581745</v>
      </c>
      <c r="O22" s="15">
        <f t="shared" si="8"/>
        <v>1.8298841859316191</v>
      </c>
      <c r="P22" s="18">
        <f t="shared" si="9"/>
        <v>0.10166023255175662</v>
      </c>
    </row>
    <row r="23" spans="2:24" x14ac:dyDescent="0.4">
      <c r="C23" s="16">
        <v>20</v>
      </c>
      <c r="D23" s="16">
        <v>14</v>
      </c>
      <c r="E23" s="16">
        <v>232</v>
      </c>
      <c r="F23" s="14">
        <f t="shared" si="0"/>
        <v>196</v>
      </c>
      <c r="G23" s="17">
        <f t="shared" si="1"/>
        <v>-1.8499999999999996</v>
      </c>
      <c r="H23" s="14">
        <f t="shared" si="2"/>
        <v>3.4224999999999985</v>
      </c>
      <c r="I23" s="17">
        <f t="shared" si="3"/>
        <v>-15.75</v>
      </c>
      <c r="J23" s="14">
        <f t="shared" si="4"/>
        <v>248.0625</v>
      </c>
      <c r="K23" s="10">
        <f t="shared" si="5"/>
        <v>29.137499999999996</v>
      </c>
      <c r="L23" s="10"/>
      <c r="M23" s="18">
        <f t="shared" si="6"/>
        <v>232.80453131941363</v>
      </c>
      <c r="N23" s="18">
        <f t="shared" si="7"/>
        <v>-0.80453131941362699</v>
      </c>
      <c r="O23" s="15">
        <f t="shared" si="8"/>
        <v>0.6472706439174315</v>
      </c>
      <c r="P23" s="18">
        <f t="shared" si="9"/>
        <v>3.5959480217635086E-2</v>
      </c>
    </row>
    <row r="24" spans="2:24" x14ac:dyDescent="0.4">
      <c r="B24" s="19" t="s">
        <v>7</v>
      </c>
      <c r="C24" s="20"/>
      <c r="D24" s="14">
        <f t="shared" ref="D24:J24" si="10">SUM(D4:D23)</f>
        <v>317</v>
      </c>
      <c r="E24" s="14">
        <f t="shared" si="10"/>
        <v>4955</v>
      </c>
      <c r="F24" s="14">
        <f t="shared" si="10"/>
        <v>5137</v>
      </c>
      <c r="G24" s="14">
        <f t="shared" si="10"/>
        <v>7.1054273576010019E-15</v>
      </c>
      <c r="H24" s="14">
        <f t="shared" si="10"/>
        <v>112.55</v>
      </c>
      <c r="I24" s="14">
        <f t="shared" si="10"/>
        <v>0</v>
      </c>
      <c r="J24" s="14">
        <f t="shared" si="10"/>
        <v>8709.75</v>
      </c>
      <c r="K24" s="11">
        <f>SUM(K4:L23)</f>
        <v>909.25</v>
      </c>
      <c r="L24" s="11"/>
      <c r="M24" s="14">
        <f>SUM(M4:M23)</f>
        <v>4954.9999999999991</v>
      </c>
      <c r="N24" s="14">
        <f>SUM(N4:N23)</f>
        <v>-2.2737367544323206E-13</v>
      </c>
      <c r="O24" s="14">
        <f>SUM(O4:O23)</f>
        <v>1364.2541092847623</v>
      </c>
      <c r="P24" s="14">
        <f>SUM(P4:P23)</f>
        <v>75.791894960264543</v>
      </c>
      <c r="Q24" s="21"/>
      <c r="R24" s="21"/>
      <c r="S24" s="21"/>
      <c r="T24" s="9"/>
      <c r="U24" s="9"/>
    </row>
    <row r="25" spans="2:24" x14ac:dyDescent="0.4">
      <c r="B25" s="22" t="s">
        <v>8</v>
      </c>
      <c r="C25" s="23"/>
      <c r="D25" s="24">
        <f t="shared" ref="D25:J25" si="11">AVERAGE(D4:D23)</f>
        <v>15.85</v>
      </c>
      <c r="E25" s="24">
        <f t="shared" si="11"/>
        <v>247.75</v>
      </c>
      <c r="F25" s="24">
        <f t="shared" si="11"/>
        <v>256.85000000000002</v>
      </c>
      <c r="G25" s="24">
        <f t="shared" si="11"/>
        <v>3.5527136788005011E-16</v>
      </c>
      <c r="H25" s="24">
        <f t="shared" si="11"/>
        <v>5.6274999999999995</v>
      </c>
      <c r="I25" s="24">
        <f t="shared" si="11"/>
        <v>0</v>
      </c>
      <c r="J25" s="24">
        <f t="shared" si="11"/>
        <v>435.48750000000001</v>
      </c>
      <c r="K25" s="8">
        <f>AVERAGE(K4:L24)</f>
        <v>86.595238095238102</v>
      </c>
      <c r="L25" s="8"/>
      <c r="M25" s="24">
        <f>AVERAGE(M4:M23)</f>
        <v>247.74999999999994</v>
      </c>
      <c r="N25" s="24">
        <f>AVERAGE(N4:N23)</f>
        <v>-1.1368683772161604E-14</v>
      </c>
      <c r="O25" s="24">
        <f>AVERAGE(O4:O23)</f>
        <v>68.212705464238113</v>
      </c>
      <c r="P25" s="24">
        <f>AVERAGE(P4:P23)</f>
        <v>3.789594748013227</v>
      </c>
      <c r="Q25" s="21"/>
      <c r="R25" s="21"/>
      <c r="S25" s="21"/>
      <c r="T25" s="9"/>
      <c r="U25" s="9"/>
    </row>
    <row r="29" spans="2:24" ht="34.5" customHeight="1" x14ac:dyDescent="0.4">
      <c r="B29" s="25" t="s">
        <v>9</v>
      </c>
      <c r="C29" s="7" t="s">
        <v>10</v>
      </c>
      <c r="D29" s="7"/>
      <c r="E29" s="7" t="s">
        <v>11</v>
      </c>
      <c r="F29" s="7"/>
      <c r="G29" s="7"/>
      <c r="H29" s="7"/>
      <c r="I29" s="7"/>
      <c r="J29" s="7"/>
      <c r="K29" s="7"/>
      <c r="L29" s="7" t="s">
        <v>12</v>
      </c>
      <c r="M29" s="7"/>
      <c r="N29" s="7" t="s">
        <v>13</v>
      </c>
      <c r="O29" s="7"/>
      <c r="P29" s="7" t="s">
        <v>14</v>
      </c>
      <c r="Q29" s="7"/>
      <c r="R29" s="7" t="s">
        <v>15</v>
      </c>
      <c r="S29" s="7"/>
      <c r="T29" s="7" t="s">
        <v>16</v>
      </c>
      <c r="U29" s="7"/>
      <c r="V29" s="7"/>
      <c r="W29" s="7"/>
      <c r="X29" s="7"/>
    </row>
    <row r="30" spans="2:24" ht="39.75" customHeight="1" x14ac:dyDescent="0.4">
      <c r="B30" s="25" t="s">
        <v>17</v>
      </c>
      <c r="C30" s="7" t="s">
        <v>18</v>
      </c>
      <c r="D30" s="7"/>
      <c r="E30" s="7" t="s">
        <v>19</v>
      </c>
      <c r="F30" s="7"/>
      <c r="G30" s="7"/>
      <c r="H30" s="7"/>
      <c r="I30" s="7"/>
      <c r="J30" s="7"/>
      <c r="K30" s="7"/>
      <c r="L30" s="7">
        <v>120</v>
      </c>
      <c r="M30" s="7"/>
      <c r="N30" s="6">
        <f>E25-N31*D25</f>
        <v>119.70368725011107</v>
      </c>
      <c r="O30" s="6"/>
      <c r="P30" s="6">
        <f>P31*F25</f>
        <v>172.96444442953228</v>
      </c>
      <c r="Q30" s="6"/>
      <c r="R30" s="6">
        <f>N30/SQRT(P30)</f>
        <v>9.1018381830462811</v>
      </c>
      <c r="S30" s="6"/>
      <c r="T30" s="7" t="s">
        <v>20</v>
      </c>
      <c r="U30" s="7"/>
      <c r="V30" s="7"/>
      <c r="W30" s="7"/>
      <c r="X30" s="7"/>
    </row>
    <row r="31" spans="2:24" ht="45.75" customHeight="1" x14ac:dyDescent="0.4">
      <c r="B31" s="25" t="s">
        <v>21</v>
      </c>
      <c r="C31" s="7" t="s">
        <v>18</v>
      </c>
      <c r="D31" s="7"/>
      <c r="E31" s="7" t="s">
        <v>22</v>
      </c>
      <c r="F31" s="7"/>
      <c r="G31" s="7"/>
      <c r="H31" s="7"/>
      <c r="I31" s="7"/>
      <c r="J31" s="7"/>
      <c r="K31" s="7"/>
      <c r="L31" s="7">
        <v>8.25</v>
      </c>
      <c r="M31" s="7"/>
      <c r="N31" s="6">
        <f>K24/H24</f>
        <v>8.0786317192358954</v>
      </c>
      <c r="O31" s="6"/>
      <c r="P31" s="6">
        <f>P24/(C23*(F25 - D25^2))</f>
        <v>0.67340644122846904</v>
      </c>
      <c r="Q31" s="6"/>
      <c r="R31" s="6">
        <f>N31/SQRT(P31)</f>
        <v>9.8446249909771932</v>
      </c>
      <c r="S31" s="6"/>
      <c r="T31" s="7" t="s">
        <v>20</v>
      </c>
      <c r="U31" s="7"/>
      <c r="V31" s="7"/>
      <c r="W31" s="7"/>
      <c r="X31" s="7"/>
    </row>
    <row r="33" spans="2:22" ht="15" customHeight="1" x14ac:dyDescent="0.4">
      <c r="B33" s="26"/>
      <c r="C33" s="7" t="s">
        <v>23</v>
      </c>
      <c r="D33" s="7"/>
      <c r="E33" s="7"/>
      <c r="F33" s="7"/>
    </row>
    <row r="34" spans="2:22" x14ac:dyDescent="0.4">
      <c r="B34" s="26"/>
      <c r="C34" s="7"/>
      <c r="D34" s="7"/>
      <c r="E34" s="7"/>
      <c r="F34" s="7"/>
      <c r="R34" s="5" t="s">
        <v>24</v>
      </c>
      <c r="S34" s="5"/>
      <c r="T34" s="21"/>
      <c r="U34" s="5" t="s">
        <v>25</v>
      </c>
      <c r="V34" s="5"/>
    </row>
    <row r="35" spans="2:22" x14ac:dyDescent="0.4">
      <c r="B35" s="26"/>
      <c r="C35" s="4" t="s">
        <v>17</v>
      </c>
      <c r="D35" s="4"/>
      <c r="E35" s="4" t="s">
        <v>21</v>
      </c>
      <c r="F35" s="4"/>
      <c r="R35" s="27" t="s">
        <v>26</v>
      </c>
      <c r="S35" s="27" t="s">
        <v>27</v>
      </c>
      <c r="T35" s="21"/>
      <c r="U35" s="27" t="s">
        <v>26</v>
      </c>
      <c r="V35" s="27" t="s">
        <v>27</v>
      </c>
    </row>
    <row r="36" spans="2:22" x14ac:dyDescent="0.4">
      <c r="B36" s="29" t="s">
        <v>26</v>
      </c>
      <c r="C36" s="28" t="s">
        <v>28</v>
      </c>
      <c r="D36" s="28" t="s">
        <v>29</v>
      </c>
      <c r="E36" s="28" t="s">
        <v>28</v>
      </c>
      <c r="F36" s="28" t="s">
        <v>29</v>
      </c>
      <c r="R36" s="27">
        <v>0.9</v>
      </c>
      <c r="S36" s="27">
        <f>TINV(1-R36, $C$23-2)</f>
        <v>1.7340636066175394</v>
      </c>
      <c r="T36" s="21"/>
      <c r="U36" s="27">
        <v>0.9</v>
      </c>
      <c r="V36" s="27">
        <f>FINV(1-U36,2,$C$23-2)</f>
        <v>2.6239469851339554</v>
      </c>
    </row>
    <row r="37" spans="2:22" x14ac:dyDescent="0.4">
      <c r="B37" s="29">
        <v>0.9</v>
      </c>
      <c r="C37" s="27">
        <f>$N$30-S36*SQRT($P$30)</f>
        <v>96.897985427704796</v>
      </c>
      <c r="D37" s="27">
        <f>$N$30+S36*SQRT($P$30)</f>
        <v>142.50938907251734</v>
      </c>
      <c r="E37" s="27">
        <f>$N$31-S36*SQRT($P$31)</f>
        <v>6.6556357931917374</v>
      </c>
      <c r="F37" s="27">
        <f>$N$31+S36*SQRT($P$31)</f>
        <v>9.5016276452800525</v>
      </c>
      <c r="R37" s="27">
        <v>0.95</v>
      </c>
      <c r="S37" s="27">
        <f>TINV(1-R37, $C$23-2)</f>
        <v>2.1009220402410378</v>
      </c>
      <c r="T37" s="21"/>
      <c r="U37" s="27">
        <v>0.95</v>
      </c>
      <c r="V37" s="27">
        <f>FINV(1-U37,2,$C$23-2)</f>
        <v>3.5545571456617857</v>
      </c>
    </row>
    <row r="38" spans="2:22" x14ac:dyDescent="0.4">
      <c r="B38" s="29">
        <v>0.95</v>
      </c>
      <c r="C38" s="27">
        <f>$N$30-S37*SQRT($P$30)</f>
        <v>92.07321197860847</v>
      </c>
      <c r="D38" s="27">
        <f>$N$30+S37*SQRT($P$30)</f>
        <v>147.33416252161368</v>
      </c>
      <c r="E38" s="27">
        <f>$N$31-S37*SQRT($P$31)</f>
        <v>6.3545868267703352</v>
      </c>
      <c r="F38" s="27">
        <f>$N$31+S37*SQRT($P$31)</f>
        <v>9.8026766117014557</v>
      </c>
      <c r="R38" s="27">
        <v>0.99</v>
      </c>
      <c r="S38" s="27">
        <f>TINV(1-R38, $C$23-2)</f>
        <v>2.8784404727386073</v>
      </c>
      <c r="T38" s="21"/>
      <c r="U38" s="27">
        <v>0.99</v>
      </c>
      <c r="V38" s="27">
        <f>FINV(1-U38,2,$C$23-2)</f>
        <v>6.0129048348005281</v>
      </c>
    </row>
    <row r="39" spans="2:22" x14ac:dyDescent="0.4">
      <c r="B39" s="29">
        <v>0.99</v>
      </c>
      <c r="C39" s="27">
        <f>$N$30-S38*SQRT($P$30)</f>
        <v>81.847604644889032</v>
      </c>
      <c r="D39" s="27">
        <f>$N$30+S38*SQRT($P$30)</f>
        <v>157.55976985533312</v>
      </c>
      <c r="E39" s="27">
        <f>$N$31-S38*SQRT($P$31)</f>
        <v>5.7165447401675067</v>
      </c>
      <c r="F39" s="27">
        <f>$N$31+S38*SQRT($P$31)</f>
        <v>10.440718698304284</v>
      </c>
    </row>
    <row r="43" spans="2:22" x14ac:dyDescent="0.4">
      <c r="N43" s="30" t="s">
        <v>30</v>
      </c>
    </row>
    <row r="44" spans="2:22" x14ac:dyDescent="0.4">
      <c r="N44" s="26">
        <f>1-O24/J24</f>
        <v>0.84336472237610005</v>
      </c>
    </row>
    <row r="45" spans="2:22" x14ac:dyDescent="0.4">
      <c r="N45" s="30" t="s">
        <v>31</v>
      </c>
    </row>
    <row r="46" spans="2:22" x14ac:dyDescent="0.4">
      <c r="N46" s="26">
        <f>N44/(1-N44)*(C23-2)</f>
        <v>96.916641212972181</v>
      </c>
    </row>
    <row r="53" spans="16:23" x14ac:dyDescent="0.4">
      <c r="P53" s="26"/>
      <c r="Q53" s="26"/>
      <c r="R53" s="4" t="s">
        <v>32</v>
      </c>
      <c r="S53" s="4"/>
      <c r="T53" s="4"/>
      <c r="U53" s="4"/>
      <c r="V53" s="4"/>
      <c r="W53" s="4"/>
    </row>
    <row r="54" spans="16:23" x14ac:dyDescent="0.4">
      <c r="P54" s="26"/>
      <c r="Q54" s="26"/>
      <c r="R54" s="3" t="s">
        <v>33</v>
      </c>
      <c r="S54" s="3"/>
      <c r="T54" s="2" t="s">
        <v>34</v>
      </c>
      <c r="U54" s="2"/>
      <c r="V54" s="1" t="s">
        <v>35</v>
      </c>
      <c r="W54" s="1"/>
    </row>
    <row r="55" spans="16:23" x14ac:dyDescent="0.4">
      <c r="P55" s="28" t="s">
        <v>36</v>
      </c>
      <c r="Q55" s="28" t="s">
        <v>37</v>
      </c>
      <c r="R55" s="28" t="s">
        <v>28</v>
      </c>
      <c r="S55" s="31" t="s">
        <v>29</v>
      </c>
      <c r="T55" s="33" t="s">
        <v>28</v>
      </c>
      <c r="U55" s="31" t="s">
        <v>29</v>
      </c>
      <c r="V55" s="32" t="s">
        <v>28</v>
      </c>
      <c r="W55" s="28" t="s">
        <v>29</v>
      </c>
    </row>
    <row r="56" spans="16:23" x14ac:dyDescent="0.4">
      <c r="P56" s="14">
        <v>12</v>
      </c>
      <c r="Q56" s="14">
        <f t="shared" ref="Q56:Q64" si="12">$N$30+P56*$N$31</f>
        <v>216.64726788094183</v>
      </c>
      <c r="R56" s="14">
        <f t="shared" ref="R56:R64" si="13">Q56-$S$36*SQRT($P$24)*SQRT(1/$C$23+(P56-$D$25)^2/$H$24)</f>
        <v>210.21224177817754</v>
      </c>
      <c r="S56" s="34">
        <f t="shared" ref="S56:S64" si="14">Q56+$S$36*SQRT($P$24)*SQRT(1/$C$23+(P56-$D$25)^2/$H$24)</f>
        <v>223.08229398370611</v>
      </c>
      <c r="T56" s="35">
        <f t="shared" ref="T56:T64" si="15">Q56-$S$37*SQRT($P$24)*SQRT(1/$C$23+(P56-$D$25)^2/$H$24)</f>
        <v>208.85084788963886</v>
      </c>
      <c r="U56" s="34">
        <f t="shared" ref="U56:U64" si="16">Q56+$S$37*SQRT($P$24)*SQRT(1/$C$23+(P56-$D$25)^2/$H$24)</f>
        <v>224.44368787224479</v>
      </c>
      <c r="V56" s="36">
        <f t="shared" ref="V56:V64" si="17">Q56-$S$38*SQRT($P$24)*SQRT(1/$C$23+(P56-$D$25)^2/$H$24)</f>
        <v>205.96551462423358</v>
      </c>
      <c r="W56" s="14">
        <f t="shared" ref="W56:W64" si="18">Q56+$S$38*SQRT($P$24)*SQRT(1/$C$23+(P56-$D$25)^2/$H$24)</f>
        <v>227.32902113765007</v>
      </c>
    </row>
    <row r="57" spans="16:23" x14ac:dyDescent="0.4">
      <c r="P57" s="17">
        <v>13</v>
      </c>
      <c r="Q57" s="17">
        <f t="shared" si="12"/>
        <v>224.72589960017771</v>
      </c>
      <c r="R57" s="17">
        <f t="shared" si="13"/>
        <v>219.4492894832417</v>
      </c>
      <c r="S57" s="37">
        <f t="shared" si="14"/>
        <v>230.00250971711372</v>
      </c>
      <c r="T57" s="38">
        <f t="shared" si="15"/>
        <v>218.33297003858365</v>
      </c>
      <c r="U57" s="37">
        <f t="shared" si="16"/>
        <v>231.11882916177177</v>
      </c>
      <c r="V57" s="39">
        <f t="shared" si="17"/>
        <v>215.96704665990001</v>
      </c>
      <c r="W57" s="17">
        <f t="shared" si="18"/>
        <v>233.48475254045542</v>
      </c>
    </row>
    <row r="58" spans="16:23" x14ac:dyDescent="0.4">
      <c r="P58" s="17">
        <v>14</v>
      </c>
      <c r="Q58" s="17">
        <f t="shared" si="12"/>
        <v>232.80453131941363</v>
      </c>
      <c r="R58" s="17">
        <f t="shared" si="13"/>
        <v>228.52370166616632</v>
      </c>
      <c r="S58" s="37">
        <f t="shared" si="14"/>
        <v>237.08536097266094</v>
      </c>
      <c r="T58" s="38">
        <f t="shared" si="15"/>
        <v>227.61804950023298</v>
      </c>
      <c r="U58" s="37">
        <f t="shared" si="16"/>
        <v>237.99101313859427</v>
      </c>
      <c r="V58" s="39">
        <f t="shared" si="17"/>
        <v>225.69861358734028</v>
      </c>
      <c r="W58" s="17">
        <f t="shared" si="18"/>
        <v>239.91044905148698</v>
      </c>
    </row>
    <row r="59" spans="16:23" x14ac:dyDescent="0.4">
      <c r="P59" s="17">
        <v>15</v>
      </c>
      <c r="Q59" s="17">
        <f t="shared" si="12"/>
        <v>240.88316303864951</v>
      </c>
      <c r="R59" s="17">
        <f t="shared" si="13"/>
        <v>237.29732624298131</v>
      </c>
      <c r="S59" s="37">
        <f t="shared" si="14"/>
        <v>244.46899983431771</v>
      </c>
      <c r="T59" s="38">
        <f t="shared" si="15"/>
        <v>236.53870674075074</v>
      </c>
      <c r="U59" s="37">
        <f t="shared" si="16"/>
        <v>245.22761933654829</v>
      </c>
      <c r="V59" s="39">
        <f t="shared" si="17"/>
        <v>234.93089132156987</v>
      </c>
      <c r="W59" s="17">
        <f t="shared" si="18"/>
        <v>246.83543475572915</v>
      </c>
    </row>
    <row r="60" spans="16:23" x14ac:dyDescent="0.4">
      <c r="P60" s="17">
        <v>16</v>
      </c>
      <c r="Q60" s="17">
        <f t="shared" si="12"/>
        <v>248.9617947578854</v>
      </c>
      <c r="R60" s="17">
        <f t="shared" si="13"/>
        <v>245.57937205495614</v>
      </c>
      <c r="S60" s="37">
        <f t="shared" si="14"/>
        <v>252.34421746081466</v>
      </c>
      <c r="T60" s="38">
        <f t="shared" si="15"/>
        <v>244.8637868307961</v>
      </c>
      <c r="U60" s="37">
        <f t="shared" si="16"/>
        <v>253.0598026849747</v>
      </c>
      <c r="V60" s="39">
        <f t="shared" si="17"/>
        <v>243.3471781043402</v>
      </c>
      <c r="W60" s="17">
        <f t="shared" si="18"/>
        <v>254.5764114114306</v>
      </c>
    </row>
    <row r="61" spans="16:23" x14ac:dyDescent="0.4">
      <c r="P61" s="17">
        <v>17</v>
      </c>
      <c r="Q61" s="17">
        <f t="shared" si="12"/>
        <v>257.04042647712129</v>
      </c>
      <c r="R61" s="17">
        <f t="shared" si="13"/>
        <v>253.28900328471937</v>
      </c>
      <c r="S61" s="37">
        <f t="shared" si="14"/>
        <v>260.79184966952323</v>
      </c>
      <c r="T61" s="38">
        <f t="shared" si="15"/>
        <v>252.49535233041098</v>
      </c>
      <c r="U61" s="37">
        <f t="shared" si="16"/>
        <v>261.58550062383159</v>
      </c>
      <c r="V61" s="39">
        <f t="shared" si="17"/>
        <v>250.81329137886325</v>
      </c>
      <c r="W61" s="17">
        <f t="shared" si="18"/>
        <v>263.26756157537932</v>
      </c>
    </row>
    <row r="62" spans="16:23" x14ac:dyDescent="0.4">
      <c r="P62" s="17">
        <v>18</v>
      </c>
      <c r="Q62" s="17">
        <f t="shared" si="12"/>
        <v>265.11905819635717</v>
      </c>
      <c r="R62" s="17">
        <f t="shared" si="13"/>
        <v>260.56324834444638</v>
      </c>
      <c r="S62" s="37">
        <f t="shared" si="14"/>
        <v>269.67486804826797</v>
      </c>
      <c r="T62" s="38">
        <f t="shared" si="15"/>
        <v>259.59942137767291</v>
      </c>
      <c r="U62" s="37">
        <f t="shared" si="16"/>
        <v>270.63869501504143</v>
      </c>
      <c r="V62" s="39">
        <f t="shared" si="17"/>
        <v>257.55669000305846</v>
      </c>
      <c r="W62" s="17">
        <f t="shared" si="18"/>
        <v>272.68142638965588</v>
      </c>
    </row>
    <row r="63" spans="16:23" x14ac:dyDescent="0.4">
      <c r="P63" s="17">
        <v>19</v>
      </c>
      <c r="Q63" s="17">
        <f t="shared" si="12"/>
        <v>273.19768991559306</v>
      </c>
      <c r="R63" s="17">
        <f t="shared" si="13"/>
        <v>267.58632059464117</v>
      </c>
      <c r="S63" s="37">
        <f t="shared" si="14"/>
        <v>278.80905923654495</v>
      </c>
      <c r="T63" s="38">
        <f t="shared" si="15"/>
        <v>266.39917950494214</v>
      </c>
      <c r="U63" s="37">
        <f t="shared" si="16"/>
        <v>279.99620032624398</v>
      </c>
      <c r="V63" s="39">
        <f t="shared" si="17"/>
        <v>263.88315698884662</v>
      </c>
      <c r="W63" s="17">
        <f t="shared" si="18"/>
        <v>282.5122228423395</v>
      </c>
    </row>
    <row r="64" spans="16:23" x14ac:dyDescent="0.4">
      <c r="P64" s="24">
        <v>20</v>
      </c>
      <c r="Q64" s="24">
        <f t="shared" si="12"/>
        <v>281.27632163482895</v>
      </c>
      <c r="R64" s="24">
        <f t="shared" si="13"/>
        <v>274.4741629541931</v>
      </c>
      <c r="S64" s="40">
        <f t="shared" si="14"/>
        <v>288.07848031546479</v>
      </c>
      <c r="T64" s="41">
        <f t="shared" si="15"/>
        <v>273.03509851081657</v>
      </c>
      <c r="U64" s="40">
        <f t="shared" si="16"/>
        <v>289.51754475884132</v>
      </c>
      <c r="V64" s="42">
        <f t="shared" si="17"/>
        <v>269.98515055343796</v>
      </c>
      <c r="W64" s="24">
        <f t="shared" si="18"/>
        <v>292.56749271621993</v>
      </c>
    </row>
  </sheetData>
  <mergeCells count="55">
    <mergeCell ref="C35:D35"/>
    <mergeCell ref="E35:F35"/>
    <mergeCell ref="R53:W53"/>
    <mergeCell ref="R54:S54"/>
    <mergeCell ref="T54:U54"/>
    <mergeCell ref="V54:W54"/>
    <mergeCell ref="R31:S31"/>
    <mergeCell ref="T31:X31"/>
    <mergeCell ref="C33:F34"/>
    <mergeCell ref="R34:S34"/>
    <mergeCell ref="U34:V34"/>
    <mergeCell ref="C31:D31"/>
    <mergeCell ref="E31:K31"/>
    <mergeCell ref="L31:M31"/>
    <mergeCell ref="N31:O31"/>
    <mergeCell ref="P31:Q31"/>
    <mergeCell ref="R29:S29"/>
    <mergeCell ref="T29:X29"/>
    <mergeCell ref="C30:D30"/>
    <mergeCell ref="E30:K30"/>
    <mergeCell ref="L30:M30"/>
    <mergeCell ref="N30:O30"/>
    <mergeCell ref="P30:Q30"/>
    <mergeCell ref="R30:S30"/>
    <mergeCell ref="T30:X30"/>
    <mergeCell ref="C29:D29"/>
    <mergeCell ref="E29:K29"/>
    <mergeCell ref="L29:M29"/>
    <mergeCell ref="N29:O29"/>
    <mergeCell ref="P29:Q29"/>
    <mergeCell ref="K23:L23"/>
    <mergeCell ref="K24:L24"/>
    <mergeCell ref="T24:U24"/>
    <mergeCell ref="K25:L25"/>
    <mergeCell ref="T25:U25"/>
    <mergeCell ref="K18:L18"/>
    <mergeCell ref="K19:L19"/>
    <mergeCell ref="K20:L20"/>
    <mergeCell ref="K21:L21"/>
    <mergeCell ref="K22:L22"/>
    <mergeCell ref="K13:L13"/>
    <mergeCell ref="K14:L14"/>
    <mergeCell ref="K15:L15"/>
    <mergeCell ref="K16:L16"/>
    <mergeCell ref="K17:L17"/>
    <mergeCell ref="K8:L8"/>
    <mergeCell ref="K9:L9"/>
    <mergeCell ref="K10:L10"/>
    <mergeCell ref="K11:L11"/>
    <mergeCell ref="K12:L12"/>
    <mergeCell ref="K3:L3"/>
    <mergeCell ref="K4:L4"/>
    <mergeCell ref="K5:L5"/>
    <mergeCell ref="K6:L6"/>
    <mergeCell ref="K7:L7"/>
  </mergeCells>
  <pageMargins left="0.7" right="0.7" top="0.75" bottom="0.75" header="0.511811023622047" footer="0.511811023622047"/>
  <pageSetup paperSize="9" scale="37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Саша Бражалович</cp:lastModifiedBy>
  <cp:revision>2</cp:revision>
  <cp:lastPrinted>2026-10-16T01:12:57Z</cp:lastPrinted>
  <dcterms:created xsi:type="dcterms:W3CDTF">2026-09-30T20:36:12Z</dcterms:created>
  <dcterms:modified xsi:type="dcterms:W3CDTF">2026-10-16T07:44:17Z</dcterms:modified>
  <dc:language>ru-RU</dc:language>
</cp:coreProperties>
</file>