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10755"/>
  </bookViews>
  <sheets>
    <sheet name="Лист1" sheetId="1" r:id="rId1"/>
  </sheets>
  <calcPr calcId="144525"/>
</workbook>
</file>

<file path=xl/sharedStrings.xml><?xml version="1.0" encoding="utf-8"?>
<sst xmlns="http://schemas.openxmlformats.org/spreadsheetml/2006/main" count="68" uniqueCount="37">
  <si>
    <t>t</t>
  </si>
  <si>
    <t>xt</t>
  </si>
  <si>
    <t>yt</t>
  </si>
  <si>
    <t>xₜ²</t>
  </si>
  <si>
    <t>xₜ−x̄</t>
  </si>
  <si>
    <t>(xₜ−x̄)²</t>
  </si>
  <si>
    <t>yₜ−ȳ</t>
  </si>
  <si>
    <t>(yₜ−ȳ)²</t>
  </si>
  <si>
    <t>(xₜ−x̄)(yₜ−ȳ)</t>
  </si>
  <si>
    <t>ŷₜ</t>
  </si>
  <si>
    <t>eₜ</t>
  </si>
  <si>
    <t>eₜ²</t>
  </si>
  <si>
    <t>sₜ²</t>
  </si>
  <si>
    <t>T</t>
  </si>
  <si>
    <t>Сумма</t>
  </si>
  <si>
    <t>Среднее</t>
  </si>
  <si>
    <t>â₁</t>
  </si>
  <si>
    <t>â₀</t>
  </si>
  <si>
    <t>s²_â₁</t>
  </si>
  <si>
    <t>s²_â₀</t>
  </si>
  <si>
    <t>t_â₁</t>
  </si>
  <si>
    <t>t_â₀</t>
  </si>
  <si>
    <t>γ</t>
  </si>
  <si>
    <t>Квантиль распределения Стьюдента</t>
  </si>
  <si>
    <t>статическая значимость  t_â₁</t>
  </si>
  <si>
    <t>статическаяя и значимость t_â₀</t>
  </si>
  <si>
    <t>гран</t>
  </si>
  <si>
    <t>левая гран.</t>
  </si>
  <si>
    <t>правая гран.</t>
  </si>
  <si>
    <t>Коэффициент детерминации модели</t>
  </si>
  <si>
    <t>Коэффициент детерминации модели 0.84&gt;0.7 =&gt; модель может считаться адекватной.</t>
  </si>
  <si>
    <t>Квантиль распределения Фишера</t>
  </si>
  <si>
    <t>Статическая значимость R²</t>
  </si>
  <si>
    <t>FR²</t>
  </si>
  <si>
    <t>xпр</t>
  </si>
  <si>
    <t>ŷпр</t>
  </si>
  <si>
    <t>Остатки распределены случайно вокруг нуля, закономерности не видно;  распределение остатков визуально соответствует случайному</t>
  </si>
</sst>
</file>

<file path=xl/styles.xml><?xml version="1.0" encoding="utf-8"?>
<styleSheet xmlns="http://schemas.openxmlformats.org/spreadsheetml/2006/main">
  <numFmts count="5">
    <numFmt numFmtId="176" formatCode="0.0000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_ * #,##0.00_ ;_ * \-#,##0.00_ ;_ * &quot;-&quot;??_ ;_ @_ "/>
    <numFmt numFmtId="178" formatCode="_ * #,##0_ ;_ * \-#,##0_ ;_ * &quot;-&quot;_ ;_ @_ "/>
  </numFmts>
  <fonts count="22">
    <font>
      <sz val="12"/>
      <color theme="1"/>
      <name val="Aptos Narrow"/>
      <charset val="204"/>
      <scheme val="minor"/>
    </font>
    <font>
      <sz val="12"/>
      <color theme="1"/>
      <name val="Menlo"/>
      <charset val="134"/>
    </font>
    <font>
      <u/>
      <sz val="11"/>
      <color rgb="FF0000FF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sz val="11"/>
      <color theme="1"/>
      <name val="Aptos Narrow"/>
      <charset val="0"/>
      <scheme val="minor"/>
    </font>
    <font>
      <sz val="11"/>
      <color theme="1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1"/>
      <color theme="3"/>
      <name val="Aptos Narrow"/>
      <charset val="134"/>
      <scheme val="minor"/>
    </font>
    <font>
      <sz val="11"/>
      <color rgb="FF006100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3F3F76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8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0" fontId="3" fillId="6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8" fillId="7" borderId="10" applyNumberFormat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6" fillId="10" borderId="9" applyNumberFormat="0" applyFon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7" borderId="6" applyNumberFormat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178" fontId="6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0" fontId="21" fillId="30" borderId="12" applyNumberFormat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1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176" fontId="0" fillId="0" borderId="3" xfId="0" applyNumberFormat="1" applyBorder="1" applyAlignment="1">
      <alignment horizontal="center" vertical="center" wrapText="1"/>
    </xf>
    <xf numFmtId="176" fontId="0" fillId="0" borderId="4" xfId="0" applyNumberFormat="1" applyBorder="1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Лист1!$B$2:$B$21</c:f>
              <c:numCache>
                <c:formatCode>General</c:formatCode>
                <c:ptCount val="20"/>
                <c:pt idx="0">
                  <c:v>14</c:v>
                </c:pt>
                <c:pt idx="1">
                  <c:v>16</c:v>
                </c:pt>
                <c:pt idx="2">
                  <c:v>17</c:v>
                </c:pt>
                <c:pt idx="3">
                  <c:v>19</c:v>
                </c:pt>
                <c:pt idx="4">
                  <c:v>18</c:v>
                </c:pt>
                <c:pt idx="5">
                  <c:v>15</c:v>
                </c:pt>
                <c:pt idx="6">
                  <c:v>14</c:v>
                </c:pt>
                <c:pt idx="7">
                  <c:v>18</c:v>
                </c:pt>
                <c:pt idx="8">
                  <c:v>17</c:v>
                </c:pt>
                <c:pt idx="9">
                  <c:v>15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19</c:v>
                </c:pt>
                <c:pt idx="14">
                  <c:v>18</c:v>
                </c:pt>
                <c:pt idx="15">
                  <c:v>20</c:v>
                </c:pt>
                <c:pt idx="16">
                  <c:v>12</c:v>
                </c:pt>
                <c:pt idx="17">
                  <c:v>13</c:v>
                </c:pt>
                <c:pt idx="18">
                  <c:v>12</c:v>
                </c:pt>
                <c:pt idx="19">
                  <c:v>14</c:v>
                </c:pt>
              </c:numCache>
            </c:numRef>
          </c:xVal>
          <c:yVal>
            <c:numRef>
              <c:f>Лист1!$C$2:$C$21</c:f>
              <c:numCache>
                <c:formatCode>General</c:formatCode>
                <c:ptCount val="20"/>
                <c:pt idx="0">
                  <c:v>222</c:v>
                </c:pt>
                <c:pt idx="1">
                  <c:v>241</c:v>
                </c:pt>
                <c:pt idx="2">
                  <c:v>243</c:v>
                </c:pt>
                <c:pt idx="3">
                  <c:v>285</c:v>
                </c:pt>
                <c:pt idx="4">
                  <c:v>253</c:v>
                </c:pt>
                <c:pt idx="5">
                  <c:v>247</c:v>
                </c:pt>
                <c:pt idx="6">
                  <c:v>246</c:v>
                </c:pt>
                <c:pt idx="7">
                  <c:v>276</c:v>
                </c:pt>
                <c:pt idx="8">
                  <c:v>261</c:v>
                </c:pt>
                <c:pt idx="9">
                  <c:v>254</c:v>
                </c:pt>
                <c:pt idx="10">
                  <c:v>229</c:v>
                </c:pt>
                <c:pt idx="11">
                  <c:v>249</c:v>
                </c:pt>
                <c:pt idx="12">
                  <c:v>252</c:v>
                </c:pt>
                <c:pt idx="13">
                  <c:v>279</c:v>
                </c:pt>
                <c:pt idx="14">
                  <c:v>262</c:v>
                </c:pt>
                <c:pt idx="15">
                  <c:v>275</c:v>
                </c:pt>
                <c:pt idx="16">
                  <c:v>211</c:v>
                </c:pt>
                <c:pt idx="17">
                  <c:v>220</c:v>
                </c:pt>
                <c:pt idx="18">
                  <c:v>218</c:v>
                </c:pt>
                <c:pt idx="19">
                  <c:v>232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0128543"/>
        <c:axId val="1980130255"/>
      </c:scatterChart>
      <c:valAx>
        <c:axId val="1980128543"/>
        <c:scaling>
          <c:orientation val="minMax"/>
          <c:max val="20"/>
          <c:min val="1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80130255"/>
        <c:crosses val="autoZero"/>
        <c:crossBetween val="midCat"/>
      </c:valAx>
      <c:valAx>
        <c:axId val="1980130255"/>
        <c:scaling>
          <c:orientation val="minMax"/>
          <c:max val="300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801285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 для </a:t>
            </a:r>
            <a:r>
              <a:rPr lang="el-GR"/>
              <a:t>γ</a:t>
            </a:r>
            <a:r>
              <a:rPr lang="ru-RU"/>
              <a:t> = 0,9</a:t>
            </a:r>
            <a:r>
              <a:rPr lang="ru-RU" baseline="0"/>
              <a:t> 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"ŷпр"</c:f>
              <c:strCache>
                <c:ptCount val="1"/>
                <c:pt idx="0">
                  <c:v>ŷпр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Лист1!$A$63:$A$71</c:f>
              <c:numCache>
                <c:formatCode>General</c:formatCode>
                <c:ptCount val="9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</c:numCache>
            </c:numRef>
          </c:cat>
          <c:val>
            <c:numRef>
              <c:f>Лист1!$B$63:$B$71</c:f>
              <c:numCache>
                <c:formatCode>0.0000</c:formatCode>
                <c:ptCount val="9"/>
                <c:pt idx="0">
                  <c:v>216.647267880942</c:v>
                </c:pt>
                <c:pt idx="1">
                  <c:v>224.725899600178</c:v>
                </c:pt>
                <c:pt idx="2">
                  <c:v>232.804531319414</c:v>
                </c:pt>
                <c:pt idx="3">
                  <c:v>240.88316303865</c:v>
                </c:pt>
                <c:pt idx="4">
                  <c:v>248.961794757885</c:v>
                </c:pt>
                <c:pt idx="5">
                  <c:v>257.040426477121</c:v>
                </c:pt>
                <c:pt idx="6">
                  <c:v>265.119058196357</c:v>
                </c:pt>
                <c:pt idx="7">
                  <c:v>273.197689915593</c:v>
                </c:pt>
                <c:pt idx="8">
                  <c:v>281.276321634829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"лев.дов.инт."</c:f>
              <c:strCache>
                <c:ptCount val="1"/>
                <c:pt idx="0">
                  <c:v>лев.дов.инт.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Лист1!$A$63:$A$71</c:f>
              <c:numCache>
                <c:formatCode>General</c:formatCode>
                <c:ptCount val="9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</c:numCache>
            </c:numRef>
          </c:cat>
          <c:val>
            <c:numRef>
              <c:f>Лист1!$C$63:$C$71</c:f>
              <c:numCache>
                <c:formatCode>0.0000</c:formatCode>
                <c:ptCount val="9"/>
                <c:pt idx="0">
                  <c:v>210.212241778178</c:v>
                </c:pt>
                <c:pt idx="1">
                  <c:v>219.449289483242</c:v>
                </c:pt>
                <c:pt idx="2">
                  <c:v>228.523701666166</c:v>
                </c:pt>
                <c:pt idx="3">
                  <c:v>237.297326242981</c:v>
                </c:pt>
                <c:pt idx="4">
                  <c:v>245.579372054956</c:v>
                </c:pt>
                <c:pt idx="5">
                  <c:v>253.289003284719</c:v>
                </c:pt>
                <c:pt idx="6">
                  <c:v>260.563248344446</c:v>
                </c:pt>
                <c:pt idx="7">
                  <c:v>267.586320594641</c:v>
                </c:pt>
                <c:pt idx="8">
                  <c:v>274.474162954193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"прав.дов.инт."</c:f>
              <c:strCache>
                <c:ptCount val="1"/>
                <c:pt idx="0">
                  <c:v>прав.дов.инт.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Лист1!$A$63:$A$71</c:f>
              <c:numCache>
                <c:formatCode>General</c:formatCode>
                <c:ptCount val="9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</c:numCache>
            </c:numRef>
          </c:cat>
          <c:val>
            <c:numRef>
              <c:f>Лист1!$D$63:$D$71</c:f>
              <c:numCache>
                <c:formatCode>0.0000</c:formatCode>
                <c:ptCount val="9"/>
                <c:pt idx="0">
                  <c:v>223.082293983706</c:v>
                </c:pt>
                <c:pt idx="1">
                  <c:v>230.002509717114</c:v>
                </c:pt>
                <c:pt idx="2">
                  <c:v>237.085360972661</c:v>
                </c:pt>
                <c:pt idx="3">
                  <c:v>244.468999834318</c:v>
                </c:pt>
                <c:pt idx="4">
                  <c:v>252.344217460815</c:v>
                </c:pt>
                <c:pt idx="5">
                  <c:v>260.791849669523</c:v>
                </c:pt>
                <c:pt idx="6">
                  <c:v>269.674868048268</c:v>
                </c:pt>
                <c:pt idx="7">
                  <c:v>278.809059236545</c:v>
                </c:pt>
                <c:pt idx="8">
                  <c:v>288.078480315465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91893408"/>
        <c:axId val="292084016"/>
      </c:lineChart>
      <c:catAx>
        <c:axId val="29189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92084016"/>
        <c:crosses val="autoZero"/>
        <c:auto val="1"/>
        <c:lblAlgn val="ctr"/>
        <c:lblOffset val="100"/>
        <c:noMultiLvlLbl val="0"/>
      </c:catAx>
      <c:valAx>
        <c:axId val="292084016"/>
        <c:scaling>
          <c:orientation val="minMax"/>
          <c:max val="310"/>
          <c:min val="1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918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 для </a:t>
            </a:r>
            <a:r>
              <a:rPr lang="el-GR"/>
              <a:t>γ</a:t>
            </a:r>
            <a:r>
              <a:rPr lang="ru-RU"/>
              <a:t> = 0,95</a:t>
            </a:r>
            <a:r>
              <a:rPr lang="ru-RU" baseline="0"/>
              <a:t> 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"ŷпр"</c:f>
              <c:strCache>
                <c:ptCount val="1"/>
                <c:pt idx="0">
                  <c:v>ŷпр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Лист1!$A$63:$A$71</c:f>
              <c:numCache>
                <c:formatCode>General</c:formatCode>
                <c:ptCount val="9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</c:numCache>
            </c:numRef>
          </c:cat>
          <c:val>
            <c:numRef>
              <c:f>Лист1!$B$63:$B$71</c:f>
              <c:numCache>
                <c:formatCode>0.0000</c:formatCode>
                <c:ptCount val="9"/>
                <c:pt idx="0">
                  <c:v>216.647267880942</c:v>
                </c:pt>
                <c:pt idx="1">
                  <c:v>224.725899600178</c:v>
                </c:pt>
                <c:pt idx="2">
                  <c:v>232.804531319414</c:v>
                </c:pt>
                <c:pt idx="3">
                  <c:v>240.88316303865</c:v>
                </c:pt>
                <c:pt idx="4">
                  <c:v>248.961794757885</c:v>
                </c:pt>
                <c:pt idx="5">
                  <c:v>257.040426477121</c:v>
                </c:pt>
                <c:pt idx="6">
                  <c:v>265.119058196357</c:v>
                </c:pt>
                <c:pt idx="7">
                  <c:v>273.197689915593</c:v>
                </c:pt>
                <c:pt idx="8">
                  <c:v>281.276321634829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"лев.дов.инт."</c:f>
              <c:strCache>
                <c:ptCount val="1"/>
                <c:pt idx="0">
                  <c:v>лев.дов.инт.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Лист1!$A$63:$A$71</c:f>
              <c:numCache>
                <c:formatCode>General</c:formatCode>
                <c:ptCount val="9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</c:numCache>
            </c:numRef>
          </c:cat>
          <c:val>
            <c:numRef>
              <c:f>Лист1!$E$63:$E$71</c:f>
              <c:numCache>
                <c:formatCode>0.0000</c:formatCode>
                <c:ptCount val="9"/>
                <c:pt idx="0">
                  <c:v>208.850847889639</c:v>
                </c:pt>
                <c:pt idx="1">
                  <c:v>218.332970038584</c:v>
                </c:pt>
                <c:pt idx="2">
                  <c:v>227.618049500233</c:v>
                </c:pt>
                <c:pt idx="3">
                  <c:v>236.538706740751</c:v>
                </c:pt>
                <c:pt idx="4">
                  <c:v>244.863786830796</c:v>
                </c:pt>
                <c:pt idx="5">
                  <c:v>252.495352330411</c:v>
                </c:pt>
                <c:pt idx="6">
                  <c:v>259.599421377673</c:v>
                </c:pt>
                <c:pt idx="7">
                  <c:v>266.399179504942</c:v>
                </c:pt>
                <c:pt idx="8">
                  <c:v>273.035098510817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"прав.дов.инт."</c:f>
              <c:strCache>
                <c:ptCount val="1"/>
                <c:pt idx="0">
                  <c:v>прав.дов.инт.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Лист1!$A$63:$A$71</c:f>
              <c:numCache>
                <c:formatCode>General</c:formatCode>
                <c:ptCount val="9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</c:numCache>
            </c:numRef>
          </c:cat>
          <c:val>
            <c:numRef>
              <c:f>Лист1!$F$63:$F$71</c:f>
              <c:numCache>
                <c:formatCode>0.0000</c:formatCode>
                <c:ptCount val="9"/>
                <c:pt idx="0">
                  <c:v>224.443687872245</c:v>
                </c:pt>
                <c:pt idx="1">
                  <c:v>231.118829161772</c:v>
                </c:pt>
                <c:pt idx="2">
                  <c:v>237.991013138594</c:v>
                </c:pt>
                <c:pt idx="3">
                  <c:v>245.227619336548</c:v>
                </c:pt>
                <c:pt idx="4">
                  <c:v>253.059802684975</c:v>
                </c:pt>
                <c:pt idx="5">
                  <c:v>261.585500623832</c:v>
                </c:pt>
                <c:pt idx="6">
                  <c:v>270.638695015041</c:v>
                </c:pt>
                <c:pt idx="7">
                  <c:v>279.996200326244</c:v>
                </c:pt>
                <c:pt idx="8">
                  <c:v>289.517544758841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91893408"/>
        <c:axId val="292084016"/>
      </c:lineChart>
      <c:catAx>
        <c:axId val="29189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92084016"/>
        <c:crosses val="autoZero"/>
        <c:auto val="1"/>
        <c:lblAlgn val="ctr"/>
        <c:lblOffset val="100"/>
        <c:noMultiLvlLbl val="0"/>
      </c:catAx>
      <c:valAx>
        <c:axId val="292084016"/>
        <c:scaling>
          <c:orientation val="minMax"/>
          <c:max val="310"/>
          <c:min val="1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918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 для </a:t>
            </a:r>
            <a:r>
              <a:rPr lang="el-GR"/>
              <a:t>γ</a:t>
            </a:r>
            <a:r>
              <a:rPr lang="ru-RU"/>
              <a:t> = 0,99</a:t>
            </a:r>
            <a:r>
              <a:rPr lang="ru-RU" baseline="0"/>
              <a:t> 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"ŷпр"</c:f>
              <c:strCache>
                <c:ptCount val="1"/>
                <c:pt idx="0">
                  <c:v>ŷпр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Лист1!$A$63:$A$71</c:f>
              <c:numCache>
                <c:formatCode>General</c:formatCode>
                <c:ptCount val="9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</c:numCache>
            </c:numRef>
          </c:cat>
          <c:val>
            <c:numRef>
              <c:f>Лист1!$B$63:$B$71</c:f>
              <c:numCache>
                <c:formatCode>0.0000</c:formatCode>
                <c:ptCount val="9"/>
                <c:pt idx="0">
                  <c:v>216.647267880942</c:v>
                </c:pt>
                <c:pt idx="1">
                  <c:v>224.725899600178</c:v>
                </c:pt>
                <c:pt idx="2">
                  <c:v>232.804531319414</c:v>
                </c:pt>
                <c:pt idx="3">
                  <c:v>240.88316303865</c:v>
                </c:pt>
                <c:pt idx="4">
                  <c:v>248.961794757885</c:v>
                </c:pt>
                <c:pt idx="5">
                  <c:v>257.040426477121</c:v>
                </c:pt>
                <c:pt idx="6">
                  <c:v>265.119058196357</c:v>
                </c:pt>
                <c:pt idx="7">
                  <c:v>273.197689915593</c:v>
                </c:pt>
                <c:pt idx="8">
                  <c:v>281.276321634829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"лев.дов.инт."</c:f>
              <c:strCache>
                <c:ptCount val="1"/>
                <c:pt idx="0">
                  <c:v>лев.дов.инт.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Лист1!$A$63:$A$71</c:f>
              <c:numCache>
                <c:formatCode>General</c:formatCode>
                <c:ptCount val="9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</c:numCache>
            </c:numRef>
          </c:cat>
          <c:val>
            <c:numRef>
              <c:f>Лист1!$G$63:$G$71</c:f>
              <c:numCache>
                <c:formatCode>0.0000</c:formatCode>
                <c:ptCount val="9"/>
                <c:pt idx="0">
                  <c:v>205.965514624234</c:v>
                </c:pt>
                <c:pt idx="1">
                  <c:v>215.9670466599</c:v>
                </c:pt>
                <c:pt idx="2">
                  <c:v>225.69861358734</c:v>
                </c:pt>
                <c:pt idx="3">
                  <c:v>234.93089132157</c:v>
                </c:pt>
                <c:pt idx="4">
                  <c:v>243.34717810434</c:v>
                </c:pt>
                <c:pt idx="5">
                  <c:v>250.813291378863</c:v>
                </c:pt>
                <c:pt idx="6">
                  <c:v>257.556690003058</c:v>
                </c:pt>
                <c:pt idx="7">
                  <c:v>263.883156988847</c:v>
                </c:pt>
                <c:pt idx="8">
                  <c:v>269.985150553438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"прав.дов.инт."</c:f>
              <c:strCache>
                <c:ptCount val="1"/>
                <c:pt idx="0">
                  <c:v>прав.дов.инт.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Лист1!$A$63:$A$71</c:f>
              <c:numCache>
                <c:formatCode>General</c:formatCode>
                <c:ptCount val="9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</c:numCache>
            </c:numRef>
          </c:cat>
          <c:val>
            <c:numRef>
              <c:f>Лист1!$H$63:$H$71</c:f>
              <c:numCache>
                <c:formatCode>0.0000</c:formatCode>
                <c:ptCount val="9"/>
                <c:pt idx="0">
                  <c:v>227.32902113765</c:v>
                </c:pt>
                <c:pt idx="1">
                  <c:v>233.484752540455</c:v>
                </c:pt>
                <c:pt idx="2">
                  <c:v>239.910449051487</c:v>
                </c:pt>
                <c:pt idx="3">
                  <c:v>246.835434755729</c:v>
                </c:pt>
                <c:pt idx="4">
                  <c:v>254.576411411431</c:v>
                </c:pt>
                <c:pt idx="5">
                  <c:v>263.267561575379</c:v>
                </c:pt>
                <c:pt idx="6">
                  <c:v>272.681426389656</c:v>
                </c:pt>
                <c:pt idx="7">
                  <c:v>282.512222842339</c:v>
                </c:pt>
                <c:pt idx="8">
                  <c:v>292.56749271622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91893408"/>
        <c:axId val="292084016"/>
      </c:lineChart>
      <c:catAx>
        <c:axId val="29189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92084016"/>
        <c:crosses val="autoZero"/>
        <c:auto val="1"/>
        <c:lblAlgn val="ctr"/>
        <c:lblOffset val="100"/>
        <c:noMultiLvlLbl val="0"/>
      </c:catAx>
      <c:valAx>
        <c:axId val="292084016"/>
        <c:scaling>
          <c:orientation val="minMax"/>
          <c:max val="310"/>
          <c:min val="1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918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 ошибки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"ошибки"</c:f>
              <c:strCache>
                <c:ptCount val="1"/>
                <c:pt idx="0">
                  <c:v>ошибки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Лист1!$B$2:$B$21</c:f>
              <c:numCache>
                <c:formatCode>General</c:formatCode>
                <c:ptCount val="20"/>
                <c:pt idx="0">
                  <c:v>14</c:v>
                </c:pt>
                <c:pt idx="1">
                  <c:v>16</c:v>
                </c:pt>
                <c:pt idx="2">
                  <c:v>17</c:v>
                </c:pt>
                <c:pt idx="3">
                  <c:v>19</c:v>
                </c:pt>
                <c:pt idx="4">
                  <c:v>18</c:v>
                </c:pt>
                <c:pt idx="5">
                  <c:v>15</c:v>
                </c:pt>
                <c:pt idx="6">
                  <c:v>14</c:v>
                </c:pt>
                <c:pt idx="7">
                  <c:v>18</c:v>
                </c:pt>
                <c:pt idx="8">
                  <c:v>17</c:v>
                </c:pt>
                <c:pt idx="9">
                  <c:v>15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19</c:v>
                </c:pt>
                <c:pt idx="14">
                  <c:v>18</c:v>
                </c:pt>
                <c:pt idx="15">
                  <c:v>20</c:v>
                </c:pt>
                <c:pt idx="16">
                  <c:v>12</c:v>
                </c:pt>
                <c:pt idx="17">
                  <c:v>13</c:v>
                </c:pt>
                <c:pt idx="18">
                  <c:v>12</c:v>
                </c:pt>
                <c:pt idx="19">
                  <c:v>14</c:v>
                </c:pt>
              </c:numCache>
            </c:numRef>
          </c:xVal>
          <c:yVal>
            <c:numRef>
              <c:f>Лист1!$K$2:$K$21</c:f>
              <c:numCache>
                <c:formatCode>0.0000</c:formatCode>
                <c:ptCount val="20"/>
                <c:pt idx="0">
                  <c:v>-10.8045313194136</c:v>
                </c:pt>
                <c:pt idx="1">
                  <c:v>-7.9617947578854</c:v>
                </c:pt>
                <c:pt idx="2">
                  <c:v>-14.0404264771213</c:v>
                </c:pt>
                <c:pt idx="3">
                  <c:v>11.8023100844069</c:v>
                </c:pt>
                <c:pt idx="4">
                  <c:v>-12.1190581963572</c:v>
                </c:pt>
                <c:pt idx="5">
                  <c:v>6.11683696135049</c:v>
                </c:pt>
                <c:pt idx="6">
                  <c:v>13.1954686805864</c:v>
                </c:pt>
                <c:pt idx="7">
                  <c:v>10.8809418036428</c:v>
                </c:pt>
                <c:pt idx="8">
                  <c:v>3.95957352287871</c:v>
                </c:pt>
                <c:pt idx="9">
                  <c:v>13.1168369613505</c:v>
                </c:pt>
                <c:pt idx="10">
                  <c:v>4.27410039982229</c:v>
                </c:pt>
                <c:pt idx="11">
                  <c:v>0.0382052421146</c:v>
                </c:pt>
                <c:pt idx="12">
                  <c:v>-5.04042647712129</c:v>
                </c:pt>
                <c:pt idx="13">
                  <c:v>5.80231008440694</c:v>
                </c:pt>
                <c:pt idx="14">
                  <c:v>-3.11905819635717</c:v>
                </c:pt>
                <c:pt idx="15">
                  <c:v>-6.27632163482895</c:v>
                </c:pt>
                <c:pt idx="16">
                  <c:v>-5.64726788094183</c:v>
                </c:pt>
                <c:pt idx="17">
                  <c:v>-4.72589960017771</c:v>
                </c:pt>
                <c:pt idx="18">
                  <c:v>1.35273211905817</c:v>
                </c:pt>
                <c:pt idx="19">
                  <c:v>-0.804531319413627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8524432"/>
        <c:axId val="1658768272"/>
      </c:scatterChart>
      <c:valAx>
        <c:axId val="165852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658768272"/>
        <c:crosses val="autoZero"/>
        <c:crossBetween val="midCat"/>
      </c:valAx>
      <c:valAx>
        <c:axId val="16587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65852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14</xdr:col>
      <xdr:colOff>557933</xdr:colOff>
      <xdr:row>1</xdr:row>
      <xdr:rowOff>198191</xdr:rowOff>
    </xdr:from>
    <xdr:to>
      <xdr:col>21</xdr:col>
      <xdr:colOff>0</xdr:colOff>
      <xdr:row>16</xdr:row>
      <xdr:rowOff>16934</xdr:rowOff>
    </xdr:to>
    <xdr:graphicFrame>
      <xdr:nvGraphicFramePr>
        <xdr:cNvPr id="2" name="Диаграмма 1"/>
        <xdr:cNvGraphicFramePr/>
      </xdr:nvGraphicFramePr>
      <xdr:xfrm>
        <a:off x="16339820" y="607695"/>
        <a:ext cx="6327775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73</xdr:row>
      <xdr:rowOff>21922</xdr:rowOff>
    </xdr:from>
    <xdr:to>
      <xdr:col>4</xdr:col>
      <xdr:colOff>546554</xdr:colOff>
      <xdr:row>86</xdr:row>
      <xdr:rowOff>124429</xdr:rowOff>
    </xdr:to>
    <xdr:graphicFrame>
      <xdr:nvGraphicFramePr>
        <xdr:cNvPr id="3" name="Диаграмма 2"/>
        <xdr:cNvGraphicFramePr/>
      </xdr:nvGraphicFramePr>
      <xdr:xfrm>
        <a:off x="0" y="16457930"/>
        <a:ext cx="5328285" cy="27603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68034</xdr:colOff>
      <xdr:row>73</xdr:row>
      <xdr:rowOff>11340</xdr:rowOff>
    </xdr:from>
    <xdr:to>
      <xdr:col>10</xdr:col>
      <xdr:colOff>149678</xdr:colOff>
      <xdr:row>86</xdr:row>
      <xdr:rowOff>113847</xdr:rowOff>
    </xdr:to>
    <xdr:graphicFrame>
      <xdr:nvGraphicFramePr>
        <xdr:cNvPr id="5" name="Диаграмма 4"/>
        <xdr:cNvGraphicFramePr/>
      </xdr:nvGraphicFramePr>
      <xdr:xfrm>
        <a:off x="5954395" y="16447135"/>
        <a:ext cx="5452110" cy="27609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589643</xdr:colOff>
      <xdr:row>73</xdr:row>
      <xdr:rowOff>22679</xdr:rowOff>
    </xdr:from>
    <xdr:to>
      <xdr:col>15</xdr:col>
      <xdr:colOff>762000</xdr:colOff>
      <xdr:row>86</xdr:row>
      <xdr:rowOff>125186</xdr:rowOff>
    </xdr:to>
    <xdr:graphicFrame>
      <xdr:nvGraphicFramePr>
        <xdr:cNvPr id="6" name="Диаграмма 5"/>
        <xdr:cNvGraphicFramePr/>
      </xdr:nvGraphicFramePr>
      <xdr:xfrm>
        <a:off x="11846560" y="16458565"/>
        <a:ext cx="5681345" cy="27609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147320</xdr:colOff>
      <xdr:row>89</xdr:row>
      <xdr:rowOff>145626</xdr:rowOff>
    </xdr:from>
    <xdr:to>
      <xdr:col>4</xdr:col>
      <xdr:colOff>699347</xdr:colOff>
      <xdr:row>103</xdr:row>
      <xdr:rowOff>44026</xdr:rowOff>
    </xdr:to>
    <xdr:graphicFrame>
      <xdr:nvGraphicFramePr>
        <xdr:cNvPr id="8" name="Диаграмма 7"/>
        <xdr:cNvGraphicFramePr/>
      </xdr:nvGraphicFramePr>
      <xdr:xfrm>
        <a:off x="147320" y="19853275"/>
        <a:ext cx="5334000" cy="27609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8"/>
  <sheetViews>
    <sheetView tabSelected="1" workbookViewId="0">
      <selection activeCell="E13" sqref="E13"/>
    </sheetView>
  </sheetViews>
  <sheetFormatPr defaultColWidth="11" defaultRowHeight="16.1"/>
  <cols>
    <col min="1" max="1" width="13.3286713286713" style="1" customWidth="1"/>
    <col min="2" max="2" width="13.8321678321678" style="1" customWidth="1"/>
    <col min="3" max="3" width="12.5034965034965" style="1" customWidth="1"/>
    <col min="4" max="4" width="13" style="1" customWidth="1"/>
    <col min="5" max="6" width="12.1608391608392" style="1" customWidth="1"/>
    <col min="7" max="7" width="11.3286713286713" style="1" customWidth="1"/>
    <col min="8" max="8" width="12.3286713286713" style="1" customWidth="1"/>
    <col min="9" max="9" width="11" style="1" customWidth="1"/>
    <col min="10" max="10" width="12.3286713286713" style="1" customWidth="1"/>
    <col min="11" max="13" width="13" style="1" customWidth="1"/>
    <col min="14" max="16384" width="10.8321678321678" style="1"/>
  </cols>
  <sheetData>
    <row r="1" ht="32.25" spans="1:13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9" t="s">
        <v>12</v>
      </c>
    </row>
    <row r="2" spans="1:13">
      <c r="A2" s="2">
        <v>1</v>
      </c>
      <c r="B2" s="2">
        <v>14</v>
      </c>
      <c r="C2" s="3">
        <v>222</v>
      </c>
      <c r="D2" s="2">
        <f>B2^2</f>
        <v>196</v>
      </c>
      <c r="E2" s="4">
        <f>B2-$B$25</f>
        <v>-1.85</v>
      </c>
      <c r="F2" s="4">
        <f>E2^2</f>
        <v>3.4225</v>
      </c>
      <c r="G2" s="4">
        <f>C2-$C$25</f>
        <v>-25.75</v>
      </c>
      <c r="H2" s="4">
        <f>G2^2</f>
        <v>663.0625</v>
      </c>
      <c r="I2" s="4">
        <f>E2*G2</f>
        <v>47.6375</v>
      </c>
      <c r="J2" s="4">
        <f t="shared" ref="J2:J21" si="0">$B$29+$A$29*B2</f>
        <v>232.804531319414</v>
      </c>
      <c r="K2" s="4">
        <f>C2-J2</f>
        <v>-10.8045313194136</v>
      </c>
      <c r="L2" s="4">
        <f>K2^2</f>
        <v>116.73789703219</v>
      </c>
      <c r="M2" s="4">
        <f>L2/($A$23-2)</f>
        <v>6.48543872401055</v>
      </c>
    </row>
    <row r="3" spans="1:13">
      <c r="A3" s="2">
        <v>2</v>
      </c>
      <c r="B3" s="2">
        <v>16</v>
      </c>
      <c r="C3" s="3">
        <v>241</v>
      </c>
      <c r="D3" s="2">
        <f t="shared" ref="D3:D21" si="1">B3^2</f>
        <v>256</v>
      </c>
      <c r="E3" s="4">
        <f t="shared" ref="E3:E21" si="2">B3-$B$25</f>
        <v>0.15</v>
      </c>
      <c r="F3" s="4">
        <f t="shared" ref="F3:F21" si="3">E3^2</f>
        <v>0.0225000000000001</v>
      </c>
      <c r="G3" s="4">
        <f t="shared" ref="G3:G21" si="4">C3-$C$25</f>
        <v>-6.75</v>
      </c>
      <c r="H3" s="4">
        <f t="shared" ref="H3:H21" si="5">G3^2</f>
        <v>45.5625</v>
      </c>
      <c r="I3" s="4">
        <f t="shared" ref="I3:I21" si="6">E3*G3</f>
        <v>-1.0125</v>
      </c>
      <c r="J3" s="4">
        <f t="shared" si="0"/>
        <v>248.961794757885</v>
      </c>
      <c r="K3" s="4">
        <f t="shared" ref="K3:K21" si="7">C3-J3</f>
        <v>-7.9617947578854</v>
      </c>
      <c r="L3" s="4">
        <f t="shared" ref="L3:L21" si="8">K3^2</f>
        <v>63.3901757666914</v>
      </c>
      <c r="M3" s="4">
        <f t="shared" ref="M3:M21" si="9">L3/($A$23-2)</f>
        <v>3.52167643148286</v>
      </c>
    </row>
    <row r="4" spans="1:13">
      <c r="A4" s="2">
        <v>3</v>
      </c>
      <c r="B4" s="2">
        <v>17</v>
      </c>
      <c r="C4" s="3">
        <v>243</v>
      </c>
      <c r="D4" s="2">
        <f t="shared" si="1"/>
        <v>289</v>
      </c>
      <c r="E4" s="4">
        <f t="shared" si="2"/>
        <v>1.15</v>
      </c>
      <c r="F4" s="4">
        <f t="shared" si="3"/>
        <v>1.3225</v>
      </c>
      <c r="G4" s="4">
        <f t="shared" si="4"/>
        <v>-4.75</v>
      </c>
      <c r="H4" s="4">
        <f t="shared" si="5"/>
        <v>22.5625</v>
      </c>
      <c r="I4" s="4">
        <f t="shared" si="6"/>
        <v>-5.4625</v>
      </c>
      <c r="J4" s="4">
        <f t="shared" si="0"/>
        <v>257.040426477121</v>
      </c>
      <c r="K4" s="4">
        <f t="shared" si="7"/>
        <v>-14.0404264771213</v>
      </c>
      <c r="L4" s="4">
        <f t="shared" si="8"/>
        <v>197.133575659448</v>
      </c>
      <c r="M4" s="4">
        <f t="shared" si="9"/>
        <v>10.9518653144138</v>
      </c>
    </row>
    <row r="5" spans="1:13">
      <c r="A5" s="2">
        <v>4</v>
      </c>
      <c r="B5" s="2">
        <v>19</v>
      </c>
      <c r="C5" s="3">
        <v>285</v>
      </c>
      <c r="D5" s="2">
        <f t="shared" si="1"/>
        <v>361</v>
      </c>
      <c r="E5" s="4">
        <f t="shared" si="2"/>
        <v>3.15</v>
      </c>
      <c r="F5" s="4">
        <f t="shared" si="3"/>
        <v>9.9225</v>
      </c>
      <c r="G5" s="4">
        <f t="shared" si="4"/>
        <v>37.25</v>
      </c>
      <c r="H5" s="4">
        <f t="shared" si="5"/>
        <v>1387.5625</v>
      </c>
      <c r="I5" s="4">
        <f t="shared" si="6"/>
        <v>117.3375</v>
      </c>
      <c r="J5" s="4">
        <f t="shared" si="0"/>
        <v>273.197689915593</v>
      </c>
      <c r="K5" s="4">
        <f t="shared" si="7"/>
        <v>11.8023100844069</v>
      </c>
      <c r="L5" s="4">
        <f t="shared" si="8"/>
        <v>139.294523328494</v>
      </c>
      <c r="M5" s="4">
        <f t="shared" si="9"/>
        <v>7.73858462936076</v>
      </c>
    </row>
    <row r="6" spans="1:13">
      <c r="A6" s="2">
        <v>5</v>
      </c>
      <c r="B6" s="2">
        <v>18</v>
      </c>
      <c r="C6" s="3">
        <v>253</v>
      </c>
      <c r="D6" s="2">
        <f t="shared" si="1"/>
        <v>324</v>
      </c>
      <c r="E6" s="4">
        <f t="shared" si="2"/>
        <v>2.15</v>
      </c>
      <c r="F6" s="4">
        <f t="shared" si="3"/>
        <v>4.6225</v>
      </c>
      <c r="G6" s="4">
        <f t="shared" si="4"/>
        <v>5.25</v>
      </c>
      <c r="H6" s="4">
        <f t="shared" si="5"/>
        <v>27.5625</v>
      </c>
      <c r="I6" s="4">
        <f t="shared" si="6"/>
        <v>11.2875</v>
      </c>
      <c r="J6" s="4">
        <f t="shared" si="0"/>
        <v>265.119058196357</v>
      </c>
      <c r="K6" s="4">
        <f t="shared" si="7"/>
        <v>-12.1190581963572</v>
      </c>
      <c r="L6" s="4">
        <f t="shared" si="8"/>
        <v>146.871571566692</v>
      </c>
      <c r="M6" s="4">
        <f t="shared" si="9"/>
        <v>8.15953175370511</v>
      </c>
    </row>
    <row r="7" spans="1:13">
      <c r="A7" s="2">
        <v>6</v>
      </c>
      <c r="B7" s="2">
        <v>15</v>
      </c>
      <c r="C7" s="3">
        <v>247</v>
      </c>
      <c r="D7" s="2">
        <f t="shared" si="1"/>
        <v>225</v>
      </c>
      <c r="E7" s="4">
        <f t="shared" si="2"/>
        <v>-0.85</v>
      </c>
      <c r="F7" s="4">
        <f t="shared" si="3"/>
        <v>0.722499999999999</v>
      </c>
      <c r="G7" s="4">
        <f t="shared" si="4"/>
        <v>-0.75</v>
      </c>
      <c r="H7" s="4">
        <f t="shared" si="5"/>
        <v>0.5625</v>
      </c>
      <c r="I7" s="4">
        <f t="shared" si="6"/>
        <v>0.6375</v>
      </c>
      <c r="J7" s="4">
        <f t="shared" si="0"/>
        <v>240.88316303865</v>
      </c>
      <c r="K7" s="4">
        <f t="shared" si="7"/>
        <v>6.11683696135049</v>
      </c>
      <c r="L7" s="4">
        <f t="shared" si="8"/>
        <v>37.4156944117435</v>
      </c>
      <c r="M7" s="4">
        <f t="shared" si="9"/>
        <v>2.0786496895413</v>
      </c>
    </row>
    <row r="8" spans="1:13">
      <c r="A8" s="2">
        <v>7</v>
      </c>
      <c r="B8" s="2">
        <v>14</v>
      </c>
      <c r="C8" s="3">
        <v>246</v>
      </c>
      <c r="D8" s="2">
        <f t="shared" si="1"/>
        <v>196</v>
      </c>
      <c r="E8" s="4">
        <f t="shared" si="2"/>
        <v>-1.85</v>
      </c>
      <c r="F8" s="4">
        <f t="shared" si="3"/>
        <v>3.4225</v>
      </c>
      <c r="G8" s="4">
        <f t="shared" si="4"/>
        <v>-1.75</v>
      </c>
      <c r="H8" s="4">
        <f t="shared" si="5"/>
        <v>3.0625</v>
      </c>
      <c r="I8" s="4">
        <f t="shared" si="6"/>
        <v>3.2375</v>
      </c>
      <c r="J8" s="4">
        <f t="shared" si="0"/>
        <v>232.804531319414</v>
      </c>
      <c r="K8" s="4">
        <f t="shared" si="7"/>
        <v>13.1954686805864</v>
      </c>
      <c r="L8" s="4">
        <f t="shared" si="8"/>
        <v>174.120393700336</v>
      </c>
      <c r="M8" s="4">
        <f t="shared" si="9"/>
        <v>9.67335520557422</v>
      </c>
    </row>
    <row r="9" spans="1:13">
      <c r="A9" s="2">
        <v>8</v>
      </c>
      <c r="B9" s="2">
        <v>18</v>
      </c>
      <c r="C9" s="3">
        <v>276</v>
      </c>
      <c r="D9" s="2">
        <f t="shared" si="1"/>
        <v>324</v>
      </c>
      <c r="E9" s="4">
        <f t="shared" si="2"/>
        <v>2.15</v>
      </c>
      <c r="F9" s="4">
        <f t="shared" si="3"/>
        <v>4.6225</v>
      </c>
      <c r="G9" s="4">
        <f t="shared" si="4"/>
        <v>28.25</v>
      </c>
      <c r="H9" s="4">
        <f t="shared" si="5"/>
        <v>798.0625</v>
      </c>
      <c r="I9" s="4">
        <f t="shared" si="6"/>
        <v>60.7375</v>
      </c>
      <c r="J9" s="4">
        <f t="shared" si="0"/>
        <v>265.119058196357</v>
      </c>
      <c r="K9" s="4">
        <f t="shared" si="7"/>
        <v>10.8809418036428</v>
      </c>
      <c r="L9" s="4">
        <f t="shared" si="8"/>
        <v>118.394894534262</v>
      </c>
      <c r="M9" s="4">
        <f t="shared" si="9"/>
        <v>6.57749414079233</v>
      </c>
    </row>
    <row r="10" spans="1:13">
      <c r="A10" s="2">
        <v>9</v>
      </c>
      <c r="B10" s="2">
        <v>17</v>
      </c>
      <c r="C10" s="3">
        <v>261</v>
      </c>
      <c r="D10" s="2">
        <f t="shared" si="1"/>
        <v>289</v>
      </c>
      <c r="E10" s="4">
        <f t="shared" si="2"/>
        <v>1.15</v>
      </c>
      <c r="F10" s="4">
        <f t="shared" si="3"/>
        <v>1.3225</v>
      </c>
      <c r="G10" s="4">
        <f t="shared" si="4"/>
        <v>13.25</v>
      </c>
      <c r="H10" s="4">
        <f t="shared" si="5"/>
        <v>175.5625</v>
      </c>
      <c r="I10" s="4">
        <f t="shared" si="6"/>
        <v>15.2375</v>
      </c>
      <c r="J10" s="4">
        <f t="shared" si="0"/>
        <v>257.040426477121</v>
      </c>
      <c r="K10" s="4">
        <f t="shared" si="7"/>
        <v>3.95957352287871</v>
      </c>
      <c r="L10" s="4">
        <f t="shared" si="8"/>
        <v>15.6782224830821</v>
      </c>
      <c r="M10" s="4">
        <f t="shared" si="9"/>
        <v>0.87101236017123</v>
      </c>
    </row>
    <row r="11" spans="1:13">
      <c r="A11" s="2">
        <v>10</v>
      </c>
      <c r="B11" s="2">
        <v>15</v>
      </c>
      <c r="C11" s="3">
        <v>254</v>
      </c>
      <c r="D11" s="2">
        <f t="shared" si="1"/>
        <v>225</v>
      </c>
      <c r="E11" s="4">
        <f t="shared" si="2"/>
        <v>-0.85</v>
      </c>
      <c r="F11" s="4">
        <f t="shared" si="3"/>
        <v>0.722499999999999</v>
      </c>
      <c r="G11" s="4">
        <f t="shared" si="4"/>
        <v>6.25</v>
      </c>
      <c r="H11" s="4">
        <f t="shared" si="5"/>
        <v>39.0625</v>
      </c>
      <c r="I11" s="4">
        <f t="shared" si="6"/>
        <v>-5.3125</v>
      </c>
      <c r="J11" s="4">
        <f t="shared" si="0"/>
        <v>240.88316303865</v>
      </c>
      <c r="K11" s="4">
        <f t="shared" si="7"/>
        <v>13.1168369613505</v>
      </c>
      <c r="L11" s="4">
        <f t="shared" si="8"/>
        <v>172.05141187065</v>
      </c>
      <c r="M11" s="4">
        <f t="shared" si="9"/>
        <v>9.55841177059168</v>
      </c>
    </row>
    <row r="12" spans="1:13">
      <c r="A12" s="2">
        <v>11</v>
      </c>
      <c r="B12" s="2">
        <v>13</v>
      </c>
      <c r="C12" s="3">
        <v>229</v>
      </c>
      <c r="D12" s="2">
        <f t="shared" si="1"/>
        <v>169</v>
      </c>
      <c r="E12" s="4">
        <f t="shared" si="2"/>
        <v>-2.85</v>
      </c>
      <c r="F12" s="4">
        <f t="shared" si="3"/>
        <v>8.1225</v>
      </c>
      <c r="G12" s="4">
        <f t="shared" si="4"/>
        <v>-18.75</v>
      </c>
      <c r="H12" s="4">
        <f t="shared" si="5"/>
        <v>351.5625</v>
      </c>
      <c r="I12" s="4">
        <f t="shared" si="6"/>
        <v>53.4375</v>
      </c>
      <c r="J12" s="4">
        <f t="shared" si="0"/>
        <v>224.725899600178</v>
      </c>
      <c r="K12" s="4">
        <f t="shared" si="7"/>
        <v>4.27410039982229</v>
      </c>
      <c r="L12" s="4">
        <f t="shared" si="8"/>
        <v>18.267934227761</v>
      </c>
      <c r="M12" s="4">
        <f t="shared" si="9"/>
        <v>1.01488523487561</v>
      </c>
    </row>
    <row r="13" spans="1:13">
      <c r="A13" s="2">
        <v>12</v>
      </c>
      <c r="B13" s="2">
        <v>16</v>
      </c>
      <c r="C13" s="3">
        <v>249</v>
      </c>
      <c r="D13" s="2">
        <f t="shared" si="1"/>
        <v>256</v>
      </c>
      <c r="E13" s="4">
        <f t="shared" si="2"/>
        <v>0.15</v>
      </c>
      <c r="F13" s="4">
        <f t="shared" si="3"/>
        <v>0.0225000000000001</v>
      </c>
      <c r="G13" s="4">
        <f t="shared" si="4"/>
        <v>1.25</v>
      </c>
      <c r="H13" s="4">
        <f t="shared" si="5"/>
        <v>1.5625</v>
      </c>
      <c r="I13" s="4">
        <f t="shared" si="6"/>
        <v>0.1875</v>
      </c>
      <c r="J13" s="4">
        <f t="shared" si="0"/>
        <v>248.961794757885</v>
      </c>
      <c r="K13" s="4">
        <f t="shared" si="7"/>
        <v>0.0382052421146</v>
      </c>
      <c r="L13" s="4">
        <f t="shared" si="8"/>
        <v>0.0014596405250352</v>
      </c>
      <c r="M13" s="4">
        <f t="shared" si="9"/>
        <v>8.10911402797335e-5</v>
      </c>
    </row>
    <row r="14" spans="1:13">
      <c r="A14" s="2">
        <v>13</v>
      </c>
      <c r="B14" s="2">
        <v>17</v>
      </c>
      <c r="C14" s="3">
        <v>252</v>
      </c>
      <c r="D14" s="2">
        <f t="shared" si="1"/>
        <v>289</v>
      </c>
      <c r="E14" s="4">
        <f t="shared" si="2"/>
        <v>1.15</v>
      </c>
      <c r="F14" s="4">
        <f t="shared" si="3"/>
        <v>1.3225</v>
      </c>
      <c r="G14" s="4">
        <f t="shared" si="4"/>
        <v>4.25</v>
      </c>
      <c r="H14" s="4">
        <f t="shared" si="5"/>
        <v>18.0625</v>
      </c>
      <c r="I14" s="4">
        <f t="shared" si="6"/>
        <v>4.8875</v>
      </c>
      <c r="J14" s="4">
        <f t="shared" si="0"/>
        <v>257.040426477121</v>
      </c>
      <c r="K14" s="4">
        <f t="shared" si="7"/>
        <v>-5.04042647712129</v>
      </c>
      <c r="L14" s="4">
        <f t="shared" si="8"/>
        <v>25.4058990712653</v>
      </c>
      <c r="M14" s="4">
        <f t="shared" si="9"/>
        <v>1.41143883729252</v>
      </c>
    </row>
    <row r="15" spans="1:13">
      <c r="A15" s="2">
        <v>14</v>
      </c>
      <c r="B15" s="2">
        <v>19</v>
      </c>
      <c r="C15" s="3">
        <v>279</v>
      </c>
      <c r="D15" s="2">
        <f t="shared" si="1"/>
        <v>361</v>
      </c>
      <c r="E15" s="4">
        <f t="shared" si="2"/>
        <v>3.15</v>
      </c>
      <c r="F15" s="4">
        <f t="shared" si="3"/>
        <v>9.9225</v>
      </c>
      <c r="G15" s="4">
        <f t="shared" si="4"/>
        <v>31.25</v>
      </c>
      <c r="H15" s="4">
        <f t="shared" si="5"/>
        <v>976.5625</v>
      </c>
      <c r="I15" s="4">
        <f t="shared" si="6"/>
        <v>98.4375</v>
      </c>
      <c r="J15" s="4">
        <f t="shared" si="0"/>
        <v>273.197689915593</v>
      </c>
      <c r="K15" s="4">
        <f t="shared" si="7"/>
        <v>5.80231008440694</v>
      </c>
      <c r="L15" s="4">
        <f t="shared" si="8"/>
        <v>33.6668023156105</v>
      </c>
      <c r="M15" s="4">
        <f t="shared" si="9"/>
        <v>1.8703779064228</v>
      </c>
    </row>
    <row r="16" spans="1:13">
      <c r="A16" s="2">
        <v>15</v>
      </c>
      <c r="B16" s="2">
        <v>18</v>
      </c>
      <c r="C16" s="3">
        <v>262</v>
      </c>
      <c r="D16" s="2">
        <f t="shared" si="1"/>
        <v>324</v>
      </c>
      <c r="E16" s="4">
        <f t="shared" si="2"/>
        <v>2.15</v>
      </c>
      <c r="F16" s="4">
        <f t="shared" si="3"/>
        <v>4.6225</v>
      </c>
      <c r="G16" s="4">
        <f t="shared" si="4"/>
        <v>14.25</v>
      </c>
      <c r="H16" s="4">
        <f t="shared" si="5"/>
        <v>203.0625</v>
      </c>
      <c r="I16" s="4">
        <f t="shared" si="6"/>
        <v>30.6375</v>
      </c>
      <c r="J16" s="4">
        <f t="shared" si="0"/>
        <v>265.119058196357</v>
      </c>
      <c r="K16" s="4">
        <f t="shared" si="7"/>
        <v>-3.11905819635717</v>
      </c>
      <c r="L16" s="4">
        <f t="shared" si="8"/>
        <v>9.72852403226286</v>
      </c>
      <c r="M16" s="4">
        <f t="shared" si="9"/>
        <v>0.540473557347937</v>
      </c>
    </row>
    <row r="17" spans="1:13">
      <c r="A17" s="2">
        <v>16</v>
      </c>
      <c r="B17" s="2">
        <v>20</v>
      </c>
      <c r="C17" s="3">
        <v>275</v>
      </c>
      <c r="D17" s="2">
        <f t="shared" si="1"/>
        <v>400</v>
      </c>
      <c r="E17" s="4">
        <f t="shared" si="2"/>
        <v>4.15</v>
      </c>
      <c r="F17" s="4">
        <f t="shared" si="3"/>
        <v>17.2225</v>
      </c>
      <c r="G17" s="4">
        <f t="shared" si="4"/>
        <v>27.25</v>
      </c>
      <c r="H17" s="4">
        <f t="shared" si="5"/>
        <v>742.5625</v>
      </c>
      <c r="I17" s="4">
        <f t="shared" si="6"/>
        <v>113.0875</v>
      </c>
      <c r="J17" s="4">
        <f t="shared" si="0"/>
        <v>281.276321634829</v>
      </c>
      <c r="K17" s="4">
        <f t="shared" si="7"/>
        <v>-6.27632163482895</v>
      </c>
      <c r="L17" s="4">
        <f t="shared" si="8"/>
        <v>39.3922132638219</v>
      </c>
      <c r="M17" s="4">
        <f t="shared" si="9"/>
        <v>2.18845629243455</v>
      </c>
    </row>
    <row r="18" spans="1:13">
      <c r="A18" s="2">
        <v>17</v>
      </c>
      <c r="B18" s="2">
        <v>12</v>
      </c>
      <c r="C18" s="3">
        <v>211</v>
      </c>
      <c r="D18" s="2">
        <f t="shared" si="1"/>
        <v>144</v>
      </c>
      <c r="E18" s="4">
        <f t="shared" si="2"/>
        <v>-3.85</v>
      </c>
      <c r="F18" s="4">
        <f t="shared" si="3"/>
        <v>14.8225</v>
      </c>
      <c r="G18" s="4">
        <f t="shared" si="4"/>
        <v>-36.75</v>
      </c>
      <c r="H18" s="4">
        <f t="shared" si="5"/>
        <v>1350.5625</v>
      </c>
      <c r="I18" s="4">
        <f t="shared" si="6"/>
        <v>141.4875</v>
      </c>
      <c r="J18" s="4">
        <f t="shared" si="0"/>
        <v>216.647267880942</v>
      </c>
      <c r="K18" s="4">
        <f t="shared" si="7"/>
        <v>-5.64726788094183</v>
      </c>
      <c r="L18" s="4">
        <f t="shared" si="8"/>
        <v>31.8916345191172</v>
      </c>
      <c r="M18" s="4">
        <f t="shared" si="9"/>
        <v>1.77175747328429</v>
      </c>
    </row>
    <row r="19" spans="1:13">
      <c r="A19" s="2">
        <v>18</v>
      </c>
      <c r="B19" s="2">
        <v>13</v>
      </c>
      <c r="C19" s="3">
        <v>220</v>
      </c>
      <c r="D19" s="2">
        <f t="shared" si="1"/>
        <v>169</v>
      </c>
      <c r="E19" s="4">
        <f t="shared" si="2"/>
        <v>-2.85</v>
      </c>
      <c r="F19" s="4">
        <f t="shared" si="3"/>
        <v>8.1225</v>
      </c>
      <c r="G19" s="4">
        <f t="shared" si="4"/>
        <v>-27.75</v>
      </c>
      <c r="H19" s="4">
        <f t="shared" si="5"/>
        <v>770.0625</v>
      </c>
      <c r="I19" s="4">
        <f t="shared" si="6"/>
        <v>79.0875</v>
      </c>
      <c r="J19" s="4">
        <f t="shared" si="0"/>
        <v>224.725899600178</v>
      </c>
      <c r="K19" s="4">
        <f t="shared" si="7"/>
        <v>-4.72589960017771</v>
      </c>
      <c r="L19" s="4">
        <f t="shared" si="8"/>
        <v>22.3341270309599</v>
      </c>
      <c r="M19" s="4">
        <f t="shared" si="9"/>
        <v>1.24078483505333</v>
      </c>
    </row>
    <row r="20" spans="1:13">
      <c r="A20" s="2">
        <v>19</v>
      </c>
      <c r="B20" s="2">
        <v>12</v>
      </c>
      <c r="C20" s="3">
        <v>218</v>
      </c>
      <c r="D20" s="2">
        <f t="shared" si="1"/>
        <v>144</v>
      </c>
      <c r="E20" s="4">
        <f t="shared" si="2"/>
        <v>-3.85</v>
      </c>
      <c r="F20" s="4">
        <f t="shared" si="3"/>
        <v>14.8225</v>
      </c>
      <c r="G20" s="4">
        <f t="shared" si="4"/>
        <v>-29.75</v>
      </c>
      <c r="H20" s="4">
        <f t="shared" si="5"/>
        <v>885.0625</v>
      </c>
      <c r="I20" s="4">
        <f t="shared" si="6"/>
        <v>114.5375</v>
      </c>
      <c r="J20" s="4">
        <f t="shared" si="0"/>
        <v>216.647267880942</v>
      </c>
      <c r="K20" s="4">
        <f t="shared" si="7"/>
        <v>1.35273211905817</v>
      </c>
      <c r="L20" s="4">
        <f t="shared" si="8"/>
        <v>1.82988418593162</v>
      </c>
      <c r="M20" s="4">
        <f t="shared" si="9"/>
        <v>0.101660232551757</v>
      </c>
    </row>
    <row r="21" spans="1:13">
      <c r="A21" s="2">
        <v>20</v>
      </c>
      <c r="B21" s="2">
        <v>14</v>
      </c>
      <c r="C21" s="3">
        <v>232</v>
      </c>
      <c r="D21" s="2">
        <f t="shared" si="1"/>
        <v>196</v>
      </c>
      <c r="E21" s="4">
        <f t="shared" si="2"/>
        <v>-1.85</v>
      </c>
      <c r="F21" s="4">
        <f t="shared" si="3"/>
        <v>3.4225</v>
      </c>
      <c r="G21" s="4">
        <f t="shared" si="4"/>
        <v>-15.75</v>
      </c>
      <c r="H21" s="4">
        <f t="shared" si="5"/>
        <v>248.0625</v>
      </c>
      <c r="I21" s="4">
        <f t="shared" si="6"/>
        <v>29.1375</v>
      </c>
      <c r="J21" s="4">
        <f t="shared" si="0"/>
        <v>232.804531319414</v>
      </c>
      <c r="K21" s="4">
        <f t="shared" si="7"/>
        <v>-0.804531319413627</v>
      </c>
      <c r="L21" s="4">
        <f t="shared" si="8"/>
        <v>0.647270643917431</v>
      </c>
      <c r="M21" s="4">
        <f t="shared" si="9"/>
        <v>0.0359594802176351</v>
      </c>
    </row>
    <row r="22" ht="16.15" spans="1:13">
      <c r="A22" s="2" t="s">
        <v>13</v>
      </c>
      <c r="B22" s="2" t="s">
        <v>14</v>
      </c>
      <c r="C22" s="2" t="s">
        <v>14</v>
      </c>
      <c r="D22" s="2" t="s">
        <v>14</v>
      </c>
      <c r="E22" s="2" t="s">
        <v>14</v>
      </c>
      <c r="F22" s="2" t="s">
        <v>14</v>
      </c>
      <c r="G22" s="2" t="s">
        <v>14</v>
      </c>
      <c r="H22" s="2" t="s">
        <v>14</v>
      </c>
      <c r="I22" s="2" t="s">
        <v>14</v>
      </c>
      <c r="J22" s="2" t="s">
        <v>14</v>
      </c>
      <c r="K22" s="2" t="s">
        <v>14</v>
      </c>
      <c r="L22" s="2" t="s">
        <v>14</v>
      </c>
      <c r="M22" s="2" t="s">
        <v>14</v>
      </c>
    </row>
    <row r="23" spans="1:13">
      <c r="A23" s="2">
        <f>COUNT(A2:A21)</f>
        <v>20</v>
      </c>
      <c r="B23" s="2">
        <f>SUM(B2:B21)</f>
        <v>317</v>
      </c>
      <c r="C23" s="2">
        <f>SUM(C2:C21)</f>
        <v>4955</v>
      </c>
      <c r="D23" s="2">
        <f t="shared" ref="D23:I23" si="10">SUM(D2:D21)</f>
        <v>5137</v>
      </c>
      <c r="E23" s="4">
        <f>ROUND(SUM(E2:E21),10)</f>
        <v>0</v>
      </c>
      <c r="F23" s="2">
        <f t="shared" si="10"/>
        <v>112.55</v>
      </c>
      <c r="G23" s="4">
        <f t="shared" si="10"/>
        <v>0</v>
      </c>
      <c r="H23" s="2">
        <f t="shared" si="10"/>
        <v>8709.75</v>
      </c>
      <c r="I23" s="2">
        <f t="shared" si="10"/>
        <v>909.25</v>
      </c>
      <c r="J23" s="2">
        <f t="shared" ref="J23:M23" si="11">SUM(J2:J21)</f>
        <v>4955</v>
      </c>
      <c r="K23" s="4">
        <f>ROUND(SUM(K2:K21),10)</f>
        <v>0</v>
      </c>
      <c r="L23" s="2">
        <f t="shared" si="11"/>
        <v>1364.25410928476</v>
      </c>
      <c r="M23" s="2">
        <f t="shared" si="11"/>
        <v>75.7918949602645</v>
      </c>
    </row>
    <row r="24" ht="16.15" spans="2:13">
      <c r="B24" s="2" t="s">
        <v>15</v>
      </c>
      <c r="C24" s="2" t="s">
        <v>15</v>
      </c>
      <c r="D24" s="2" t="s">
        <v>15</v>
      </c>
      <c r="E24" s="2" t="s">
        <v>15</v>
      </c>
      <c r="F24" s="2" t="s">
        <v>15</v>
      </c>
      <c r="G24" s="4" t="s">
        <v>15</v>
      </c>
      <c r="H24" s="2" t="s">
        <v>15</v>
      </c>
      <c r="I24" s="2" t="s">
        <v>15</v>
      </c>
      <c r="J24" s="2" t="s">
        <v>15</v>
      </c>
      <c r="K24" s="2" t="s">
        <v>15</v>
      </c>
      <c r="L24" s="2" t="s">
        <v>15</v>
      </c>
      <c r="M24" s="2" t="s">
        <v>15</v>
      </c>
    </row>
    <row r="25" spans="2:13">
      <c r="B25" s="2">
        <f>AVERAGE(B2:B21)</f>
        <v>15.85</v>
      </c>
      <c r="C25" s="2">
        <f>AVERAGE(C2:C21)</f>
        <v>247.75</v>
      </c>
      <c r="D25" s="2">
        <f t="shared" ref="D25:I25" si="12">AVERAGE(D2:D21)</f>
        <v>256.85</v>
      </c>
      <c r="E25" s="4">
        <f>ROUND(AVERAGE(E2:E21),10)</f>
        <v>0</v>
      </c>
      <c r="F25" s="2">
        <f t="shared" si="12"/>
        <v>5.6275</v>
      </c>
      <c r="G25" s="4">
        <f t="shared" si="12"/>
        <v>0</v>
      </c>
      <c r="H25" s="2">
        <f t="shared" si="12"/>
        <v>435.4875</v>
      </c>
      <c r="I25" s="2">
        <f t="shared" si="12"/>
        <v>45.4625</v>
      </c>
      <c r="J25" s="2">
        <f t="shared" ref="J25:M25" si="13">AVERAGE(J2:J21)</f>
        <v>247.75</v>
      </c>
      <c r="K25" s="4">
        <f>ROUND(AVERAGE(K2:K21),10)</f>
        <v>0</v>
      </c>
      <c r="L25" s="2">
        <f t="shared" si="13"/>
        <v>68.2127054642381</v>
      </c>
      <c r="M25" s="2">
        <f t="shared" si="13"/>
        <v>3.78959474801323</v>
      </c>
    </row>
    <row r="28" ht="16.15" spans="1:6">
      <c r="A28" s="2" t="s">
        <v>16</v>
      </c>
      <c r="B28" s="2" t="s">
        <v>17</v>
      </c>
      <c r="C28" s="2" t="s">
        <v>18</v>
      </c>
      <c r="D28" s="2" t="s">
        <v>19</v>
      </c>
      <c r="E28" s="2" t="s">
        <v>20</v>
      </c>
      <c r="F28" s="2" t="s">
        <v>21</v>
      </c>
    </row>
    <row r="29" spans="1:6">
      <c r="A29" s="4">
        <f>I23/F23</f>
        <v>8.0786317192359</v>
      </c>
      <c r="B29" s="4">
        <f>C25-A29*B25</f>
        <v>119.703687250111</v>
      </c>
      <c r="C29" s="4">
        <f>M23/(A23*(D25-B25^2))</f>
        <v>0.673406441228469</v>
      </c>
      <c r="D29" s="4">
        <f>C29*D25</f>
        <v>172.964444429532</v>
      </c>
      <c r="E29" s="4">
        <f>A29/SQRT(C29)</f>
        <v>9.84462499097719</v>
      </c>
      <c r="F29" s="4">
        <f>B29/SQRT(D29)</f>
        <v>9.10183818304628</v>
      </c>
    </row>
    <row r="32" ht="18" customHeight="1" spans="1:3">
      <c r="A32" s="5"/>
      <c r="B32" s="5"/>
      <c r="C32" s="5"/>
    </row>
    <row r="33" ht="48.4" spans="1:4">
      <c r="A33" s="2" t="s">
        <v>22</v>
      </c>
      <c r="B33" s="2" t="s">
        <v>23</v>
      </c>
      <c r="C33" s="2" t="s">
        <v>24</v>
      </c>
      <c r="D33" s="2" t="s">
        <v>25</v>
      </c>
    </row>
    <row r="34" ht="16.15" spans="1:4">
      <c r="A34" s="2">
        <v>0.9</v>
      </c>
      <c r="B34" s="4">
        <f>TINV(1-A34,$A$23-2)</f>
        <v>1.73406360661754</v>
      </c>
      <c r="C34" s="2" t="str">
        <f>IF(E$29&gt;$B34,"значимый","не значимый")</f>
        <v>значимый</v>
      </c>
      <c r="D34" s="2" t="str">
        <f>IF(F$29&gt;$B34,"значимый","не значимый")</f>
        <v>значимый</v>
      </c>
    </row>
    <row r="35" ht="16.15" spans="1:4">
      <c r="A35" s="2">
        <v>0.95</v>
      </c>
      <c r="B35" s="4">
        <f>TINV(1-A35,$A$23-2)</f>
        <v>2.10092204024104</v>
      </c>
      <c r="C35" s="2" t="str">
        <f t="shared" ref="C35:C36" si="14">IF(E$29&gt;$B35,"значимый","не значимый")</f>
        <v>значимый</v>
      </c>
      <c r="D35" s="2" t="str">
        <f t="shared" ref="D35:D36" si="15">IF(F$29&gt;$B35,"значимый","не значимый")</f>
        <v>значимый</v>
      </c>
    </row>
    <row r="36" ht="16.15" spans="1:4">
      <c r="A36" s="2">
        <v>0.99</v>
      </c>
      <c r="B36" s="4">
        <f>TINV(1-A36,$A$23-2)</f>
        <v>2.87844047273861</v>
      </c>
      <c r="C36" s="2" t="str">
        <f t="shared" si="14"/>
        <v>значимый</v>
      </c>
      <c r="D36" s="2" t="str">
        <f t="shared" si="15"/>
        <v>значимый</v>
      </c>
    </row>
    <row r="39" ht="16.15" spans="1:4">
      <c r="A39" s="2" t="s">
        <v>22</v>
      </c>
      <c r="B39" s="2" t="s">
        <v>26</v>
      </c>
      <c r="C39" s="2" t="s">
        <v>16</v>
      </c>
      <c r="D39" s="2" t="s">
        <v>17</v>
      </c>
    </row>
    <row r="40" ht="16.15" spans="1:4">
      <c r="A40" s="2">
        <v>0.9</v>
      </c>
      <c r="B40" s="2" t="s">
        <v>27</v>
      </c>
      <c r="C40" s="4">
        <f>A$29-$B34*SQRT(C$29)</f>
        <v>6.65563579319174</v>
      </c>
      <c r="D40" s="4">
        <f>B$29-$B34*SQRT(D$29)</f>
        <v>96.8979854277048</v>
      </c>
    </row>
    <row r="41" ht="16.15" spans="1:4">
      <c r="A41" s="2"/>
      <c r="B41" s="2" t="s">
        <v>28</v>
      </c>
      <c r="C41" s="4">
        <f>A$29+$B34*SQRT(C$29)</f>
        <v>9.50162764528005</v>
      </c>
      <c r="D41" s="4">
        <f>B$29+$B34*SQRT(D$29)</f>
        <v>142.509389072517</v>
      </c>
    </row>
    <row r="42" ht="16.15" spans="1:4">
      <c r="A42" s="2">
        <v>0.95</v>
      </c>
      <c r="B42" s="2" t="s">
        <v>27</v>
      </c>
      <c r="C42" s="4">
        <f>A$29-$B35*SQRT(C$29)</f>
        <v>6.35458682677034</v>
      </c>
      <c r="D42" s="4">
        <f>B$29-$B35*SQRT(D$29)</f>
        <v>92.0732119786085</v>
      </c>
    </row>
    <row r="43" ht="16.15" spans="1:4">
      <c r="A43" s="2"/>
      <c r="B43" s="2" t="s">
        <v>28</v>
      </c>
      <c r="C43" s="4">
        <f>A$29+$B35*SQRT(C$29)</f>
        <v>9.80267661170146</v>
      </c>
      <c r="D43" s="4">
        <f>B$29+$B35*SQRT(D$29)</f>
        <v>147.334162521614</v>
      </c>
    </row>
    <row r="44" ht="16.15" spans="1:4">
      <c r="A44" s="2">
        <v>0.99</v>
      </c>
      <c r="B44" s="2" t="s">
        <v>27</v>
      </c>
      <c r="C44" s="4">
        <f>A$29-$B36*SQRT(C$29)</f>
        <v>5.71654474016751</v>
      </c>
      <c r="D44" s="4">
        <f>B$29-$B36*SQRT(D$29)</f>
        <v>81.847604644889</v>
      </c>
    </row>
    <row r="45" ht="16.15" spans="1:4">
      <c r="A45" s="2"/>
      <c r="B45" s="2" t="s">
        <v>28</v>
      </c>
      <c r="C45" s="4">
        <f>A$29+$B36*SQRT(C$29)</f>
        <v>10.4407186983043</v>
      </c>
      <c r="D45" s="4">
        <f>B$29+$B36*SQRT(D$29)</f>
        <v>157.559769855333</v>
      </c>
    </row>
    <row r="47" ht="51" customHeight="1" spans="1:5">
      <c r="A47" s="2" t="s">
        <v>29</v>
      </c>
      <c r="C47" s="2" t="s">
        <v>30</v>
      </c>
      <c r="D47" s="2"/>
      <c r="E47" s="2"/>
    </row>
    <row r="48" spans="1:1">
      <c r="A48" s="2">
        <f>1-L23/H23</f>
        <v>0.8433647223761</v>
      </c>
    </row>
    <row r="50" ht="48.4" spans="1:3">
      <c r="A50" s="2" t="s">
        <v>22</v>
      </c>
      <c r="B50" s="2" t="s">
        <v>31</v>
      </c>
      <c r="C50" s="2" t="s">
        <v>32</v>
      </c>
    </row>
    <row r="51" ht="17" customHeight="1" spans="1:3">
      <c r="A51" s="2">
        <v>0.9</v>
      </c>
      <c r="B51" s="6">
        <f>FINV(1-A51,2,$A$23-2)</f>
        <v>2.62394698513396</v>
      </c>
      <c r="C51" s="2" t="str">
        <f>IF($B$58&gt;B51,"значимый","не значимый")</f>
        <v>значимый</v>
      </c>
    </row>
    <row r="52" spans="1:3">
      <c r="A52" s="2"/>
      <c r="B52" s="7"/>
      <c r="C52" s="2"/>
    </row>
    <row r="53" ht="16" customHeight="1" spans="1:3">
      <c r="A53" s="2">
        <v>0.95</v>
      </c>
      <c r="B53" s="6">
        <f t="shared" ref="B53" si="16">FINV(1-A53,2,$A$23-2)</f>
        <v>3.55455714566179</v>
      </c>
      <c r="C53" s="2" t="str">
        <f t="shared" ref="C53" si="17">IF($B$58&gt;B53,"значимый","не значимый")</f>
        <v>значимый</v>
      </c>
    </row>
    <row r="54" spans="1:3">
      <c r="A54" s="2"/>
      <c r="B54" s="7"/>
      <c r="C54" s="2"/>
    </row>
    <row r="55" ht="16" customHeight="1" spans="1:3">
      <c r="A55" s="2">
        <v>0.99</v>
      </c>
      <c r="B55" s="6">
        <f t="shared" ref="B55" si="18">FINV(1-A55,2,$A$23-2)</f>
        <v>6.01290483480053</v>
      </c>
      <c r="C55" s="2" t="str">
        <f t="shared" ref="C55" si="19">IF($B$58&gt;B55,"значимый","не значимый")</f>
        <v>значимый</v>
      </c>
    </row>
    <row r="56" spans="1:3">
      <c r="A56" s="2"/>
      <c r="B56" s="7"/>
      <c r="C56" s="2"/>
    </row>
    <row r="57" spans="2:2">
      <c r="B57" s="8"/>
    </row>
    <row r="58" ht="16.15" spans="1:2">
      <c r="A58" s="2" t="s">
        <v>33</v>
      </c>
      <c r="B58" s="4">
        <f>A48/(1-A48)*(A23-2)</f>
        <v>96.9166412129722</v>
      </c>
    </row>
    <row r="61" ht="16" customHeight="1" spans="3:8">
      <c r="C61" s="2" t="s">
        <v>22</v>
      </c>
      <c r="D61" s="2"/>
      <c r="E61" s="2"/>
      <c r="F61" s="2"/>
      <c r="G61" s="2"/>
      <c r="H61" s="2"/>
    </row>
    <row r="62" ht="16.15" spans="1:8">
      <c r="A62" s="2" t="s">
        <v>34</v>
      </c>
      <c r="B62" s="2" t="s">
        <v>35</v>
      </c>
      <c r="C62" s="2">
        <v>0.9</v>
      </c>
      <c r="D62" s="2"/>
      <c r="E62" s="2">
        <v>0.95</v>
      </c>
      <c r="F62" s="2"/>
      <c r="G62" s="2">
        <v>0.99</v>
      </c>
      <c r="H62" s="2"/>
    </row>
    <row r="63" spans="1:8">
      <c r="A63" s="2">
        <v>12</v>
      </c>
      <c r="B63" s="4">
        <f>$B$29+A63*$A$29</f>
        <v>216.647267880942</v>
      </c>
      <c r="C63" s="4">
        <f>B63-$B$34*SQRT($M$23)*SQRT(1/$A$23+(A63-$B$25)^2/($F$23))</f>
        <v>210.212241778178</v>
      </c>
      <c r="D63" s="4">
        <f>B63+$B$34*SQRT($M$23)*SQRT(1/$A$23+(A63-$B$25)^2/($F$23))</f>
        <v>223.082293983706</v>
      </c>
      <c r="E63" s="4">
        <f>B63-$B$35*SQRT($M$23)*SQRT(1/$A$23+(A63-$B$25)^2/($F$23))</f>
        <v>208.850847889639</v>
      </c>
      <c r="F63" s="4">
        <f>B63+$B$35*SQRT($M$23)*SQRT(1/$A$23+(A63-$B$25)^2/($F$23))</f>
        <v>224.443687872245</v>
      </c>
      <c r="G63" s="4">
        <f>B63-$B$36*SQRT($M$23)*SQRT(1/$A$23+(A63-$B$25)^2/($F$23))</f>
        <v>205.965514624234</v>
      </c>
      <c r="H63" s="4">
        <f>B63+$B$36*SQRT($M$23)*SQRT(1/$A$23+(A63-$B$25)^2/($F$23))</f>
        <v>227.32902113765</v>
      </c>
    </row>
    <row r="64" spans="1:8">
      <c r="A64" s="2">
        <v>13</v>
      </c>
      <c r="B64" s="4">
        <f t="shared" ref="B64:B71" si="20">$B$29+A64*$A$29</f>
        <v>224.725899600178</v>
      </c>
      <c r="C64" s="4">
        <f t="shared" ref="C64:C71" si="21">B64-$B$34*SQRT($M$23)*SQRT(1/$A$23+(A64-$B$25)^2/($F$23))</f>
        <v>219.449289483242</v>
      </c>
      <c r="D64" s="4">
        <f t="shared" ref="D64:D71" si="22">B64+$B$34*SQRT($M$23)*SQRT(1/$A$23+(A64-$B$25)^2/($F$23))</f>
        <v>230.002509717114</v>
      </c>
      <c r="E64" s="4">
        <f t="shared" ref="E64:E71" si="23">B64-$B$35*SQRT($M$23)*SQRT(1/$A$23+(A64-$B$25)^2/($F$23))</f>
        <v>218.332970038584</v>
      </c>
      <c r="F64" s="4">
        <f t="shared" ref="F64:F71" si="24">B64+$B$35*SQRT($M$23)*SQRT(1/$A$23+(A64-$B$25)^2/($F$23))</f>
        <v>231.118829161772</v>
      </c>
      <c r="G64" s="4">
        <f t="shared" ref="G64:G71" si="25">B64-$B$36*SQRT($M$23)*SQRT(1/$A$23+(A64-$B$25)^2/($F$23))</f>
        <v>215.9670466599</v>
      </c>
      <c r="H64" s="4">
        <f t="shared" ref="H64:H71" si="26">B64+$B$36*SQRT($M$23)*SQRT(1/$A$23+(A64-$B$25)^2/($F$23))</f>
        <v>233.484752540455</v>
      </c>
    </row>
    <row r="65" spans="1:8">
      <c r="A65" s="2">
        <v>14</v>
      </c>
      <c r="B65" s="4">
        <f t="shared" si="20"/>
        <v>232.804531319414</v>
      </c>
      <c r="C65" s="4">
        <f t="shared" si="21"/>
        <v>228.523701666166</v>
      </c>
      <c r="D65" s="4">
        <f t="shared" si="22"/>
        <v>237.085360972661</v>
      </c>
      <c r="E65" s="4">
        <f t="shared" si="23"/>
        <v>227.618049500233</v>
      </c>
      <c r="F65" s="4">
        <f t="shared" si="24"/>
        <v>237.991013138594</v>
      </c>
      <c r="G65" s="4">
        <f t="shared" si="25"/>
        <v>225.69861358734</v>
      </c>
      <c r="H65" s="4">
        <f t="shared" si="26"/>
        <v>239.910449051487</v>
      </c>
    </row>
    <row r="66" spans="1:8">
      <c r="A66" s="2">
        <v>15</v>
      </c>
      <c r="B66" s="4">
        <f t="shared" si="20"/>
        <v>240.88316303865</v>
      </c>
      <c r="C66" s="4">
        <f t="shared" si="21"/>
        <v>237.297326242981</v>
      </c>
      <c r="D66" s="4">
        <f t="shared" si="22"/>
        <v>244.468999834318</v>
      </c>
      <c r="E66" s="4">
        <f t="shared" si="23"/>
        <v>236.538706740751</v>
      </c>
      <c r="F66" s="4">
        <f t="shared" si="24"/>
        <v>245.227619336548</v>
      </c>
      <c r="G66" s="4">
        <f t="shared" si="25"/>
        <v>234.93089132157</v>
      </c>
      <c r="H66" s="4">
        <f t="shared" si="26"/>
        <v>246.835434755729</v>
      </c>
    </row>
    <row r="67" spans="1:8">
      <c r="A67" s="2">
        <v>16</v>
      </c>
      <c r="B67" s="4">
        <f t="shared" si="20"/>
        <v>248.961794757885</v>
      </c>
      <c r="C67" s="4">
        <f t="shared" si="21"/>
        <v>245.579372054956</v>
      </c>
      <c r="D67" s="4">
        <f t="shared" si="22"/>
        <v>252.344217460815</v>
      </c>
      <c r="E67" s="4">
        <f t="shared" si="23"/>
        <v>244.863786830796</v>
      </c>
      <c r="F67" s="4">
        <f t="shared" si="24"/>
        <v>253.059802684975</v>
      </c>
      <c r="G67" s="4">
        <f t="shared" si="25"/>
        <v>243.34717810434</v>
      </c>
      <c r="H67" s="4">
        <f t="shared" si="26"/>
        <v>254.576411411431</v>
      </c>
    </row>
    <row r="68" spans="1:8">
      <c r="A68" s="2">
        <v>17</v>
      </c>
      <c r="B68" s="4">
        <f t="shared" si="20"/>
        <v>257.040426477121</v>
      </c>
      <c r="C68" s="4">
        <f t="shared" si="21"/>
        <v>253.289003284719</v>
      </c>
      <c r="D68" s="4">
        <f t="shared" si="22"/>
        <v>260.791849669523</v>
      </c>
      <c r="E68" s="4">
        <f t="shared" si="23"/>
        <v>252.495352330411</v>
      </c>
      <c r="F68" s="4">
        <f t="shared" si="24"/>
        <v>261.585500623832</v>
      </c>
      <c r="G68" s="4">
        <f t="shared" si="25"/>
        <v>250.813291378863</v>
      </c>
      <c r="H68" s="4">
        <f t="shared" si="26"/>
        <v>263.267561575379</v>
      </c>
    </row>
    <row r="69" spans="1:8">
      <c r="A69" s="2">
        <v>18</v>
      </c>
      <c r="B69" s="4">
        <f t="shared" si="20"/>
        <v>265.119058196357</v>
      </c>
      <c r="C69" s="4">
        <f t="shared" si="21"/>
        <v>260.563248344446</v>
      </c>
      <c r="D69" s="4">
        <f t="shared" si="22"/>
        <v>269.674868048268</v>
      </c>
      <c r="E69" s="4">
        <f t="shared" si="23"/>
        <v>259.599421377673</v>
      </c>
      <c r="F69" s="4">
        <f t="shared" si="24"/>
        <v>270.638695015041</v>
      </c>
      <c r="G69" s="4">
        <f t="shared" si="25"/>
        <v>257.556690003058</v>
      </c>
      <c r="H69" s="4">
        <f t="shared" si="26"/>
        <v>272.681426389656</v>
      </c>
    </row>
    <row r="70" spans="1:8">
      <c r="A70" s="2">
        <v>19</v>
      </c>
      <c r="B70" s="4">
        <f t="shared" si="20"/>
        <v>273.197689915593</v>
      </c>
      <c r="C70" s="4">
        <f t="shared" si="21"/>
        <v>267.586320594641</v>
      </c>
      <c r="D70" s="4">
        <f t="shared" si="22"/>
        <v>278.809059236545</v>
      </c>
      <c r="E70" s="4">
        <f t="shared" si="23"/>
        <v>266.399179504942</v>
      </c>
      <c r="F70" s="4">
        <f t="shared" si="24"/>
        <v>279.996200326244</v>
      </c>
      <c r="G70" s="4">
        <f t="shared" si="25"/>
        <v>263.883156988847</v>
      </c>
      <c r="H70" s="4">
        <f t="shared" si="26"/>
        <v>282.512222842339</v>
      </c>
    </row>
    <row r="71" spans="1:8">
      <c r="A71" s="2">
        <v>20</v>
      </c>
      <c r="B71" s="4">
        <f t="shared" si="20"/>
        <v>281.276321634829</v>
      </c>
      <c r="C71" s="4">
        <f t="shared" si="21"/>
        <v>274.474162954193</v>
      </c>
      <c r="D71" s="4">
        <f t="shared" si="22"/>
        <v>288.078480315465</v>
      </c>
      <c r="E71" s="4">
        <f t="shared" si="23"/>
        <v>273.035098510817</v>
      </c>
      <c r="F71" s="4">
        <f t="shared" si="24"/>
        <v>289.517544758841</v>
      </c>
      <c r="G71" s="4">
        <f t="shared" si="25"/>
        <v>269.985150553438</v>
      </c>
      <c r="H71" s="4">
        <f t="shared" si="26"/>
        <v>292.56749271622</v>
      </c>
    </row>
    <row r="106" ht="16" customHeight="1" spans="1:5">
      <c r="A106" s="10" t="s">
        <v>36</v>
      </c>
      <c r="B106" s="10"/>
      <c r="C106" s="10"/>
      <c r="D106" s="10"/>
      <c r="E106" s="10"/>
    </row>
    <row r="107" spans="1:5">
      <c r="A107" s="10"/>
      <c r="B107" s="10"/>
      <c r="C107" s="10"/>
      <c r="D107" s="10"/>
      <c r="E107" s="10"/>
    </row>
    <row r="108" spans="1:5">
      <c r="A108" s="10"/>
      <c r="B108" s="10"/>
      <c r="C108" s="10"/>
      <c r="D108" s="10"/>
      <c r="E108" s="10"/>
    </row>
  </sheetData>
  <mergeCells count="18">
    <mergeCell ref="C47:E47"/>
    <mergeCell ref="C61:H61"/>
    <mergeCell ref="C62:D62"/>
    <mergeCell ref="E62:F62"/>
    <mergeCell ref="G62:H62"/>
    <mergeCell ref="A40:A41"/>
    <mergeCell ref="A42:A43"/>
    <mergeCell ref="A44:A45"/>
    <mergeCell ref="A51:A52"/>
    <mergeCell ref="A53:A54"/>
    <mergeCell ref="A55:A56"/>
    <mergeCell ref="B51:B52"/>
    <mergeCell ref="B53:B54"/>
    <mergeCell ref="B55:B56"/>
    <mergeCell ref="C51:C52"/>
    <mergeCell ref="C53:C54"/>
    <mergeCell ref="C55:C56"/>
    <mergeCell ref="A106:E108"/>
  </mergeCells>
  <pageMargins left="0.7" right="0.7" top="0.75" bottom="0.75" header="0.3" footer="0.3"/>
  <headerFooter/>
  <ignoredErrors>
    <ignoredError sqref="K25 K23 E23 G2:G21" formula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Лист1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Egorov</dc:creator>
  <cp:lastModifiedBy>sasha</cp:lastModifiedBy>
  <dcterms:created xsi:type="dcterms:W3CDTF">2026-09-17T21:31:00Z</dcterms:created>
  <dcterms:modified xsi:type="dcterms:W3CDTF">2026-09-30T19:59:54Z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