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sasha\BSUIR\7 semester\SMAD\lab3\Vanus\"/>
    </mc:Choice>
  </mc:AlternateContent>
  <xr:revisionPtr revIDLastSave="0" documentId="13_ncr:1_{D6B35A27-06EB-4085-B0EA-3BE23C4B441C}" xr6:coauthVersionLast="47" xr6:coauthVersionMax="47" xr10:uidLastSave="{00000000-0000-0000-0000-000000000000}"/>
  <bookViews>
    <workbookView xWindow="9" yWindow="9" windowWidth="21925" windowHeight="12977" xr2:uid="{00000000-000D-0000-FFFF-FFFF00000000}"/>
  </bookViews>
  <sheets>
    <sheet name="Лист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1" l="1"/>
  <c r="I23" i="1"/>
  <c r="C25" i="1"/>
  <c r="B25" i="1"/>
  <c r="C23" i="1"/>
  <c r="B23" i="1"/>
  <c r="A23" i="1"/>
  <c r="G21" i="1"/>
  <c r="H21" i="1" s="1"/>
  <c r="E21" i="1"/>
  <c r="I21" i="1" s="1"/>
  <c r="D21" i="1"/>
  <c r="E20" i="1"/>
  <c r="D20" i="1"/>
  <c r="H19" i="1"/>
  <c r="G19" i="1"/>
  <c r="E19" i="1"/>
  <c r="F19" i="1" s="1"/>
  <c r="D19" i="1"/>
  <c r="E18" i="1"/>
  <c r="D18" i="1"/>
  <c r="G17" i="1"/>
  <c r="H17" i="1" s="1"/>
  <c r="E17" i="1"/>
  <c r="F17" i="1" s="1"/>
  <c r="D17" i="1"/>
  <c r="E16" i="1"/>
  <c r="D16" i="1"/>
  <c r="G15" i="1"/>
  <c r="H15" i="1" s="1"/>
  <c r="E15" i="1"/>
  <c r="I15" i="1" s="1"/>
  <c r="D15" i="1"/>
  <c r="E14" i="1"/>
  <c r="D14" i="1"/>
  <c r="I13" i="1"/>
  <c r="G13" i="1"/>
  <c r="H13" i="1" s="1"/>
  <c r="E13" i="1"/>
  <c r="F13" i="1" s="1"/>
  <c r="D13" i="1"/>
  <c r="E12" i="1"/>
  <c r="D12" i="1"/>
  <c r="G11" i="1"/>
  <c r="H11" i="1" s="1"/>
  <c r="E11" i="1"/>
  <c r="I11" i="1" s="1"/>
  <c r="D11" i="1"/>
  <c r="E10" i="1"/>
  <c r="D10" i="1"/>
  <c r="G9" i="1"/>
  <c r="H9" i="1" s="1"/>
  <c r="E9" i="1"/>
  <c r="F9" i="1" s="1"/>
  <c r="D9" i="1"/>
  <c r="E8" i="1"/>
  <c r="D8" i="1"/>
  <c r="G7" i="1"/>
  <c r="I7" i="1" s="1"/>
  <c r="E7" i="1"/>
  <c r="F7" i="1" s="1"/>
  <c r="D7" i="1"/>
  <c r="E6" i="1"/>
  <c r="D6" i="1"/>
  <c r="G5" i="1"/>
  <c r="H5" i="1" s="1"/>
  <c r="E5" i="1"/>
  <c r="F5" i="1" s="1"/>
  <c r="D5" i="1"/>
  <c r="E4" i="1"/>
  <c r="D4" i="1"/>
  <c r="G3" i="1"/>
  <c r="I3" i="1" s="1"/>
  <c r="E3" i="1"/>
  <c r="F3" i="1" s="1"/>
  <c r="D3" i="1"/>
  <c r="E2" i="1"/>
  <c r="D2" i="1"/>
  <c r="F10" i="1" l="1"/>
  <c r="F20" i="1"/>
  <c r="H7" i="1"/>
  <c r="F8" i="1"/>
  <c r="B55" i="1"/>
  <c r="B36" i="1"/>
  <c r="B35" i="1"/>
  <c r="I17" i="1"/>
  <c r="F21" i="1"/>
  <c r="E23" i="1"/>
  <c r="F2" i="1"/>
  <c r="I2" i="1"/>
  <c r="F11" i="1"/>
  <c r="I4" i="1"/>
  <c r="F4" i="1"/>
  <c r="F15" i="1"/>
  <c r="I18" i="1"/>
  <c r="F18" i="1"/>
  <c r="F12" i="1"/>
  <c r="I9" i="1"/>
  <c r="I19" i="1"/>
  <c r="B51" i="1"/>
  <c r="B34" i="1"/>
  <c r="F6" i="1"/>
  <c r="I6" i="1"/>
  <c r="F16" i="1"/>
  <c r="B53" i="1"/>
  <c r="I5" i="1"/>
  <c r="H3" i="1"/>
  <c r="E25" i="1"/>
  <c r="I14" i="1"/>
  <c r="F14" i="1"/>
  <c r="D23" i="1"/>
  <c r="D25" i="1"/>
  <c r="G2" i="1"/>
  <c r="G4" i="1"/>
  <c r="H4" i="1" s="1"/>
  <c r="G6" i="1"/>
  <c r="H6" i="1" s="1"/>
  <c r="G8" i="1"/>
  <c r="H8" i="1" s="1"/>
  <c r="G10" i="1"/>
  <c r="H10" i="1" s="1"/>
  <c r="G12" i="1"/>
  <c r="H12" i="1" s="1"/>
  <c r="G14" i="1"/>
  <c r="H14" i="1" s="1"/>
  <c r="G16" i="1"/>
  <c r="H16" i="1" s="1"/>
  <c r="G18" i="1"/>
  <c r="H18" i="1" s="1"/>
  <c r="G20" i="1"/>
  <c r="H20" i="1" s="1"/>
  <c r="I16" i="1" l="1"/>
  <c r="F25" i="1"/>
  <c r="F23" i="1"/>
  <c r="I12" i="1"/>
  <c r="I8" i="1"/>
  <c r="I20" i="1"/>
  <c r="G23" i="1"/>
  <c r="H2" i="1"/>
  <c r="G25" i="1"/>
  <c r="I10" i="1"/>
  <c r="A29" i="1" s="1"/>
  <c r="B29" i="1" l="1"/>
  <c r="H23" i="1"/>
  <c r="H25" i="1"/>
  <c r="B69" i="1" l="1"/>
  <c r="B63" i="1"/>
  <c r="B65" i="1"/>
  <c r="B70" i="1"/>
  <c r="B67" i="1"/>
  <c r="B64" i="1"/>
  <c r="J18" i="1"/>
  <c r="K18" i="1" s="1"/>
  <c r="L18" i="1" s="1"/>
  <c r="M18" i="1" s="1"/>
  <c r="J14" i="1"/>
  <c r="K14" i="1" s="1"/>
  <c r="L14" i="1" s="1"/>
  <c r="M14" i="1" s="1"/>
  <c r="J10" i="1"/>
  <c r="K10" i="1" s="1"/>
  <c r="L10" i="1" s="1"/>
  <c r="M10" i="1" s="1"/>
  <c r="J6" i="1"/>
  <c r="K6" i="1" s="1"/>
  <c r="L6" i="1" s="1"/>
  <c r="M6" i="1" s="1"/>
  <c r="J2" i="1"/>
  <c r="B66" i="1"/>
  <c r="J20" i="1"/>
  <c r="K20" i="1" s="1"/>
  <c r="L20" i="1" s="1"/>
  <c r="M20" i="1" s="1"/>
  <c r="J16" i="1"/>
  <c r="K16" i="1" s="1"/>
  <c r="L16" i="1" s="1"/>
  <c r="M16" i="1" s="1"/>
  <c r="J12" i="1"/>
  <c r="K12" i="1" s="1"/>
  <c r="L12" i="1" s="1"/>
  <c r="M12" i="1" s="1"/>
  <c r="J8" i="1"/>
  <c r="K8" i="1" s="1"/>
  <c r="L8" i="1" s="1"/>
  <c r="M8" i="1" s="1"/>
  <c r="J4" i="1"/>
  <c r="K4" i="1" s="1"/>
  <c r="L4" i="1" s="1"/>
  <c r="M4" i="1" s="1"/>
  <c r="J13" i="1"/>
  <c r="K13" i="1" s="1"/>
  <c r="L13" i="1" s="1"/>
  <c r="M13" i="1" s="1"/>
  <c r="J3" i="1"/>
  <c r="K3" i="1" s="1"/>
  <c r="L3" i="1" s="1"/>
  <c r="M3" i="1" s="1"/>
  <c r="B68" i="1"/>
  <c r="B71" i="1"/>
  <c r="J15" i="1"/>
  <c r="K15" i="1" s="1"/>
  <c r="L15" i="1" s="1"/>
  <c r="M15" i="1" s="1"/>
  <c r="J21" i="1"/>
  <c r="K21" i="1" s="1"/>
  <c r="L21" i="1" s="1"/>
  <c r="M21" i="1" s="1"/>
  <c r="J11" i="1"/>
  <c r="K11" i="1" s="1"/>
  <c r="L11" i="1" s="1"/>
  <c r="M11" i="1" s="1"/>
  <c r="J17" i="1"/>
  <c r="K17" i="1" s="1"/>
  <c r="L17" i="1" s="1"/>
  <c r="M17" i="1" s="1"/>
  <c r="J19" i="1"/>
  <c r="K19" i="1" s="1"/>
  <c r="L19" i="1" s="1"/>
  <c r="M19" i="1" s="1"/>
  <c r="J9" i="1"/>
  <c r="K9" i="1" s="1"/>
  <c r="L9" i="1" s="1"/>
  <c r="M9" i="1" s="1"/>
  <c r="J7" i="1"/>
  <c r="K7" i="1" s="1"/>
  <c r="L7" i="1" s="1"/>
  <c r="M7" i="1" s="1"/>
  <c r="J5" i="1"/>
  <c r="K5" i="1" s="1"/>
  <c r="L5" i="1" s="1"/>
  <c r="M5" i="1" s="1"/>
  <c r="J23" i="1" l="1"/>
  <c r="K2" i="1"/>
  <c r="J25" i="1"/>
  <c r="K25" i="1" l="1"/>
  <c r="L2" i="1"/>
  <c r="K23" i="1"/>
  <c r="M2" i="1" l="1"/>
  <c r="L25" i="1"/>
  <c r="L23" i="1"/>
  <c r="A48" i="1" s="1"/>
  <c r="B58" i="1" s="1"/>
  <c r="C51" i="1" l="1"/>
  <c r="C55" i="1"/>
  <c r="C53" i="1"/>
  <c r="M25" i="1"/>
  <c r="M23" i="1"/>
  <c r="C29" i="1" l="1"/>
  <c r="C66" i="1"/>
  <c r="H64" i="1"/>
  <c r="G63" i="1"/>
  <c r="F64" i="1"/>
  <c r="F63" i="1"/>
  <c r="E71" i="1"/>
  <c r="G65" i="1"/>
  <c r="D63" i="1"/>
  <c r="G66" i="1"/>
  <c r="D66" i="1"/>
  <c r="C67" i="1"/>
  <c r="H70" i="1"/>
  <c r="H68" i="1"/>
  <c r="H69" i="1"/>
  <c r="F69" i="1"/>
  <c r="D69" i="1"/>
  <c r="C63" i="1"/>
  <c r="H66" i="1"/>
  <c r="E64" i="1"/>
  <c r="F66" i="1"/>
  <c r="G64" i="1"/>
  <c r="H67" i="1"/>
  <c r="G68" i="1"/>
  <c r="E66" i="1"/>
  <c r="H71" i="1"/>
  <c r="F67" i="1"/>
  <c r="G70" i="1"/>
  <c r="F71" i="1"/>
  <c r="G67" i="1"/>
  <c r="D70" i="1"/>
  <c r="E67" i="1"/>
  <c r="C70" i="1"/>
  <c r="C71" i="1"/>
  <c r="D67" i="1"/>
  <c r="F70" i="1"/>
  <c r="G71" i="1"/>
  <c r="E70" i="1"/>
  <c r="H65" i="1"/>
  <c r="F68" i="1"/>
  <c r="E68" i="1"/>
  <c r="C68" i="1"/>
  <c r="C69" i="1"/>
  <c r="H63" i="1"/>
  <c r="C64" i="1"/>
  <c r="D71" i="1"/>
  <c r="G69" i="1"/>
  <c r="E69" i="1"/>
  <c r="E65" i="1"/>
  <c r="C65" i="1"/>
  <c r="F65" i="1"/>
  <c r="E63" i="1"/>
  <c r="D68" i="1"/>
  <c r="D65" i="1"/>
  <c r="D64" i="1"/>
  <c r="D29" i="1" l="1"/>
  <c r="C41" i="1"/>
  <c r="C40" i="1"/>
  <c r="E29" i="1"/>
  <c r="C44" i="1"/>
  <c r="C43" i="1"/>
  <c r="C42" i="1"/>
  <c r="C45" i="1"/>
  <c r="C35" i="1" l="1"/>
  <c r="C34" i="1"/>
  <c r="C36" i="1"/>
  <c r="D44" i="1"/>
  <c r="D42" i="1"/>
  <c r="F29" i="1"/>
  <c r="D40" i="1"/>
  <c r="D43" i="1"/>
  <c r="D45" i="1"/>
  <c r="D41" i="1"/>
  <c r="D34" i="1" l="1"/>
  <c r="D36" i="1"/>
  <c r="D35" i="1"/>
</calcChain>
</file>

<file path=xl/sharedStrings.xml><?xml version="1.0" encoding="utf-8"?>
<sst xmlns="http://schemas.openxmlformats.org/spreadsheetml/2006/main" count="68" uniqueCount="37">
  <si>
    <t>t</t>
  </si>
  <si>
    <t>xt</t>
  </si>
  <si>
    <t>yt</t>
  </si>
  <si>
    <t>xₜ²</t>
  </si>
  <si>
    <t>xₜ−x̄</t>
  </si>
  <si>
    <t>(xₜ−x̄)²</t>
  </si>
  <si>
    <t>yₜ−ȳ</t>
  </si>
  <si>
    <t>(yₜ−ȳ)²</t>
  </si>
  <si>
    <t>(xₜ−x̄)(yₜ−ȳ)</t>
  </si>
  <si>
    <t>ŷₜ</t>
  </si>
  <si>
    <t>eₜ</t>
  </si>
  <si>
    <t>eₜ²</t>
  </si>
  <si>
    <t>sₜ²</t>
  </si>
  <si>
    <t>T</t>
  </si>
  <si>
    <t>Сумма</t>
  </si>
  <si>
    <t>Среднее</t>
  </si>
  <si>
    <t>â₁</t>
  </si>
  <si>
    <t>â₀</t>
  </si>
  <si>
    <t>s²_â₁</t>
  </si>
  <si>
    <t>s²_â₀</t>
  </si>
  <si>
    <t>t_â₁</t>
  </si>
  <si>
    <t>t_â₀</t>
  </si>
  <si>
    <t>γ</t>
  </si>
  <si>
    <t>Квантиль распределения Стьюдента</t>
  </si>
  <si>
    <t>статическая значимость  t_â₁</t>
  </si>
  <si>
    <t>статическаяя и значимость t_â₀</t>
  </si>
  <si>
    <t>гран</t>
  </si>
  <si>
    <t>левая гран.</t>
  </si>
  <si>
    <t>правая гран.</t>
  </si>
  <si>
    <t>Коэффициент детерминации модели</t>
  </si>
  <si>
    <t>Коэффициент детерминации модели 0.84&gt;0.7 =&gt; модель может считаться адекватной.</t>
  </si>
  <si>
    <t>Квантиль распределения Фишера</t>
  </si>
  <si>
    <t>Статическая значимость R²</t>
  </si>
  <si>
    <t>FR²</t>
  </si>
  <si>
    <t>xпр</t>
  </si>
  <si>
    <t>ŷпр</t>
  </si>
  <si>
    <t>Остатки распределены случайно вокруг нуля, закономерности не видно;  распределение остатков визуально соответствует случайному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</si>
</sst>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Aptos Narrow"/>
      <charset val="204"/>
      <scheme val="minor"/>
    </font>
    <font>
      <sz val="12"/>
      <color theme="1"/>
      <name val="Menlo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Лист1!$B$2:$B$21</c:f>
              <c:numCache>
                <c:formatCode>General</c:formatCode>
                <c:ptCount val="20"/>
                <c:pt idx="0">
                  <c:v>14</c:v>
                </c:pt>
                <c:pt idx="1">
                  <c:v>16</c:v>
                </c:pt>
                <c:pt idx="2">
                  <c:v>17</c:v>
                </c:pt>
                <c:pt idx="3">
                  <c:v>19</c:v>
                </c:pt>
                <c:pt idx="4">
                  <c:v>18</c:v>
                </c:pt>
                <c:pt idx="5">
                  <c:v>15</c:v>
                </c:pt>
                <c:pt idx="6">
                  <c:v>14</c:v>
                </c:pt>
                <c:pt idx="7">
                  <c:v>18</c:v>
                </c:pt>
                <c:pt idx="8">
                  <c:v>17</c:v>
                </c:pt>
                <c:pt idx="9">
                  <c:v>15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18</c:v>
                </c:pt>
                <c:pt idx="15">
                  <c:v>20</c:v>
                </c:pt>
                <c:pt idx="16">
                  <c:v>12</c:v>
                </c:pt>
                <c:pt idx="17">
                  <c:v>13</c:v>
                </c:pt>
                <c:pt idx="18">
                  <c:v>12</c:v>
                </c:pt>
                <c:pt idx="19">
                  <c:v>14</c:v>
                </c:pt>
              </c:numCache>
            </c:numRef>
          </c:xVal>
          <c:yVal>
            <c:numRef>
              <c:f>Лист1!$C$2:$C$21</c:f>
              <c:numCache>
                <c:formatCode>General</c:formatCode>
                <c:ptCount val="20"/>
                <c:pt idx="0">
                  <c:v>222</c:v>
                </c:pt>
                <c:pt idx="1">
                  <c:v>241</c:v>
                </c:pt>
                <c:pt idx="2">
                  <c:v>243</c:v>
                </c:pt>
                <c:pt idx="3">
                  <c:v>285</c:v>
                </c:pt>
                <c:pt idx="4">
                  <c:v>253</c:v>
                </c:pt>
                <c:pt idx="5">
                  <c:v>247</c:v>
                </c:pt>
                <c:pt idx="6">
                  <c:v>246</c:v>
                </c:pt>
                <c:pt idx="7">
                  <c:v>276</c:v>
                </c:pt>
                <c:pt idx="8">
                  <c:v>261</c:v>
                </c:pt>
                <c:pt idx="9">
                  <c:v>254</c:v>
                </c:pt>
                <c:pt idx="10">
                  <c:v>229</c:v>
                </c:pt>
                <c:pt idx="11">
                  <c:v>249</c:v>
                </c:pt>
                <c:pt idx="12">
                  <c:v>252</c:v>
                </c:pt>
                <c:pt idx="13">
                  <c:v>279</c:v>
                </c:pt>
                <c:pt idx="14">
                  <c:v>262</c:v>
                </c:pt>
                <c:pt idx="15">
                  <c:v>275</c:v>
                </c:pt>
                <c:pt idx="16">
                  <c:v>211</c:v>
                </c:pt>
                <c:pt idx="17">
                  <c:v>220</c:v>
                </c:pt>
                <c:pt idx="18">
                  <c:v>218</c:v>
                </c:pt>
                <c:pt idx="19">
                  <c:v>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68-4D9E-BE6D-E26306BF7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0128543"/>
        <c:axId val="1980130255"/>
      </c:scatterChart>
      <c:valAx>
        <c:axId val="1980128543"/>
        <c:scaling>
          <c:orientation val="minMax"/>
          <c:max val="20"/>
          <c:min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0130255"/>
        <c:crosses val="autoZero"/>
        <c:crossBetween val="midCat"/>
      </c:valAx>
      <c:valAx>
        <c:axId val="1980130255"/>
        <c:scaling>
          <c:orientation val="minMax"/>
          <c:max val="300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0128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для </a:t>
            </a:r>
            <a:r>
              <a:rPr lang="el-GR"/>
              <a:t>γ</a:t>
            </a:r>
            <a:r>
              <a:rPr lang="ru-RU"/>
              <a:t> = 0,9</a:t>
            </a:r>
            <a:r>
              <a:rPr lang="ru-RU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ŷпр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Лист1!$A$63:$A$71</c:f>
              <c:numCache>
                <c:formatCode>General</c:formatCode>
                <c:ptCount val="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</c:numCache>
            </c:numRef>
          </c:cat>
          <c:val>
            <c:numRef>
              <c:f>Лист1!$B$63:$B$71</c:f>
              <c:numCache>
                <c:formatCode>0.0000</c:formatCode>
                <c:ptCount val="9"/>
                <c:pt idx="0">
                  <c:v>216.64726788094183</c:v>
                </c:pt>
                <c:pt idx="1">
                  <c:v>224.72589960017771</c:v>
                </c:pt>
                <c:pt idx="2">
                  <c:v>232.80453131941363</c:v>
                </c:pt>
                <c:pt idx="3">
                  <c:v>240.88316303864951</c:v>
                </c:pt>
                <c:pt idx="4">
                  <c:v>248.9617947578854</c:v>
                </c:pt>
                <c:pt idx="5">
                  <c:v>257.04042647712129</c:v>
                </c:pt>
                <c:pt idx="6">
                  <c:v>265.11905819635717</c:v>
                </c:pt>
                <c:pt idx="7">
                  <c:v>273.19768991559306</c:v>
                </c:pt>
                <c:pt idx="8">
                  <c:v>281.27632163482895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1F-4232-B183-9A85BB153C4C}"/>
            </c:ext>
          </c:extLst>
        </c:ser>
        <c:ser>
          <c:idx val="2"/>
          <c:order val="1"/>
          <c:tx>
            <c:v>лев.дов.инт.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Лист1!$A$63:$A$71</c:f>
              <c:numCache>
                <c:formatCode>General</c:formatCode>
                <c:ptCount val="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</c:numCache>
            </c:numRef>
          </c:cat>
          <c:val>
            <c:numRef>
              <c:f>Лист1!$C$63:$C$71</c:f>
              <c:numCache>
                <c:formatCode>0.0000</c:formatCode>
                <c:ptCount val="9"/>
                <c:pt idx="0">
                  <c:v>210.21224177817754</c:v>
                </c:pt>
                <c:pt idx="1">
                  <c:v>219.4492894832417</c:v>
                </c:pt>
                <c:pt idx="2">
                  <c:v>228.52370166616632</c:v>
                </c:pt>
                <c:pt idx="3">
                  <c:v>237.29732624298131</c:v>
                </c:pt>
                <c:pt idx="4">
                  <c:v>245.57937205495614</c:v>
                </c:pt>
                <c:pt idx="5">
                  <c:v>253.28900328471937</c:v>
                </c:pt>
                <c:pt idx="6">
                  <c:v>260.56324834444638</c:v>
                </c:pt>
                <c:pt idx="7">
                  <c:v>267.58632059464117</c:v>
                </c:pt>
                <c:pt idx="8">
                  <c:v>274.4741629541931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1F-4232-B183-9A85BB153C4C}"/>
            </c:ext>
          </c:extLst>
        </c:ser>
        <c:ser>
          <c:idx val="3"/>
          <c:order val="2"/>
          <c:tx>
            <c:v>прав.дов.инт.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Лист1!$A$63:$A$71</c:f>
              <c:numCache>
                <c:formatCode>General</c:formatCode>
                <c:ptCount val="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</c:numCache>
            </c:numRef>
          </c:cat>
          <c:val>
            <c:numRef>
              <c:f>Лист1!$D$63:$D$71</c:f>
              <c:numCache>
                <c:formatCode>0.0000</c:formatCode>
                <c:ptCount val="9"/>
                <c:pt idx="0">
                  <c:v>223.08229398370611</c:v>
                </c:pt>
                <c:pt idx="1">
                  <c:v>230.00250971711372</c:v>
                </c:pt>
                <c:pt idx="2">
                  <c:v>237.08536097266094</c:v>
                </c:pt>
                <c:pt idx="3">
                  <c:v>244.46899983431771</c:v>
                </c:pt>
                <c:pt idx="4">
                  <c:v>252.34421746081466</c:v>
                </c:pt>
                <c:pt idx="5">
                  <c:v>260.79184966952323</c:v>
                </c:pt>
                <c:pt idx="6">
                  <c:v>269.67486804826797</c:v>
                </c:pt>
                <c:pt idx="7">
                  <c:v>278.80905923654495</c:v>
                </c:pt>
                <c:pt idx="8">
                  <c:v>288.07848031546479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1F-4232-B183-9A85BB153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1893408"/>
        <c:axId val="292084016"/>
      </c:lineChart>
      <c:catAx>
        <c:axId val="29189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2084016"/>
        <c:crosses val="autoZero"/>
        <c:auto val="1"/>
        <c:lblAlgn val="ctr"/>
        <c:lblOffset val="100"/>
        <c:noMultiLvlLbl val="0"/>
      </c:catAx>
      <c:valAx>
        <c:axId val="292084016"/>
        <c:scaling>
          <c:orientation val="minMax"/>
          <c:max val="310"/>
          <c:min val="1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18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для </a:t>
            </a:r>
            <a:r>
              <a:rPr lang="el-GR"/>
              <a:t>γ</a:t>
            </a:r>
            <a:r>
              <a:rPr lang="ru-RU"/>
              <a:t> = 0,95</a:t>
            </a:r>
            <a:r>
              <a:rPr lang="ru-RU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ŷпр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Лист1!$A$63:$A$71</c:f>
              <c:numCache>
                <c:formatCode>General</c:formatCode>
                <c:ptCount val="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</c:numCache>
            </c:numRef>
          </c:cat>
          <c:val>
            <c:numRef>
              <c:f>Лист1!$B$63:$B$71</c:f>
              <c:numCache>
                <c:formatCode>0.0000</c:formatCode>
                <c:ptCount val="9"/>
                <c:pt idx="0">
                  <c:v>216.64726788094183</c:v>
                </c:pt>
                <c:pt idx="1">
                  <c:v>224.72589960017771</c:v>
                </c:pt>
                <c:pt idx="2">
                  <c:v>232.80453131941363</c:v>
                </c:pt>
                <c:pt idx="3">
                  <c:v>240.88316303864951</c:v>
                </c:pt>
                <c:pt idx="4">
                  <c:v>248.9617947578854</c:v>
                </c:pt>
                <c:pt idx="5">
                  <c:v>257.04042647712129</c:v>
                </c:pt>
                <c:pt idx="6">
                  <c:v>265.11905819635717</c:v>
                </c:pt>
                <c:pt idx="7">
                  <c:v>273.19768991559306</c:v>
                </c:pt>
                <c:pt idx="8">
                  <c:v>281.27632163482895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23-4611-BEB9-2C0DE16A3D20}"/>
            </c:ext>
          </c:extLst>
        </c:ser>
        <c:ser>
          <c:idx val="2"/>
          <c:order val="1"/>
          <c:tx>
            <c:v>лев.дов.инт.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Лист1!$A$63:$A$71</c:f>
              <c:numCache>
                <c:formatCode>General</c:formatCode>
                <c:ptCount val="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</c:numCache>
            </c:numRef>
          </c:cat>
          <c:val>
            <c:numRef>
              <c:f>Лист1!$E$63:$E$71</c:f>
              <c:numCache>
                <c:formatCode>0.0000</c:formatCode>
                <c:ptCount val="9"/>
                <c:pt idx="0">
                  <c:v>208.85084788963886</c:v>
                </c:pt>
                <c:pt idx="1">
                  <c:v>218.33297003858365</c:v>
                </c:pt>
                <c:pt idx="2">
                  <c:v>227.61804950023298</c:v>
                </c:pt>
                <c:pt idx="3">
                  <c:v>236.53870674075074</c:v>
                </c:pt>
                <c:pt idx="4">
                  <c:v>244.8637868307961</c:v>
                </c:pt>
                <c:pt idx="5">
                  <c:v>252.49535233041098</c:v>
                </c:pt>
                <c:pt idx="6">
                  <c:v>259.59942137767291</c:v>
                </c:pt>
                <c:pt idx="7">
                  <c:v>266.39917950494214</c:v>
                </c:pt>
                <c:pt idx="8">
                  <c:v>273.03509851081657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23-4611-BEB9-2C0DE16A3D20}"/>
            </c:ext>
          </c:extLst>
        </c:ser>
        <c:ser>
          <c:idx val="3"/>
          <c:order val="2"/>
          <c:tx>
            <c:v>прав.дов.инт.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Лист1!$A$63:$A$71</c:f>
              <c:numCache>
                <c:formatCode>General</c:formatCode>
                <c:ptCount val="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</c:numCache>
            </c:numRef>
          </c:cat>
          <c:val>
            <c:numRef>
              <c:f>Лист1!$F$63:$F$71</c:f>
              <c:numCache>
                <c:formatCode>0.0000</c:formatCode>
                <c:ptCount val="9"/>
                <c:pt idx="0">
                  <c:v>224.44368787224479</c:v>
                </c:pt>
                <c:pt idx="1">
                  <c:v>231.11882916177177</c:v>
                </c:pt>
                <c:pt idx="2">
                  <c:v>237.99101313859427</c:v>
                </c:pt>
                <c:pt idx="3">
                  <c:v>245.22761933654829</c:v>
                </c:pt>
                <c:pt idx="4">
                  <c:v>253.0598026849747</c:v>
                </c:pt>
                <c:pt idx="5">
                  <c:v>261.58550062383159</c:v>
                </c:pt>
                <c:pt idx="6">
                  <c:v>270.63869501504143</c:v>
                </c:pt>
                <c:pt idx="7">
                  <c:v>279.99620032624398</c:v>
                </c:pt>
                <c:pt idx="8">
                  <c:v>289.51754475884132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23-4611-BEB9-2C0DE16A3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1893408"/>
        <c:axId val="292084016"/>
      </c:lineChart>
      <c:catAx>
        <c:axId val="29189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2084016"/>
        <c:crosses val="autoZero"/>
        <c:auto val="1"/>
        <c:lblAlgn val="ctr"/>
        <c:lblOffset val="100"/>
        <c:noMultiLvlLbl val="0"/>
      </c:catAx>
      <c:valAx>
        <c:axId val="292084016"/>
        <c:scaling>
          <c:orientation val="minMax"/>
          <c:max val="310"/>
          <c:min val="1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18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для </a:t>
            </a:r>
            <a:r>
              <a:rPr lang="el-GR"/>
              <a:t>γ</a:t>
            </a:r>
            <a:r>
              <a:rPr lang="ru-RU"/>
              <a:t> = 0,99</a:t>
            </a:r>
            <a:r>
              <a:rPr lang="ru-RU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ŷпр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Лист1!$A$63:$A$71</c:f>
              <c:numCache>
                <c:formatCode>General</c:formatCode>
                <c:ptCount val="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</c:numCache>
            </c:numRef>
          </c:cat>
          <c:val>
            <c:numRef>
              <c:f>Лист1!$B$63:$B$71</c:f>
              <c:numCache>
                <c:formatCode>0.0000</c:formatCode>
                <c:ptCount val="9"/>
                <c:pt idx="0">
                  <c:v>216.64726788094183</c:v>
                </c:pt>
                <c:pt idx="1">
                  <c:v>224.72589960017771</c:v>
                </c:pt>
                <c:pt idx="2">
                  <c:v>232.80453131941363</c:v>
                </c:pt>
                <c:pt idx="3">
                  <c:v>240.88316303864951</c:v>
                </c:pt>
                <c:pt idx="4">
                  <c:v>248.9617947578854</c:v>
                </c:pt>
                <c:pt idx="5">
                  <c:v>257.04042647712129</c:v>
                </c:pt>
                <c:pt idx="6">
                  <c:v>265.11905819635717</c:v>
                </c:pt>
                <c:pt idx="7">
                  <c:v>273.19768991559306</c:v>
                </c:pt>
                <c:pt idx="8">
                  <c:v>281.27632163482895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29-4586-AAB8-5AF842E26966}"/>
            </c:ext>
          </c:extLst>
        </c:ser>
        <c:ser>
          <c:idx val="2"/>
          <c:order val="1"/>
          <c:tx>
            <c:v>лев.дов.инт.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Лист1!$A$63:$A$71</c:f>
              <c:numCache>
                <c:formatCode>General</c:formatCode>
                <c:ptCount val="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</c:numCache>
            </c:numRef>
          </c:cat>
          <c:val>
            <c:numRef>
              <c:f>Лист1!$G$63:$G$71</c:f>
              <c:numCache>
                <c:formatCode>0.0000</c:formatCode>
                <c:ptCount val="9"/>
                <c:pt idx="0">
                  <c:v>205.96551462423358</c:v>
                </c:pt>
                <c:pt idx="1">
                  <c:v>215.96704665990001</c:v>
                </c:pt>
                <c:pt idx="2">
                  <c:v>225.69861358734028</c:v>
                </c:pt>
                <c:pt idx="3">
                  <c:v>234.93089132156987</c:v>
                </c:pt>
                <c:pt idx="4">
                  <c:v>243.3471781043402</c:v>
                </c:pt>
                <c:pt idx="5">
                  <c:v>250.81329137886325</c:v>
                </c:pt>
                <c:pt idx="6">
                  <c:v>257.55669000305846</c:v>
                </c:pt>
                <c:pt idx="7">
                  <c:v>263.88315698884662</c:v>
                </c:pt>
                <c:pt idx="8">
                  <c:v>269.98515055343796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29-4586-AAB8-5AF842E26966}"/>
            </c:ext>
          </c:extLst>
        </c:ser>
        <c:ser>
          <c:idx val="3"/>
          <c:order val="2"/>
          <c:tx>
            <c:v>прав.дов.инт.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Лист1!$A$63:$A$71</c:f>
              <c:numCache>
                <c:formatCode>General</c:formatCode>
                <c:ptCount val="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</c:numCache>
            </c:numRef>
          </c:cat>
          <c:val>
            <c:numRef>
              <c:f>Лист1!$H$63:$H$71</c:f>
              <c:numCache>
                <c:formatCode>0.0000</c:formatCode>
                <c:ptCount val="9"/>
                <c:pt idx="0">
                  <c:v>227.32902113765007</c:v>
                </c:pt>
                <c:pt idx="1">
                  <c:v>233.48475254045542</c:v>
                </c:pt>
                <c:pt idx="2">
                  <c:v>239.91044905148698</c:v>
                </c:pt>
                <c:pt idx="3">
                  <c:v>246.83543475572915</c:v>
                </c:pt>
                <c:pt idx="4">
                  <c:v>254.5764114114306</c:v>
                </c:pt>
                <c:pt idx="5">
                  <c:v>263.26756157537932</c:v>
                </c:pt>
                <c:pt idx="6">
                  <c:v>272.68142638965588</c:v>
                </c:pt>
                <c:pt idx="7">
                  <c:v>282.5122228423395</c:v>
                </c:pt>
                <c:pt idx="8">
                  <c:v>292.56749271621993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29-4586-AAB8-5AF842E26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1893408"/>
        <c:axId val="292084016"/>
      </c:lineChart>
      <c:catAx>
        <c:axId val="29189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2084016"/>
        <c:crosses val="autoZero"/>
        <c:auto val="1"/>
        <c:lblAlgn val="ctr"/>
        <c:lblOffset val="100"/>
        <c:noMultiLvlLbl val="0"/>
      </c:catAx>
      <c:valAx>
        <c:axId val="292084016"/>
        <c:scaling>
          <c:orientation val="minMax"/>
          <c:max val="310"/>
          <c:min val="1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18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ошибки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ошибки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Лист1!$B$2:$B$21</c:f>
              <c:numCache>
                <c:formatCode>General</c:formatCode>
                <c:ptCount val="20"/>
                <c:pt idx="0">
                  <c:v>14</c:v>
                </c:pt>
                <c:pt idx="1">
                  <c:v>16</c:v>
                </c:pt>
                <c:pt idx="2">
                  <c:v>17</c:v>
                </c:pt>
                <c:pt idx="3">
                  <c:v>19</c:v>
                </c:pt>
                <c:pt idx="4">
                  <c:v>18</c:v>
                </c:pt>
                <c:pt idx="5">
                  <c:v>15</c:v>
                </c:pt>
                <c:pt idx="6">
                  <c:v>14</c:v>
                </c:pt>
                <c:pt idx="7">
                  <c:v>18</c:v>
                </c:pt>
                <c:pt idx="8">
                  <c:v>17</c:v>
                </c:pt>
                <c:pt idx="9">
                  <c:v>15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18</c:v>
                </c:pt>
                <c:pt idx="15">
                  <c:v>20</c:v>
                </c:pt>
                <c:pt idx="16">
                  <c:v>12</c:v>
                </c:pt>
                <c:pt idx="17">
                  <c:v>13</c:v>
                </c:pt>
                <c:pt idx="18">
                  <c:v>12</c:v>
                </c:pt>
                <c:pt idx="19">
                  <c:v>14</c:v>
                </c:pt>
              </c:numCache>
            </c:numRef>
          </c:xVal>
          <c:yVal>
            <c:numRef>
              <c:f>Лист1!$K$2:$K$21</c:f>
              <c:numCache>
                <c:formatCode>0.0000</c:formatCode>
                <c:ptCount val="20"/>
                <c:pt idx="0">
                  <c:v>-10.804531319413627</c:v>
                </c:pt>
                <c:pt idx="1">
                  <c:v>-7.9617947578854</c:v>
                </c:pt>
                <c:pt idx="2">
                  <c:v>-14.040426477121287</c:v>
                </c:pt>
                <c:pt idx="3">
                  <c:v>11.80231008440694</c:v>
                </c:pt>
                <c:pt idx="4">
                  <c:v>-12.119058196357173</c:v>
                </c:pt>
                <c:pt idx="5">
                  <c:v>6.1168369613504865</c:v>
                </c:pt>
                <c:pt idx="6">
                  <c:v>13.195468680586373</c:v>
                </c:pt>
                <c:pt idx="7">
                  <c:v>10.880941803642827</c:v>
                </c:pt>
                <c:pt idx="8">
                  <c:v>3.9595735228787134</c:v>
                </c:pt>
                <c:pt idx="9">
                  <c:v>13.116836961350486</c:v>
                </c:pt>
                <c:pt idx="10">
                  <c:v>4.274100399822288</c:v>
                </c:pt>
                <c:pt idx="11">
                  <c:v>3.8205242114599969E-2</c:v>
                </c:pt>
                <c:pt idx="12">
                  <c:v>-5.0404264771212866</c:v>
                </c:pt>
                <c:pt idx="13">
                  <c:v>5.8023100844069404</c:v>
                </c:pt>
                <c:pt idx="14">
                  <c:v>-3.1190581963571731</c:v>
                </c:pt>
                <c:pt idx="15">
                  <c:v>-6.2763216348289461</c:v>
                </c:pt>
                <c:pt idx="16">
                  <c:v>-5.6472678809418255</c:v>
                </c:pt>
                <c:pt idx="17">
                  <c:v>-4.725899600177712</c:v>
                </c:pt>
                <c:pt idx="18">
                  <c:v>1.3527321190581745</c:v>
                </c:pt>
                <c:pt idx="19">
                  <c:v>-0.80453131941362699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89-45B3-A658-11AACE111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8524432"/>
        <c:axId val="1658768272"/>
      </c:scatterChart>
      <c:valAx>
        <c:axId val="165852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8768272"/>
        <c:crosses val="autoZero"/>
        <c:crossBetween val="midCat"/>
      </c:valAx>
      <c:valAx>
        <c:axId val="16587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852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557933</xdr:colOff>
      <xdr:row>1</xdr:row>
      <xdr:rowOff>198191</xdr:rowOff>
    </xdr:from>
    <xdr:to>
      <xdr:col>21</xdr:col>
      <xdr:colOff>0</xdr:colOff>
      <xdr:row>16</xdr:row>
      <xdr:rowOff>16934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73</xdr:row>
      <xdr:rowOff>21922</xdr:rowOff>
    </xdr:from>
    <xdr:to>
      <xdr:col>4</xdr:col>
      <xdr:colOff>546554</xdr:colOff>
      <xdr:row>86</xdr:row>
      <xdr:rowOff>124429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68034</xdr:colOff>
      <xdr:row>73</xdr:row>
      <xdr:rowOff>11340</xdr:rowOff>
    </xdr:from>
    <xdr:to>
      <xdr:col>10</xdr:col>
      <xdr:colOff>149678</xdr:colOff>
      <xdr:row>86</xdr:row>
      <xdr:rowOff>113847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589643</xdr:colOff>
      <xdr:row>73</xdr:row>
      <xdr:rowOff>22679</xdr:rowOff>
    </xdr:from>
    <xdr:to>
      <xdr:col>15</xdr:col>
      <xdr:colOff>762000</xdr:colOff>
      <xdr:row>86</xdr:row>
      <xdr:rowOff>125186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147320</xdr:colOff>
      <xdr:row>89</xdr:row>
      <xdr:rowOff>145626</xdr:rowOff>
    </xdr:from>
    <xdr:to>
      <xdr:col>4</xdr:col>
      <xdr:colOff>699347</xdr:colOff>
      <xdr:row>103</xdr:row>
      <xdr:rowOff>44026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8"/>
  <sheetViews>
    <sheetView tabSelected="1" zoomScale="66" zoomScaleNormal="100" workbookViewId="0">
      <selection activeCell="G27" sqref="G27"/>
    </sheetView>
  </sheetViews>
  <sheetFormatPr defaultColWidth="10.8125" defaultRowHeight="15"/>
  <cols>
    <col min="1" max="1" width="13.3125" style="1" customWidth="1"/>
    <col min="2" max="2" width="13.8125" style="1" customWidth="1"/>
    <col min="3" max="3" width="12.5" style="1" customWidth="1"/>
    <col min="4" max="4" width="13" style="1" customWidth="1"/>
    <col min="5" max="6" width="12.1875" style="1" customWidth="1"/>
    <col min="7" max="7" width="11.3125" style="1" customWidth="1"/>
    <col min="8" max="8" width="12.3125" style="1" customWidth="1"/>
    <col min="9" max="9" width="11" style="1" customWidth="1"/>
    <col min="10" max="10" width="12.3125" style="1" customWidth="1"/>
    <col min="11" max="13" width="13" style="1" customWidth="1"/>
    <col min="14" max="16384" width="10.8125" style="1"/>
  </cols>
  <sheetData>
    <row r="1" spans="1:1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12</v>
      </c>
    </row>
    <row r="2" spans="1:13">
      <c r="A2" s="2">
        <v>1</v>
      </c>
      <c r="B2" s="2">
        <v>14</v>
      </c>
      <c r="C2" s="3">
        <v>222</v>
      </c>
      <c r="D2" s="2">
        <f>B2^2</f>
        <v>196</v>
      </c>
      <c r="E2" s="4">
        <f>B2-$B$25</f>
        <v>-1.8499999999999996</v>
      </c>
      <c r="F2" s="4">
        <f>E2^2</f>
        <v>3.4224999999999985</v>
      </c>
      <c r="G2" s="4">
        <f>C2-$C$25</f>
        <v>-25.75</v>
      </c>
      <c r="H2" s="4">
        <f>G2^2</f>
        <v>663.0625</v>
      </c>
      <c r="I2" s="4">
        <f>E2*G2</f>
        <v>47.637499999999989</v>
      </c>
      <c r="J2" s="4">
        <f t="shared" ref="J2:J21" si="0">$B$29+$A$29*B2</f>
        <v>232.80453131941363</v>
      </c>
      <c r="K2" s="4">
        <f>C2-J2</f>
        <v>-10.804531319413627</v>
      </c>
      <c r="L2" s="4">
        <f>K2^2</f>
        <v>116.73789703218998</v>
      </c>
      <c r="M2" s="4">
        <f>L2/($A$23-2)</f>
        <v>6.485438724010554</v>
      </c>
    </row>
    <row r="3" spans="1:13">
      <c r="A3" s="2">
        <v>2</v>
      </c>
      <c r="B3" s="2">
        <v>16</v>
      </c>
      <c r="C3" s="3">
        <v>241</v>
      </c>
      <c r="D3" s="2">
        <f t="shared" ref="D3:D21" si="1">B3^2</f>
        <v>256</v>
      </c>
      <c r="E3" s="4">
        <f t="shared" ref="E3:E21" si="2">B3-$B$25</f>
        <v>0.15000000000000036</v>
      </c>
      <c r="F3" s="4">
        <f t="shared" ref="F3:F21" si="3">E3^2</f>
        <v>2.2500000000000107E-2</v>
      </c>
      <c r="G3" s="4">
        <f t="shared" ref="G3:G21" si="4">C3-$C$25</f>
        <v>-6.75</v>
      </c>
      <c r="H3" s="4">
        <f t="shared" ref="H3:H21" si="5">G3^2</f>
        <v>45.5625</v>
      </c>
      <c r="I3" s="4">
        <f t="shared" ref="I3:I21" si="6">E3*G3</f>
        <v>-1.0125000000000024</v>
      </c>
      <c r="J3" s="4">
        <f t="shared" si="0"/>
        <v>248.9617947578854</v>
      </c>
      <c r="K3" s="4">
        <f t="shared" ref="K3:K21" si="7">C3-J3</f>
        <v>-7.9617947578854</v>
      </c>
      <c r="L3" s="4">
        <f t="shared" ref="L3:L21" si="8">K3^2</f>
        <v>63.390175766691435</v>
      </c>
      <c r="M3" s="4">
        <f t="shared" ref="M3:M21" si="9">L3/($A$23-2)</f>
        <v>3.5216764314828577</v>
      </c>
    </row>
    <row r="4" spans="1:13">
      <c r="A4" s="2">
        <v>3</v>
      </c>
      <c r="B4" s="2">
        <v>17</v>
      </c>
      <c r="C4" s="3">
        <v>243</v>
      </c>
      <c r="D4" s="2">
        <f t="shared" si="1"/>
        <v>289</v>
      </c>
      <c r="E4" s="4">
        <f t="shared" si="2"/>
        <v>1.1500000000000004</v>
      </c>
      <c r="F4" s="4">
        <f t="shared" si="3"/>
        <v>1.3225000000000009</v>
      </c>
      <c r="G4" s="4">
        <f t="shared" si="4"/>
        <v>-4.75</v>
      </c>
      <c r="H4" s="4">
        <f t="shared" si="5"/>
        <v>22.5625</v>
      </c>
      <c r="I4" s="4">
        <f t="shared" si="6"/>
        <v>-5.4625000000000021</v>
      </c>
      <c r="J4" s="4">
        <f t="shared" si="0"/>
        <v>257.04042647712129</v>
      </c>
      <c r="K4" s="4">
        <f t="shared" si="7"/>
        <v>-14.040426477121287</v>
      </c>
      <c r="L4" s="4">
        <f t="shared" si="8"/>
        <v>197.13357565944847</v>
      </c>
      <c r="M4" s="4">
        <f t="shared" si="9"/>
        <v>10.951865314413803</v>
      </c>
    </row>
    <row r="5" spans="1:13">
      <c r="A5" s="2">
        <v>4</v>
      </c>
      <c r="B5" s="2">
        <v>19</v>
      </c>
      <c r="C5" s="3">
        <v>285</v>
      </c>
      <c r="D5" s="2">
        <f t="shared" si="1"/>
        <v>361</v>
      </c>
      <c r="E5" s="4">
        <f t="shared" si="2"/>
        <v>3.1500000000000004</v>
      </c>
      <c r="F5" s="4">
        <f t="shared" si="3"/>
        <v>9.922500000000003</v>
      </c>
      <c r="G5" s="4">
        <f t="shared" si="4"/>
        <v>37.25</v>
      </c>
      <c r="H5" s="4">
        <f t="shared" si="5"/>
        <v>1387.5625</v>
      </c>
      <c r="I5" s="4">
        <f t="shared" si="6"/>
        <v>117.33750000000002</v>
      </c>
      <c r="J5" s="4">
        <f t="shared" si="0"/>
        <v>273.19768991559306</v>
      </c>
      <c r="K5" s="4">
        <f t="shared" si="7"/>
        <v>11.80231008440694</v>
      </c>
      <c r="L5" s="4">
        <f t="shared" si="8"/>
        <v>139.29452332849377</v>
      </c>
      <c r="M5" s="4">
        <f t="shared" si="9"/>
        <v>7.7385846293607647</v>
      </c>
    </row>
    <row r="6" spans="1:13">
      <c r="A6" s="2">
        <v>5</v>
      </c>
      <c r="B6" s="2">
        <v>18</v>
      </c>
      <c r="C6" s="3">
        <v>253</v>
      </c>
      <c r="D6" s="2">
        <f t="shared" si="1"/>
        <v>324</v>
      </c>
      <c r="E6" s="4">
        <f t="shared" si="2"/>
        <v>2.1500000000000004</v>
      </c>
      <c r="F6" s="4">
        <f t="shared" si="3"/>
        <v>4.6225000000000014</v>
      </c>
      <c r="G6" s="4">
        <f t="shared" si="4"/>
        <v>5.25</v>
      </c>
      <c r="H6" s="4">
        <f t="shared" si="5"/>
        <v>27.5625</v>
      </c>
      <c r="I6" s="4">
        <f t="shared" si="6"/>
        <v>11.287500000000001</v>
      </c>
      <c r="J6" s="4">
        <f t="shared" si="0"/>
        <v>265.11905819635717</v>
      </c>
      <c r="K6" s="4">
        <f t="shared" si="7"/>
        <v>-12.119058196357173</v>
      </c>
      <c r="L6" s="4">
        <f t="shared" si="8"/>
        <v>146.87157156669198</v>
      </c>
      <c r="M6" s="4">
        <f t="shared" si="9"/>
        <v>8.1595317537051102</v>
      </c>
    </row>
    <row r="7" spans="1:13">
      <c r="A7" s="2">
        <v>6</v>
      </c>
      <c r="B7" s="2">
        <v>15</v>
      </c>
      <c r="C7" s="3">
        <v>247</v>
      </c>
      <c r="D7" s="2">
        <f t="shared" si="1"/>
        <v>225</v>
      </c>
      <c r="E7" s="4">
        <f t="shared" si="2"/>
        <v>-0.84999999999999964</v>
      </c>
      <c r="F7" s="4">
        <f t="shared" si="3"/>
        <v>0.72249999999999936</v>
      </c>
      <c r="G7" s="4">
        <f t="shared" si="4"/>
        <v>-0.75</v>
      </c>
      <c r="H7" s="4">
        <f t="shared" si="5"/>
        <v>0.5625</v>
      </c>
      <c r="I7" s="4">
        <f t="shared" si="6"/>
        <v>0.63749999999999973</v>
      </c>
      <c r="J7" s="4">
        <f t="shared" si="0"/>
        <v>240.88316303864951</v>
      </c>
      <c r="K7" s="4">
        <f t="shared" si="7"/>
        <v>6.1168369613504865</v>
      </c>
      <c r="L7" s="4">
        <f t="shared" si="8"/>
        <v>37.415694411743452</v>
      </c>
      <c r="M7" s="4">
        <f t="shared" si="9"/>
        <v>2.0786496895413027</v>
      </c>
    </row>
    <row r="8" spans="1:13">
      <c r="A8" s="2">
        <v>7</v>
      </c>
      <c r="B8" s="2">
        <v>14</v>
      </c>
      <c r="C8" s="3">
        <v>246</v>
      </c>
      <c r="D8" s="2">
        <f t="shared" si="1"/>
        <v>196</v>
      </c>
      <c r="E8" s="4">
        <f t="shared" si="2"/>
        <v>-1.8499999999999996</v>
      </c>
      <c r="F8" s="4">
        <f t="shared" si="3"/>
        <v>3.4224999999999985</v>
      </c>
      <c r="G8" s="4">
        <f t="shared" si="4"/>
        <v>-1.75</v>
      </c>
      <c r="H8" s="4">
        <f t="shared" si="5"/>
        <v>3.0625</v>
      </c>
      <c r="I8" s="4">
        <f t="shared" si="6"/>
        <v>3.2374999999999994</v>
      </c>
      <c r="J8" s="4">
        <f t="shared" si="0"/>
        <v>232.80453131941363</v>
      </c>
      <c r="K8" s="4">
        <f t="shared" si="7"/>
        <v>13.195468680586373</v>
      </c>
      <c r="L8" s="4">
        <f t="shared" si="8"/>
        <v>174.12039370033588</v>
      </c>
      <c r="M8" s="4">
        <f t="shared" si="9"/>
        <v>9.6733552055742162</v>
      </c>
    </row>
    <row r="9" spans="1:13">
      <c r="A9" s="2">
        <v>8</v>
      </c>
      <c r="B9" s="2">
        <v>18</v>
      </c>
      <c r="C9" s="3">
        <v>276</v>
      </c>
      <c r="D9" s="2">
        <f t="shared" si="1"/>
        <v>324</v>
      </c>
      <c r="E9" s="4">
        <f t="shared" si="2"/>
        <v>2.1500000000000004</v>
      </c>
      <c r="F9" s="4">
        <f t="shared" si="3"/>
        <v>4.6225000000000014</v>
      </c>
      <c r="G9" s="4">
        <f t="shared" si="4"/>
        <v>28.25</v>
      </c>
      <c r="H9" s="4">
        <f t="shared" si="5"/>
        <v>798.0625</v>
      </c>
      <c r="I9" s="4">
        <f t="shared" si="6"/>
        <v>60.737500000000011</v>
      </c>
      <c r="J9" s="4">
        <f t="shared" si="0"/>
        <v>265.11905819635717</v>
      </c>
      <c r="K9" s="4">
        <f t="shared" si="7"/>
        <v>10.880941803642827</v>
      </c>
      <c r="L9" s="4">
        <f t="shared" si="8"/>
        <v>118.39489453426202</v>
      </c>
      <c r="M9" s="4">
        <f t="shared" si="9"/>
        <v>6.5774941407923349</v>
      </c>
    </row>
    <row r="10" spans="1:13">
      <c r="A10" s="2">
        <v>9</v>
      </c>
      <c r="B10" s="2">
        <v>17</v>
      </c>
      <c r="C10" s="3">
        <v>261</v>
      </c>
      <c r="D10" s="2">
        <f t="shared" si="1"/>
        <v>289</v>
      </c>
      <c r="E10" s="4">
        <f t="shared" si="2"/>
        <v>1.1500000000000004</v>
      </c>
      <c r="F10" s="4">
        <f t="shared" si="3"/>
        <v>1.3225000000000009</v>
      </c>
      <c r="G10" s="4">
        <f t="shared" si="4"/>
        <v>13.25</v>
      </c>
      <c r="H10" s="4">
        <f t="shared" si="5"/>
        <v>175.5625</v>
      </c>
      <c r="I10" s="4">
        <f t="shared" si="6"/>
        <v>15.237500000000004</v>
      </c>
      <c r="J10" s="4">
        <f t="shared" si="0"/>
        <v>257.04042647712129</v>
      </c>
      <c r="K10" s="4">
        <f t="shared" si="7"/>
        <v>3.9595735228787134</v>
      </c>
      <c r="L10" s="4">
        <f t="shared" si="8"/>
        <v>15.678222483082145</v>
      </c>
      <c r="M10" s="4">
        <f t="shared" si="9"/>
        <v>0.87101236017123029</v>
      </c>
    </row>
    <row r="11" spans="1:13">
      <c r="A11" s="2">
        <v>10</v>
      </c>
      <c r="B11" s="2">
        <v>15</v>
      </c>
      <c r="C11" s="3">
        <v>254</v>
      </c>
      <c r="D11" s="2">
        <f t="shared" si="1"/>
        <v>225</v>
      </c>
      <c r="E11" s="4">
        <f t="shared" si="2"/>
        <v>-0.84999999999999964</v>
      </c>
      <c r="F11" s="4">
        <f t="shared" si="3"/>
        <v>0.72249999999999936</v>
      </c>
      <c r="G11" s="4">
        <f t="shared" si="4"/>
        <v>6.25</v>
      </c>
      <c r="H11" s="4">
        <f t="shared" si="5"/>
        <v>39.0625</v>
      </c>
      <c r="I11" s="4">
        <f t="shared" si="6"/>
        <v>-5.3124999999999982</v>
      </c>
      <c r="J11" s="4">
        <f t="shared" si="0"/>
        <v>240.88316303864951</v>
      </c>
      <c r="K11" s="4">
        <f t="shared" si="7"/>
        <v>13.116836961350486</v>
      </c>
      <c r="L11" s="4">
        <f t="shared" si="8"/>
        <v>172.05141187065027</v>
      </c>
      <c r="M11" s="4">
        <f t="shared" si="9"/>
        <v>9.5584117705916825</v>
      </c>
    </row>
    <row r="12" spans="1:13">
      <c r="A12" s="2">
        <v>11</v>
      </c>
      <c r="B12" s="2">
        <v>13</v>
      </c>
      <c r="C12" s="3">
        <v>229</v>
      </c>
      <c r="D12" s="2">
        <f t="shared" si="1"/>
        <v>169</v>
      </c>
      <c r="E12" s="4">
        <f t="shared" si="2"/>
        <v>-2.8499999999999996</v>
      </c>
      <c r="F12" s="4">
        <f t="shared" si="3"/>
        <v>8.1224999999999987</v>
      </c>
      <c r="G12" s="4">
        <f t="shared" si="4"/>
        <v>-18.75</v>
      </c>
      <c r="H12" s="4">
        <f t="shared" si="5"/>
        <v>351.5625</v>
      </c>
      <c r="I12" s="4">
        <f t="shared" si="6"/>
        <v>53.437499999999993</v>
      </c>
      <c r="J12" s="4">
        <f t="shared" si="0"/>
        <v>224.72589960017771</v>
      </c>
      <c r="K12" s="4">
        <f t="shared" si="7"/>
        <v>4.274100399822288</v>
      </c>
      <c r="L12" s="4">
        <f t="shared" si="8"/>
        <v>18.267934227761042</v>
      </c>
      <c r="M12" s="4">
        <f t="shared" si="9"/>
        <v>1.0148852348756134</v>
      </c>
    </row>
    <row r="13" spans="1:13">
      <c r="A13" s="2">
        <v>12</v>
      </c>
      <c r="B13" s="2">
        <v>16</v>
      </c>
      <c r="C13" s="3">
        <v>249</v>
      </c>
      <c r="D13" s="2">
        <f t="shared" si="1"/>
        <v>256</v>
      </c>
      <c r="E13" s="4">
        <f t="shared" si="2"/>
        <v>0.15000000000000036</v>
      </c>
      <c r="F13" s="4">
        <f t="shared" si="3"/>
        <v>2.2500000000000107E-2</v>
      </c>
      <c r="G13" s="4">
        <f t="shared" si="4"/>
        <v>1.25</v>
      </c>
      <c r="H13" s="4">
        <f t="shared" si="5"/>
        <v>1.5625</v>
      </c>
      <c r="I13" s="4">
        <f t="shared" si="6"/>
        <v>0.18750000000000044</v>
      </c>
      <c r="J13" s="4">
        <f t="shared" si="0"/>
        <v>248.9617947578854</v>
      </c>
      <c r="K13" s="4">
        <f t="shared" si="7"/>
        <v>3.8205242114599969E-2</v>
      </c>
      <c r="L13" s="4">
        <f t="shared" si="8"/>
        <v>1.4596405250352031E-3</v>
      </c>
      <c r="M13" s="4">
        <f t="shared" si="9"/>
        <v>8.1091140279733508E-5</v>
      </c>
    </row>
    <row r="14" spans="1:13">
      <c r="A14" s="2">
        <v>13</v>
      </c>
      <c r="B14" s="2">
        <v>17</v>
      </c>
      <c r="C14" s="3">
        <v>252</v>
      </c>
      <c r="D14" s="2">
        <f t="shared" si="1"/>
        <v>289</v>
      </c>
      <c r="E14" s="4">
        <f t="shared" si="2"/>
        <v>1.1500000000000004</v>
      </c>
      <c r="F14" s="4">
        <f t="shared" si="3"/>
        <v>1.3225000000000009</v>
      </c>
      <c r="G14" s="4">
        <f t="shared" si="4"/>
        <v>4.25</v>
      </c>
      <c r="H14" s="4">
        <f t="shared" si="5"/>
        <v>18.0625</v>
      </c>
      <c r="I14" s="4">
        <f t="shared" si="6"/>
        <v>4.8875000000000011</v>
      </c>
      <c r="J14" s="4">
        <f t="shared" si="0"/>
        <v>257.04042647712129</v>
      </c>
      <c r="K14" s="4">
        <f t="shared" si="7"/>
        <v>-5.0404264771212866</v>
      </c>
      <c r="L14" s="4">
        <f t="shared" si="8"/>
        <v>25.405899071265303</v>
      </c>
      <c r="M14" s="4">
        <f t="shared" si="9"/>
        <v>1.4114388372925168</v>
      </c>
    </row>
    <row r="15" spans="1:13">
      <c r="A15" s="2">
        <v>14</v>
      </c>
      <c r="B15" s="2">
        <v>19</v>
      </c>
      <c r="C15" s="3">
        <v>279</v>
      </c>
      <c r="D15" s="2">
        <f t="shared" si="1"/>
        <v>361</v>
      </c>
      <c r="E15" s="4">
        <f t="shared" si="2"/>
        <v>3.1500000000000004</v>
      </c>
      <c r="F15" s="4">
        <f t="shared" si="3"/>
        <v>9.922500000000003</v>
      </c>
      <c r="G15" s="4">
        <f t="shared" si="4"/>
        <v>31.25</v>
      </c>
      <c r="H15" s="4">
        <f t="shared" si="5"/>
        <v>976.5625</v>
      </c>
      <c r="I15" s="4">
        <f t="shared" si="6"/>
        <v>98.437500000000014</v>
      </c>
      <c r="J15" s="4">
        <f t="shared" si="0"/>
        <v>273.19768991559306</v>
      </c>
      <c r="K15" s="4">
        <f t="shared" si="7"/>
        <v>5.8023100844069404</v>
      </c>
      <c r="L15" s="4">
        <f t="shared" si="8"/>
        <v>33.666802315610475</v>
      </c>
      <c r="M15" s="4">
        <f t="shared" si="9"/>
        <v>1.8703779064228041</v>
      </c>
    </row>
    <row r="16" spans="1:13">
      <c r="A16" s="2">
        <v>15</v>
      </c>
      <c r="B16" s="2">
        <v>18</v>
      </c>
      <c r="C16" s="3">
        <v>262</v>
      </c>
      <c r="D16" s="2">
        <f t="shared" si="1"/>
        <v>324</v>
      </c>
      <c r="E16" s="4">
        <f t="shared" si="2"/>
        <v>2.1500000000000004</v>
      </c>
      <c r="F16" s="4">
        <f t="shared" si="3"/>
        <v>4.6225000000000014</v>
      </c>
      <c r="G16" s="4">
        <f t="shared" si="4"/>
        <v>14.25</v>
      </c>
      <c r="H16" s="4">
        <f t="shared" si="5"/>
        <v>203.0625</v>
      </c>
      <c r="I16" s="4">
        <f t="shared" si="6"/>
        <v>30.637500000000006</v>
      </c>
      <c r="J16" s="4">
        <f t="shared" si="0"/>
        <v>265.11905819635717</v>
      </c>
      <c r="K16" s="4">
        <f t="shared" si="7"/>
        <v>-3.1190581963571731</v>
      </c>
      <c r="L16" s="4">
        <f t="shared" si="8"/>
        <v>9.728524032262861</v>
      </c>
      <c r="M16" s="4">
        <f t="shared" si="9"/>
        <v>0.54047355734793667</v>
      </c>
    </row>
    <row r="17" spans="1:13">
      <c r="A17" s="2">
        <v>16</v>
      </c>
      <c r="B17" s="2">
        <v>20</v>
      </c>
      <c r="C17" s="3">
        <v>275</v>
      </c>
      <c r="D17" s="2">
        <f t="shared" si="1"/>
        <v>400</v>
      </c>
      <c r="E17" s="4">
        <f t="shared" si="2"/>
        <v>4.1500000000000004</v>
      </c>
      <c r="F17" s="4">
        <f t="shared" si="3"/>
        <v>17.222500000000004</v>
      </c>
      <c r="G17" s="4">
        <f t="shared" si="4"/>
        <v>27.25</v>
      </c>
      <c r="H17" s="4">
        <f t="shared" si="5"/>
        <v>742.5625</v>
      </c>
      <c r="I17" s="4">
        <f t="shared" si="6"/>
        <v>113.08750000000001</v>
      </c>
      <c r="J17" s="4">
        <f t="shared" si="0"/>
        <v>281.27632163482895</v>
      </c>
      <c r="K17" s="4">
        <f t="shared" si="7"/>
        <v>-6.2763216348289461</v>
      </c>
      <c r="L17" s="4">
        <f t="shared" si="8"/>
        <v>39.392213263821894</v>
      </c>
      <c r="M17" s="4">
        <f t="shared" si="9"/>
        <v>2.1884562924345499</v>
      </c>
    </row>
    <row r="18" spans="1:13">
      <c r="A18" s="2">
        <v>17</v>
      </c>
      <c r="B18" s="2">
        <v>12</v>
      </c>
      <c r="C18" s="3">
        <v>211</v>
      </c>
      <c r="D18" s="2">
        <f t="shared" si="1"/>
        <v>144</v>
      </c>
      <c r="E18" s="4">
        <f t="shared" si="2"/>
        <v>-3.8499999999999996</v>
      </c>
      <c r="F18" s="4">
        <f t="shared" si="3"/>
        <v>14.822499999999998</v>
      </c>
      <c r="G18" s="4">
        <f t="shared" si="4"/>
        <v>-36.75</v>
      </c>
      <c r="H18" s="4">
        <f t="shared" si="5"/>
        <v>1350.5625</v>
      </c>
      <c r="I18" s="4">
        <f t="shared" si="6"/>
        <v>141.48749999999998</v>
      </c>
      <c r="J18" s="4">
        <f t="shared" si="0"/>
        <v>216.64726788094183</v>
      </c>
      <c r="K18" s="4">
        <f t="shared" si="7"/>
        <v>-5.6472678809418255</v>
      </c>
      <c r="L18" s="4">
        <f t="shared" si="8"/>
        <v>31.891634519117176</v>
      </c>
      <c r="M18" s="4">
        <f t="shared" si="9"/>
        <v>1.7717574732842876</v>
      </c>
    </row>
    <row r="19" spans="1:13">
      <c r="A19" s="2">
        <v>18</v>
      </c>
      <c r="B19" s="2">
        <v>13</v>
      </c>
      <c r="C19" s="3">
        <v>220</v>
      </c>
      <c r="D19" s="2">
        <f t="shared" si="1"/>
        <v>169</v>
      </c>
      <c r="E19" s="4">
        <f t="shared" si="2"/>
        <v>-2.8499999999999996</v>
      </c>
      <c r="F19" s="4">
        <f t="shared" si="3"/>
        <v>8.1224999999999987</v>
      </c>
      <c r="G19" s="4">
        <f t="shared" si="4"/>
        <v>-27.75</v>
      </c>
      <c r="H19" s="4">
        <f t="shared" si="5"/>
        <v>770.0625</v>
      </c>
      <c r="I19" s="4">
        <f t="shared" si="6"/>
        <v>79.087499999999991</v>
      </c>
      <c r="J19" s="4">
        <f t="shared" si="0"/>
        <v>224.72589960017771</v>
      </c>
      <c r="K19" s="4">
        <f t="shared" si="7"/>
        <v>-4.725899600177712</v>
      </c>
      <c r="L19" s="4">
        <f t="shared" si="8"/>
        <v>22.334127030959859</v>
      </c>
      <c r="M19" s="4">
        <f t="shared" si="9"/>
        <v>1.2407848350533255</v>
      </c>
    </row>
    <row r="20" spans="1:13">
      <c r="A20" s="2">
        <v>19</v>
      </c>
      <c r="B20" s="2">
        <v>12</v>
      </c>
      <c r="C20" s="3">
        <v>218</v>
      </c>
      <c r="D20" s="2">
        <f t="shared" si="1"/>
        <v>144</v>
      </c>
      <c r="E20" s="4">
        <f t="shared" si="2"/>
        <v>-3.8499999999999996</v>
      </c>
      <c r="F20" s="4">
        <f t="shared" si="3"/>
        <v>14.822499999999998</v>
      </c>
      <c r="G20" s="4">
        <f t="shared" si="4"/>
        <v>-29.75</v>
      </c>
      <c r="H20" s="4">
        <f t="shared" si="5"/>
        <v>885.0625</v>
      </c>
      <c r="I20" s="4">
        <f t="shared" si="6"/>
        <v>114.53749999999999</v>
      </c>
      <c r="J20" s="4">
        <f t="shared" si="0"/>
        <v>216.64726788094183</v>
      </c>
      <c r="K20" s="4">
        <f t="shared" si="7"/>
        <v>1.3527321190581745</v>
      </c>
      <c r="L20" s="4">
        <f t="shared" si="8"/>
        <v>1.8298841859316191</v>
      </c>
      <c r="M20" s="4">
        <f t="shared" si="9"/>
        <v>0.10166023255175662</v>
      </c>
    </row>
    <row r="21" spans="1:13">
      <c r="A21" s="2">
        <v>20</v>
      </c>
      <c r="B21" s="2">
        <v>14</v>
      </c>
      <c r="C21" s="3">
        <v>232</v>
      </c>
      <c r="D21" s="2">
        <f t="shared" si="1"/>
        <v>196</v>
      </c>
      <c r="E21" s="4">
        <f t="shared" si="2"/>
        <v>-1.8499999999999996</v>
      </c>
      <c r="F21" s="4">
        <f t="shared" si="3"/>
        <v>3.4224999999999985</v>
      </c>
      <c r="G21" s="4">
        <f t="shared" si="4"/>
        <v>-15.75</v>
      </c>
      <c r="H21" s="4">
        <f t="shared" si="5"/>
        <v>248.0625</v>
      </c>
      <c r="I21" s="4">
        <f t="shared" si="6"/>
        <v>29.137499999999996</v>
      </c>
      <c r="J21" s="4">
        <f t="shared" si="0"/>
        <v>232.80453131941363</v>
      </c>
      <c r="K21" s="4">
        <f t="shared" si="7"/>
        <v>-0.80453131941362699</v>
      </c>
      <c r="L21" s="4">
        <f t="shared" si="8"/>
        <v>0.6472706439174315</v>
      </c>
      <c r="M21" s="4">
        <f t="shared" si="9"/>
        <v>3.5959480217635086E-2</v>
      </c>
    </row>
    <row r="22" spans="1:13">
      <c r="A22" s="2" t="s">
        <v>13</v>
      </c>
      <c r="B22" s="2" t="s">
        <v>14</v>
      </c>
      <c r="C22" s="2" t="s">
        <v>14</v>
      </c>
      <c r="D22" s="2" t="s">
        <v>14</v>
      </c>
      <c r="E22" s="2" t="s">
        <v>14</v>
      </c>
      <c r="F22" s="2" t="s">
        <v>14</v>
      </c>
      <c r="G22" s="2" t="s">
        <v>14</v>
      </c>
      <c r="H22" s="2" t="s">
        <v>14</v>
      </c>
      <c r="I22" s="2" t="s">
        <v>14</v>
      </c>
      <c r="J22" s="2" t="s">
        <v>14</v>
      </c>
      <c r="K22" s="2" t="s">
        <v>14</v>
      </c>
      <c r="L22" s="2" t="s">
        <v>14</v>
      </c>
      <c r="M22" s="2" t="s">
        <v>14</v>
      </c>
    </row>
    <row r="23" spans="1:13">
      <c r="A23" s="2">
        <f>COUNT(A2:A21)</f>
        <v>20</v>
      </c>
      <c r="B23" s="2">
        <f>SUM(B2:B21)</f>
        <v>317</v>
      </c>
      <c r="C23" s="2">
        <f>SUM(C2:C21)</f>
        <v>4955</v>
      </c>
      <c r="D23" s="2">
        <f t="shared" ref="D23:I23" si="10">SUM(D2:D21)</f>
        <v>5137</v>
      </c>
      <c r="E23" s="4">
        <f>ROUND(SUM(E2:E21),10)</f>
        <v>0</v>
      </c>
      <c r="F23" s="2">
        <f t="shared" si="10"/>
        <v>112.55</v>
      </c>
      <c r="G23" s="4">
        <f t="shared" si="10"/>
        <v>0</v>
      </c>
      <c r="H23" s="2">
        <f t="shared" si="10"/>
        <v>8709.75</v>
      </c>
      <c r="I23" s="4">
        <f>SUM(I2:I21)</f>
        <v>909.25</v>
      </c>
      <c r="J23" s="2">
        <f t="shared" ref="J23:M23" si="11">SUM(J2:J21)</f>
        <v>4954.9999999999991</v>
      </c>
      <c r="K23" s="4">
        <f>ROUND(SUM(K2:K21),10)</f>
        <v>0</v>
      </c>
      <c r="L23" s="2">
        <f t="shared" si="11"/>
        <v>1364.2541092847623</v>
      </c>
      <c r="M23" s="2">
        <f t="shared" si="11"/>
        <v>75.791894960264543</v>
      </c>
    </row>
    <row r="24" spans="1:13">
      <c r="B24" s="2" t="s">
        <v>15</v>
      </c>
      <c r="C24" s="2" t="s">
        <v>15</v>
      </c>
      <c r="D24" s="2" t="s">
        <v>15</v>
      </c>
      <c r="E24" s="2" t="s">
        <v>15</v>
      </c>
      <c r="F24" s="2" t="s">
        <v>15</v>
      </c>
      <c r="G24" s="4" t="s">
        <v>15</v>
      </c>
      <c r="H24" s="2" t="s">
        <v>15</v>
      </c>
      <c r="I24" s="2" t="s">
        <v>15</v>
      </c>
      <c r="J24" s="2" t="s">
        <v>15</v>
      </c>
      <c r="K24" s="2" t="s">
        <v>15</v>
      </c>
      <c r="L24" s="2" t="s">
        <v>15</v>
      </c>
      <c r="M24" s="2" t="s">
        <v>15</v>
      </c>
    </row>
    <row r="25" spans="1:13">
      <c r="B25" s="2">
        <f>AVERAGE(B2:B21)</f>
        <v>15.85</v>
      </c>
      <c r="C25" s="2">
        <f>AVERAGE(C2:C21)</f>
        <v>247.75</v>
      </c>
      <c r="D25" s="2">
        <f t="shared" ref="D25:I25" si="12">AVERAGE(D2:D21)</f>
        <v>256.85000000000002</v>
      </c>
      <c r="E25" s="4">
        <f>ROUND(AVERAGE(E2:E21),10)</f>
        <v>0</v>
      </c>
      <c r="F25" s="2">
        <f t="shared" si="12"/>
        <v>5.6274999999999995</v>
      </c>
      <c r="G25" s="4">
        <f t="shared" si="12"/>
        <v>0</v>
      </c>
      <c r="H25" s="2">
        <f t="shared" si="12"/>
        <v>435.48750000000001</v>
      </c>
      <c r="I25" s="4">
        <f>AVERAGE(I2:I21)</f>
        <v>45.462499999999999</v>
      </c>
      <c r="J25" s="2">
        <f t="shared" ref="J25:M25" si="13">AVERAGE(J2:J21)</f>
        <v>247.74999999999994</v>
      </c>
      <c r="K25" s="4">
        <f>ROUND(AVERAGE(K2:K21),10)</f>
        <v>0</v>
      </c>
      <c r="L25" s="2">
        <f t="shared" si="13"/>
        <v>68.212705464238113</v>
      </c>
      <c r="M25" s="2">
        <f t="shared" si="13"/>
        <v>3.789594748013227</v>
      </c>
    </row>
    <row r="28" spans="1:13">
      <c r="A28" s="2" t="s">
        <v>16</v>
      </c>
      <c r="B28" s="2" t="s">
        <v>17</v>
      </c>
      <c r="C28" s="2" t="s">
        <v>18</v>
      </c>
      <c r="D28" s="2" t="s">
        <v>19</v>
      </c>
      <c r="E28" s="2" t="s">
        <v>20</v>
      </c>
      <c r="F28" s="2" t="s">
        <v>21</v>
      </c>
    </row>
    <row r="29" spans="1:13">
      <c r="A29" s="4">
        <f>I23/F23</f>
        <v>8.0786317192358954</v>
      </c>
      <c r="B29" s="4">
        <f>C25-A29*B25</f>
        <v>119.70368725011107</v>
      </c>
      <c r="C29" s="4">
        <f>M23/(A23*(D25-B25^2))</f>
        <v>0.67340644122846904</v>
      </c>
      <c r="D29" s="4">
        <f>C29*D25</f>
        <v>172.96444442953228</v>
      </c>
      <c r="E29" s="4">
        <f>A29/SQRT(C29)</f>
        <v>9.8446249909771932</v>
      </c>
      <c r="F29" s="4">
        <f>B29/SQRT(D29)</f>
        <v>9.1018381830462811</v>
      </c>
    </row>
    <row r="32" spans="1:13" ht="18" customHeight="1">
      <c r="A32" s="5"/>
      <c r="B32" s="5"/>
      <c r="C32" s="5"/>
    </row>
    <row r="33" spans="1:5" ht="45">
      <c r="A33" s="2" t="s">
        <v>22</v>
      </c>
      <c r="B33" s="2" t="s">
        <v>23</v>
      </c>
      <c r="C33" s="2" t="s">
        <v>24</v>
      </c>
      <c r="D33" s="2" t="s">
        <v>25</v>
      </c>
    </row>
    <row r="34" spans="1:5">
      <c r="A34" s="2">
        <v>0.9</v>
      </c>
      <c r="B34" s="4">
        <f>TINV(1-A34,$A$23-2)</f>
        <v>1.7340636066175394</v>
      </c>
      <c r="C34" s="2" t="str">
        <f>IF(E$29&gt;$B34,"значимый","не значимый")</f>
        <v>значимый</v>
      </c>
      <c r="D34" s="2" t="str">
        <f>IF(F$29&gt;$B34,"значимый","не значимый")</f>
        <v>значимый</v>
      </c>
    </row>
    <row r="35" spans="1:5">
      <c r="A35" s="2">
        <v>0.95</v>
      </c>
      <c r="B35" s="4">
        <f>TINV(1-A35,$A$23-2)</f>
        <v>2.1009220402410378</v>
      </c>
      <c r="C35" s="2" t="str">
        <f t="shared" ref="C35:C36" si="14">IF(E$29&gt;$B35,"значимый","не значимый")</f>
        <v>значимый</v>
      </c>
      <c r="D35" s="2" t="str">
        <f t="shared" ref="D35:D36" si="15">IF(F$29&gt;$B35,"значимый","не значимый")</f>
        <v>значимый</v>
      </c>
    </row>
    <row r="36" spans="1:5">
      <c r="A36" s="2">
        <v>0.99</v>
      </c>
      <c r="B36" s="4">
        <f>TINV(1-A36,$A$23-2)</f>
        <v>2.8784404727386073</v>
      </c>
      <c r="C36" s="2" t="str">
        <f t="shared" si="14"/>
        <v>значимый</v>
      </c>
      <c r="D36" s="2" t="str">
        <f t="shared" si="15"/>
        <v>значимый</v>
      </c>
    </row>
    <row r="39" spans="1:5">
      <c r="A39" s="2" t="s">
        <v>22</v>
      </c>
      <c r="B39" s="2" t="s">
        <v>26</v>
      </c>
      <c r="C39" s="2" t="s">
        <v>16</v>
      </c>
      <c r="D39" s="2" t="s">
        <v>17</v>
      </c>
    </row>
    <row r="40" spans="1:5">
      <c r="A40" s="9">
        <v>0.9</v>
      </c>
      <c r="B40" s="2" t="s">
        <v>27</v>
      </c>
      <c r="C40" s="4">
        <f>A$29-$B34*SQRT(C$29)</f>
        <v>6.6556357931917374</v>
      </c>
      <c r="D40" s="4">
        <f>B$29-$B34*SQRT(D$29)</f>
        <v>96.897985427704796</v>
      </c>
    </row>
    <row r="41" spans="1:5">
      <c r="A41" s="9"/>
      <c r="B41" s="2" t="s">
        <v>28</v>
      </c>
      <c r="C41" s="4">
        <f>A$29+$B34*SQRT(C$29)</f>
        <v>9.5016276452800525</v>
      </c>
      <c r="D41" s="4">
        <f>B$29+$B34*SQRT(D$29)</f>
        <v>142.50938907251734</v>
      </c>
    </row>
    <row r="42" spans="1:5">
      <c r="A42" s="9">
        <v>0.95</v>
      </c>
      <c r="B42" s="2" t="s">
        <v>27</v>
      </c>
      <c r="C42" s="4">
        <f>A$29-$B35*SQRT(C$29)</f>
        <v>6.3545868267703352</v>
      </c>
      <c r="D42" s="4">
        <f>B$29-$B35*SQRT(D$29)</f>
        <v>92.07321197860847</v>
      </c>
    </row>
    <row r="43" spans="1:5">
      <c r="A43" s="9"/>
      <c r="B43" s="2" t="s">
        <v>28</v>
      </c>
      <c r="C43" s="4">
        <f>A$29+$B35*SQRT(C$29)</f>
        <v>9.8026766117014557</v>
      </c>
      <c r="D43" s="4">
        <f>B$29+$B35*SQRT(D$29)</f>
        <v>147.33416252161368</v>
      </c>
    </row>
    <row r="44" spans="1:5">
      <c r="A44" s="9">
        <v>0.99</v>
      </c>
      <c r="B44" s="2" t="s">
        <v>27</v>
      </c>
      <c r="C44" s="4">
        <f>A$29-$B36*SQRT(C$29)</f>
        <v>5.7165447401675067</v>
      </c>
      <c r="D44" s="4">
        <f>B$29-$B36*SQRT(D$29)</f>
        <v>81.847604644889032</v>
      </c>
    </row>
    <row r="45" spans="1:5">
      <c r="A45" s="9"/>
      <c r="B45" s="2" t="s">
        <v>28</v>
      </c>
      <c r="C45" s="4">
        <f>A$29+$B36*SQRT(C$29)</f>
        <v>10.440718698304284</v>
      </c>
      <c r="D45" s="4">
        <f>B$29+$B36*SQRT(D$29)</f>
        <v>157.55976985533312</v>
      </c>
    </row>
    <row r="47" spans="1:5" ht="51" customHeight="1">
      <c r="A47" s="2" t="s">
        <v>29</v>
      </c>
      <c r="C47" s="9" t="s">
        <v>30</v>
      </c>
      <c r="D47" s="9"/>
      <c r="E47" s="9"/>
    </row>
    <row r="48" spans="1:5">
      <c r="A48" s="2">
        <f>1-L23/H23</f>
        <v>0.84336472237610005</v>
      </c>
    </row>
    <row r="50" spans="1:8" ht="45">
      <c r="A50" s="2" t="s">
        <v>22</v>
      </c>
      <c r="B50" s="2" t="s">
        <v>31</v>
      </c>
      <c r="C50" s="2" t="s">
        <v>32</v>
      </c>
    </row>
    <row r="51" spans="1:8" ht="17.05" customHeight="1">
      <c r="A51" s="9">
        <v>0.9</v>
      </c>
      <c r="B51" s="10">
        <f>FINV(1-A51,2,$A$23-2)</f>
        <v>2.6239469851339554</v>
      </c>
      <c r="C51" s="9" t="str">
        <f>IF($B$58&gt;B51,"значимый","не значимый")</f>
        <v>значимый</v>
      </c>
    </row>
    <row r="52" spans="1:8">
      <c r="A52" s="9"/>
      <c r="B52" s="11"/>
      <c r="C52" s="9"/>
    </row>
    <row r="53" spans="1:8" ht="16" customHeight="1">
      <c r="A53" s="9">
        <v>0.95</v>
      </c>
      <c r="B53" s="10">
        <f t="shared" ref="B53" si="16">FINV(1-A53,2,$A$23-2)</f>
        <v>3.5545571456617857</v>
      </c>
      <c r="C53" s="9" t="str">
        <f t="shared" ref="C53" si="17">IF($B$58&gt;B53,"значимый","не значимый")</f>
        <v>значимый</v>
      </c>
    </row>
    <row r="54" spans="1:8">
      <c r="A54" s="9"/>
      <c r="B54" s="11"/>
      <c r="C54" s="9"/>
    </row>
    <row r="55" spans="1:8" ht="16" customHeight="1">
      <c r="A55" s="9">
        <v>0.99</v>
      </c>
      <c r="B55" s="10">
        <f t="shared" ref="B55" si="18">FINV(1-A55,2,$A$23-2)</f>
        <v>6.0129048348005281</v>
      </c>
      <c r="C55" s="9" t="str">
        <f t="shared" ref="C55" si="19">IF($B$58&gt;B55,"значимый","не значимый")</f>
        <v>значимый</v>
      </c>
    </row>
    <row r="56" spans="1:8">
      <c r="A56" s="9"/>
      <c r="B56" s="11"/>
      <c r="C56" s="9"/>
    </row>
    <row r="57" spans="1:8">
      <c r="B57" s="6"/>
    </row>
    <row r="58" spans="1:8">
      <c r="A58" s="2" t="s">
        <v>33</v>
      </c>
      <c r="B58" s="4">
        <f>A48/(1-A48)*(A23-2)</f>
        <v>96.916641212972181</v>
      </c>
    </row>
    <row r="61" spans="1:8" ht="16" customHeight="1">
      <c r="C61" s="9" t="s">
        <v>22</v>
      </c>
      <c r="D61" s="9"/>
      <c r="E61" s="9"/>
      <c r="F61" s="9"/>
      <c r="G61" s="9"/>
      <c r="H61" s="9"/>
    </row>
    <row r="62" spans="1:8">
      <c r="A62" s="2" t="s">
        <v>34</v>
      </c>
      <c r="B62" s="2" t="s">
        <v>35</v>
      </c>
      <c r="C62" s="9">
        <v>0.9</v>
      </c>
      <c r="D62" s="9"/>
      <c r="E62" s="9">
        <v>0.95</v>
      </c>
      <c r="F62" s="9"/>
      <c r="G62" s="9">
        <v>0.99</v>
      </c>
      <c r="H62" s="9"/>
    </row>
    <row r="63" spans="1:8">
      <c r="A63" s="2">
        <v>12</v>
      </c>
      <c r="B63" s="4">
        <f>$B$29+A63*$A$29</f>
        <v>216.64726788094183</v>
      </c>
      <c r="C63" s="4">
        <f>B63-$B$34*SQRT($M$23)*SQRT(1/$A$23+(A63-$B$25)^2/($F$23))</f>
        <v>210.21224177817754</v>
      </c>
      <c r="D63" s="4">
        <f>B63+$B$34*SQRT($M$23)*SQRT(1/$A$23+(A63-$B$25)^2/($F$23))</f>
        <v>223.08229398370611</v>
      </c>
      <c r="E63" s="4">
        <f>B63-$B$35*SQRT($M$23)*SQRT(1/$A$23+(A63-$B$25)^2/($F$23))</f>
        <v>208.85084788963886</v>
      </c>
      <c r="F63" s="4">
        <f>B63+$B$35*SQRT($M$23)*SQRT(1/$A$23+(A63-$B$25)^2/($F$23))</f>
        <v>224.44368787224479</v>
      </c>
      <c r="G63" s="4">
        <f>B63-$B$36*SQRT($M$23)*SQRT(1/$A$23+(A63-$B$25)^2/($F$23))</f>
        <v>205.96551462423358</v>
      </c>
      <c r="H63" s="4">
        <f>B63+$B$36*SQRT($M$23)*SQRT(1/$A$23+(A63-$B$25)^2/($F$23))</f>
        <v>227.32902113765007</v>
      </c>
    </row>
    <row r="64" spans="1:8">
      <c r="A64" s="2">
        <v>13</v>
      </c>
      <c r="B64" s="4">
        <f t="shared" ref="B64:B71" si="20">$B$29+A64*$A$29</f>
        <v>224.72589960017771</v>
      </c>
      <c r="C64" s="4">
        <f t="shared" ref="C64:C71" si="21">B64-$B$34*SQRT($M$23)*SQRT(1/$A$23+(A64-$B$25)^2/($F$23))</f>
        <v>219.4492894832417</v>
      </c>
      <c r="D64" s="4">
        <f t="shared" ref="D64:D71" si="22">B64+$B$34*SQRT($M$23)*SQRT(1/$A$23+(A64-$B$25)^2/($F$23))</f>
        <v>230.00250971711372</v>
      </c>
      <c r="E64" s="4">
        <f t="shared" ref="E64:E71" si="23">B64-$B$35*SQRT($M$23)*SQRT(1/$A$23+(A64-$B$25)^2/($F$23))</f>
        <v>218.33297003858365</v>
      </c>
      <c r="F64" s="4">
        <f t="shared" ref="F64:F71" si="24">B64+$B$35*SQRT($M$23)*SQRT(1/$A$23+(A64-$B$25)^2/($F$23))</f>
        <v>231.11882916177177</v>
      </c>
      <c r="G64" s="4">
        <f t="shared" ref="G64:G71" si="25">B64-$B$36*SQRT($M$23)*SQRT(1/$A$23+(A64-$B$25)^2/($F$23))</f>
        <v>215.96704665990001</v>
      </c>
      <c r="H64" s="4">
        <f t="shared" ref="H64:H71" si="26">B64+$B$36*SQRT($M$23)*SQRT(1/$A$23+(A64-$B$25)^2/($F$23))</f>
        <v>233.48475254045542</v>
      </c>
    </row>
    <row r="65" spans="1:8">
      <c r="A65" s="2">
        <v>14</v>
      </c>
      <c r="B65" s="4">
        <f t="shared" si="20"/>
        <v>232.80453131941363</v>
      </c>
      <c r="C65" s="4">
        <f t="shared" si="21"/>
        <v>228.52370166616632</v>
      </c>
      <c r="D65" s="4">
        <f t="shared" si="22"/>
        <v>237.08536097266094</v>
      </c>
      <c r="E65" s="4">
        <f t="shared" si="23"/>
        <v>227.61804950023298</v>
      </c>
      <c r="F65" s="4">
        <f t="shared" si="24"/>
        <v>237.99101313859427</v>
      </c>
      <c r="G65" s="4">
        <f t="shared" si="25"/>
        <v>225.69861358734028</v>
      </c>
      <c r="H65" s="4">
        <f t="shared" si="26"/>
        <v>239.91044905148698</v>
      </c>
    </row>
    <row r="66" spans="1:8">
      <c r="A66" s="2">
        <v>15</v>
      </c>
      <c r="B66" s="4">
        <f t="shared" si="20"/>
        <v>240.88316303864951</v>
      </c>
      <c r="C66" s="4">
        <f t="shared" si="21"/>
        <v>237.29732624298131</v>
      </c>
      <c r="D66" s="4">
        <f t="shared" si="22"/>
        <v>244.46899983431771</v>
      </c>
      <c r="E66" s="4">
        <f t="shared" si="23"/>
        <v>236.53870674075074</v>
      </c>
      <c r="F66" s="4">
        <f t="shared" si="24"/>
        <v>245.22761933654829</v>
      </c>
      <c r="G66" s="4">
        <f t="shared" si="25"/>
        <v>234.93089132156987</v>
      </c>
      <c r="H66" s="4">
        <f t="shared" si="26"/>
        <v>246.83543475572915</v>
      </c>
    </row>
    <row r="67" spans="1:8">
      <c r="A67" s="2">
        <v>16</v>
      </c>
      <c r="B67" s="4">
        <f t="shared" si="20"/>
        <v>248.9617947578854</v>
      </c>
      <c r="C67" s="4">
        <f t="shared" si="21"/>
        <v>245.57937205495614</v>
      </c>
      <c r="D67" s="4">
        <f t="shared" si="22"/>
        <v>252.34421746081466</v>
      </c>
      <c r="E67" s="4">
        <f t="shared" si="23"/>
        <v>244.8637868307961</v>
      </c>
      <c r="F67" s="4">
        <f t="shared" si="24"/>
        <v>253.0598026849747</v>
      </c>
      <c r="G67" s="4">
        <f t="shared" si="25"/>
        <v>243.3471781043402</v>
      </c>
      <c r="H67" s="4">
        <f t="shared" si="26"/>
        <v>254.5764114114306</v>
      </c>
    </row>
    <row r="68" spans="1:8">
      <c r="A68" s="2">
        <v>17</v>
      </c>
      <c r="B68" s="4">
        <f t="shared" si="20"/>
        <v>257.04042647712129</v>
      </c>
      <c r="C68" s="4">
        <f t="shared" si="21"/>
        <v>253.28900328471937</v>
      </c>
      <c r="D68" s="4">
        <f t="shared" si="22"/>
        <v>260.79184966952323</v>
      </c>
      <c r="E68" s="4">
        <f t="shared" si="23"/>
        <v>252.49535233041098</v>
      </c>
      <c r="F68" s="4">
        <f t="shared" si="24"/>
        <v>261.58550062383159</v>
      </c>
      <c r="G68" s="4">
        <f t="shared" si="25"/>
        <v>250.81329137886325</v>
      </c>
      <c r="H68" s="4">
        <f t="shared" si="26"/>
        <v>263.26756157537932</v>
      </c>
    </row>
    <row r="69" spans="1:8">
      <c r="A69" s="2">
        <v>18</v>
      </c>
      <c r="B69" s="4">
        <f t="shared" si="20"/>
        <v>265.11905819635717</v>
      </c>
      <c r="C69" s="4">
        <f t="shared" si="21"/>
        <v>260.56324834444638</v>
      </c>
      <c r="D69" s="4">
        <f t="shared" si="22"/>
        <v>269.67486804826797</v>
      </c>
      <c r="E69" s="4">
        <f t="shared" si="23"/>
        <v>259.59942137767291</v>
      </c>
      <c r="F69" s="4">
        <f t="shared" si="24"/>
        <v>270.63869501504143</v>
      </c>
      <c r="G69" s="4">
        <f t="shared" si="25"/>
        <v>257.55669000305846</v>
      </c>
      <c r="H69" s="4">
        <f t="shared" si="26"/>
        <v>272.68142638965588</v>
      </c>
    </row>
    <row r="70" spans="1:8">
      <c r="A70" s="2">
        <v>19</v>
      </c>
      <c r="B70" s="4">
        <f t="shared" si="20"/>
        <v>273.19768991559306</v>
      </c>
      <c r="C70" s="4">
        <f t="shared" si="21"/>
        <v>267.58632059464117</v>
      </c>
      <c r="D70" s="4">
        <f t="shared" si="22"/>
        <v>278.80905923654495</v>
      </c>
      <c r="E70" s="4">
        <f t="shared" si="23"/>
        <v>266.39917950494214</v>
      </c>
      <c r="F70" s="4">
        <f t="shared" si="24"/>
        <v>279.99620032624398</v>
      </c>
      <c r="G70" s="4">
        <f t="shared" si="25"/>
        <v>263.88315698884662</v>
      </c>
      <c r="H70" s="4">
        <f t="shared" si="26"/>
        <v>282.5122228423395</v>
      </c>
    </row>
    <row r="71" spans="1:8">
      <c r="A71" s="2">
        <v>20</v>
      </c>
      <c r="B71" s="4">
        <f t="shared" si="20"/>
        <v>281.27632163482895</v>
      </c>
      <c r="C71" s="4">
        <f t="shared" si="21"/>
        <v>274.4741629541931</v>
      </c>
      <c r="D71" s="4">
        <f t="shared" si="22"/>
        <v>288.07848031546479</v>
      </c>
      <c r="E71" s="4">
        <f t="shared" si="23"/>
        <v>273.03509851081657</v>
      </c>
      <c r="F71" s="4">
        <f t="shared" si="24"/>
        <v>289.51754475884132</v>
      </c>
      <c r="G71" s="4">
        <f t="shared" si="25"/>
        <v>269.98515055343796</v>
      </c>
      <c r="H71" s="4">
        <f t="shared" si="26"/>
        <v>292.56749271621993</v>
      </c>
    </row>
    <row r="106" spans="1:5" ht="16" customHeight="1">
      <c r="A106" s="8" t="s">
        <v>36</v>
      </c>
      <c r="B106" s="8"/>
      <c r="C106" s="8"/>
      <c r="D106" s="8"/>
      <c r="E106" s="8"/>
    </row>
    <row r="107" spans="1:5">
      <c r="A107" s="8"/>
      <c r="B107" s="8"/>
      <c r="C107" s="8"/>
      <c r="D107" s="8"/>
      <c r="E107" s="8"/>
    </row>
    <row r="108" spans="1:5">
      <c r="A108" s="8"/>
      <c r="B108" s="8"/>
      <c r="C108" s="8"/>
      <c r="D108" s="8"/>
      <c r="E108" s="8"/>
    </row>
  </sheetData>
  <mergeCells count="18">
    <mergeCell ref="C47:E47"/>
    <mergeCell ref="C61:H61"/>
    <mergeCell ref="C62:D62"/>
    <mergeCell ref="E62:F62"/>
    <mergeCell ref="G62:H62"/>
    <mergeCell ref="A40:A41"/>
    <mergeCell ref="A42:A43"/>
    <mergeCell ref="A44:A45"/>
    <mergeCell ref="A51:A52"/>
    <mergeCell ref="A53:A54"/>
    <mergeCell ref="A106:E108"/>
    <mergeCell ref="A55:A56"/>
    <mergeCell ref="B51:B52"/>
    <mergeCell ref="B53:B54"/>
    <mergeCell ref="B55:B56"/>
    <mergeCell ref="C51:C52"/>
    <mergeCell ref="C53:C54"/>
    <mergeCell ref="C55:C56"/>
  </mergeCells>
  <pageMargins left="0.7" right="0.7" top="0.75" bottom="0.75" header="0.3" footer="0.3"/>
  <ignoredErrors>
    <ignoredError sqref="K25 K23 E23 G2:G21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Egorov</dc:creator>
  <cp:lastModifiedBy>Саша Бражалович</cp:lastModifiedBy>
  <dcterms:created xsi:type="dcterms:W3CDTF">2026-09-17T21:31:00Z</dcterms:created>
  <dcterms:modified xsi:type="dcterms:W3CDTF">2026-10-16T07:44:22Z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