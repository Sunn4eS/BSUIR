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egorov/Desktop/BSUIR/СМАД/lab4/"/>
    </mc:Choice>
  </mc:AlternateContent>
  <xr:revisionPtr revIDLastSave="0" documentId="13_ncr:1_{1E14FE76-56D2-D246-A4D1-3A55C177FF33}" xr6:coauthVersionLast="47" xr6:coauthVersionMax="47" xr10:uidLastSave="{00000000-0000-0000-0000-000000000000}"/>
  <bookViews>
    <workbookView xWindow="160" yWindow="920" windowWidth="34240" windowHeight="21260" xr2:uid="{00000000-000D-0000-FFFF-FFFF00000000}"/>
  </bookViews>
  <sheets>
    <sheet name="Лист1" sheetId="1" r:id="rId1"/>
  </sheets>
  <calcPr calcId="191029" iterateDelta="1E-4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B45" i="1"/>
  <c r="E36" i="1" s="1"/>
  <c r="C43" i="1"/>
  <c r="B43" i="1"/>
  <c r="A43" i="1"/>
  <c r="B73" i="1" s="1"/>
  <c r="D41" i="1"/>
  <c r="D40" i="1"/>
  <c r="G39" i="1"/>
  <c r="H39" i="1" s="1"/>
  <c r="E39" i="1"/>
  <c r="I39" i="1" s="1"/>
  <c r="D39" i="1"/>
  <c r="D38" i="1"/>
  <c r="D37" i="1"/>
  <c r="D36" i="1"/>
  <c r="D35" i="1"/>
  <c r="D34" i="1"/>
  <c r="G33" i="1"/>
  <c r="H33" i="1" s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G19" i="1"/>
  <c r="H19" i="1" s="1"/>
  <c r="D19" i="1"/>
  <c r="G18" i="1"/>
  <c r="H18" i="1" s="1"/>
  <c r="D18" i="1"/>
  <c r="D17" i="1"/>
  <c r="D16" i="1"/>
  <c r="G15" i="1"/>
  <c r="H15" i="1" s="1"/>
  <c r="D15" i="1"/>
  <c r="D14" i="1"/>
  <c r="D13" i="1"/>
  <c r="D12" i="1"/>
  <c r="D11" i="1"/>
  <c r="D10" i="1"/>
  <c r="D9" i="1"/>
  <c r="D8" i="1"/>
  <c r="D7" i="1"/>
  <c r="D6" i="1"/>
  <c r="D5" i="1"/>
  <c r="G4" i="1"/>
  <c r="H4" i="1" s="1"/>
  <c r="E4" i="1"/>
  <c r="I4" i="1" s="1"/>
  <c r="D4" i="1"/>
  <c r="D3" i="1"/>
  <c r="D2" i="1"/>
  <c r="G36" i="1" l="1"/>
  <c r="H36" i="1" s="1"/>
  <c r="B75" i="1"/>
  <c r="E7" i="1"/>
  <c r="F7" i="1" s="1"/>
  <c r="E21" i="1"/>
  <c r="F21" i="1" s="1"/>
  <c r="B71" i="1"/>
  <c r="D45" i="1"/>
  <c r="E34" i="1"/>
  <c r="E27" i="1"/>
  <c r="E38" i="1"/>
  <c r="E3" i="1"/>
  <c r="E40" i="1"/>
  <c r="E33" i="1"/>
  <c r="E26" i="1"/>
  <c r="E19" i="1"/>
  <c r="E12" i="1"/>
  <c r="E5" i="1"/>
  <c r="E6" i="1"/>
  <c r="E31" i="1"/>
  <c r="E13" i="1"/>
  <c r="E37" i="1"/>
  <c r="E30" i="1"/>
  <c r="E23" i="1"/>
  <c r="E16" i="1"/>
  <c r="E9" i="1"/>
  <c r="E2" i="1"/>
  <c r="E41" i="1"/>
  <c r="E20" i="1"/>
  <c r="E24" i="1"/>
  <c r="E17" i="1"/>
  <c r="E10" i="1"/>
  <c r="F36" i="1"/>
  <c r="F39" i="1"/>
  <c r="F4" i="1"/>
  <c r="G24" i="1"/>
  <c r="H24" i="1" s="1"/>
  <c r="G17" i="1"/>
  <c r="H17" i="1" s="1"/>
  <c r="G3" i="1"/>
  <c r="H3" i="1" s="1"/>
  <c r="G37" i="1"/>
  <c r="H37" i="1" s="1"/>
  <c r="G30" i="1"/>
  <c r="H30" i="1" s="1"/>
  <c r="G23" i="1"/>
  <c r="H23" i="1" s="1"/>
  <c r="G16" i="1"/>
  <c r="H16" i="1" s="1"/>
  <c r="G9" i="1"/>
  <c r="H9" i="1" s="1"/>
  <c r="G2" i="1"/>
  <c r="G10" i="1"/>
  <c r="H10" i="1" s="1"/>
  <c r="G35" i="1"/>
  <c r="H35" i="1" s="1"/>
  <c r="G28" i="1"/>
  <c r="H28" i="1" s="1"/>
  <c r="G21" i="1"/>
  <c r="H21" i="1" s="1"/>
  <c r="G14" i="1"/>
  <c r="H14" i="1" s="1"/>
  <c r="G7" i="1"/>
  <c r="H7" i="1" s="1"/>
  <c r="G41" i="1"/>
  <c r="H41" i="1" s="1"/>
  <c r="G34" i="1"/>
  <c r="H34" i="1" s="1"/>
  <c r="G27" i="1"/>
  <c r="H27" i="1" s="1"/>
  <c r="G20" i="1"/>
  <c r="H20" i="1" s="1"/>
  <c r="G13" i="1"/>
  <c r="H13" i="1" s="1"/>
  <c r="G6" i="1"/>
  <c r="H6" i="1" s="1"/>
  <c r="G38" i="1"/>
  <c r="H38" i="1" s="1"/>
  <c r="G31" i="1"/>
  <c r="H31" i="1" s="1"/>
  <c r="G22" i="1"/>
  <c r="H22" i="1" s="1"/>
  <c r="G25" i="1"/>
  <c r="H25" i="1" s="1"/>
  <c r="G26" i="1"/>
  <c r="H26" i="1" s="1"/>
  <c r="E29" i="1"/>
  <c r="E22" i="1"/>
  <c r="E25" i="1"/>
  <c r="E8" i="1"/>
  <c r="E11" i="1"/>
  <c r="E32" i="1"/>
  <c r="E35" i="1"/>
  <c r="G40" i="1"/>
  <c r="H40" i="1" s="1"/>
  <c r="G5" i="1"/>
  <c r="H5" i="1" s="1"/>
  <c r="G11" i="1"/>
  <c r="H11" i="1" s="1"/>
  <c r="D43" i="1"/>
  <c r="G12" i="1"/>
  <c r="H12" i="1" s="1"/>
  <c r="E15" i="1"/>
  <c r="G29" i="1"/>
  <c r="H29" i="1" s="1"/>
  <c r="E28" i="1"/>
  <c r="G8" i="1"/>
  <c r="H8" i="1" s="1"/>
  <c r="E14" i="1"/>
  <c r="E18" i="1"/>
  <c r="G32" i="1"/>
  <c r="H32" i="1" s="1"/>
  <c r="B56" i="1"/>
  <c r="B54" i="1"/>
  <c r="B55" i="1"/>
  <c r="I36" i="1" l="1"/>
  <c r="F31" i="1"/>
  <c r="I31" i="1"/>
  <c r="F10" i="1"/>
  <c r="I10" i="1"/>
  <c r="F6" i="1"/>
  <c r="I6" i="1"/>
  <c r="F37" i="1"/>
  <c r="I37" i="1"/>
  <c r="I21" i="1"/>
  <c r="H2" i="1"/>
  <c r="G43" i="1"/>
  <c r="G45" i="1"/>
  <c r="F24" i="1"/>
  <c r="I24" i="1"/>
  <c r="F15" i="1"/>
  <c r="I15" i="1"/>
  <c r="F17" i="1"/>
  <c r="I17" i="1"/>
  <c r="F9" i="1"/>
  <c r="I9" i="1"/>
  <c r="F3" i="1"/>
  <c r="I3" i="1"/>
  <c r="I13" i="1"/>
  <c r="F13" i="1"/>
  <c r="F5" i="1"/>
  <c r="I5" i="1"/>
  <c r="F12" i="1"/>
  <c r="I12" i="1"/>
  <c r="I35" i="1"/>
  <c r="F35" i="1"/>
  <c r="F20" i="1"/>
  <c r="I20" i="1"/>
  <c r="I32" i="1"/>
  <c r="F32" i="1"/>
  <c r="F33" i="1"/>
  <c r="I33" i="1"/>
  <c r="F2" i="1"/>
  <c r="E45" i="1"/>
  <c r="E43" i="1"/>
  <c r="I2" i="1"/>
  <c r="F16" i="1"/>
  <c r="I16" i="1"/>
  <c r="F38" i="1"/>
  <c r="I38" i="1"/>
  <c r="F19" i="1"/>
  <c r="I19" i="1"/>
  <c r="I41" i="1"/>
  <c r="F41" i="1"/>
  <c r="F40" i="1"/>
  <c r="I40" i="1"/>
  <c r="F8" i="1"/>
  <c r="I8" i="1"/>
  <c r="F27" i="1"/>
  <c r="I27" i="1"/>
  <c r="F26" i="1"/>
  <c r="I26" i="1"/>
  <c r="I18" i="1"/>
  <c r="F18" i="1"/>
  <c r="I11" i="1"/>
  <c r="F11" i="1"/>
  <c r="I14" i="1"/>
  <c r="F14" i="1"/>
  <c r="I25" i="1"/>
  <c r="F25" i="1"/>
  <c r="I22" i="1"/>
  <c r="F22" i="1"/>
  <c r="F23" i="1"/>
  <c r="I23" i="1"/>
  <c r="I28" i="1"/>
  <c r="F28" i="1"/>
  <c r="I29" i="1"/>
  <c r="F29" i="1"/>
  <c r="I7" i="1"/>
  <c r="F30" i="1"/>
  <c r="I30" i="1"/>
  <c r="F34" i="1"/>
  <c r="I34" i="1"/>
  <c r="F43" i="1" l="1"/>
  <c r="F45" i="1"/>
  <c r="H45" i="1"/>
  <c r="H43" i="1"/>
  <c r="I43" i="1"/>
  <c r="A49" i="1" s="1"/>
  <c r="B49" i="1" s="1"/>
  <c r="I45" i="1"/>
  <c r="J41" i="1" l="1"/>
  <c r="K41" i="1" s="1"/>
  <c r="L41" i="1" s="1"/>
  <c r="M41" i="1" s="1"/>
  <c r="J34" i="1"/>
  <c r="K34" i="1" s="1"/>
  <c r="L34" i="1" s="1"/>
  <c r="M34" i="1" s="1"/>
  <c r="J27" i="1"/>
  <c r="K27" i="1" s="1"/>
  <c r="L27" i="1" s="1"/>
  <c r="M27" i="1" s="1"/>
  <c r="J20" i="1"/>
  <c r="K20" i="1" s="1"/>
  <c r="L20" i="1" s="1"/>
  <c r="M20" i="1" s="1"/>
  <c r="J13" i="1"/>
  <c r="K13" i="1" s="1"/>
  <c r="L13" i="1" s="1"/>
  <c r="M13" i="1" s="1"/>
  <c r="J6" i="1"/>
  <c r="K6" i="1" s="1"/>
  <c r="L6" i="1" s="1"/>
  <c r="M6" i="1" s="1"/>
  <c r="J28" i="1"/>
  <c r="K28" i="1" s="1"/>
  <c r="L28" i="1" s="1"/>
  <c r="M28" i="1" s="1"/>
  <c r="J21" i="1"/>
  <c r="K21" i="1" s="1"/>
  <c r="L21" i="1" s="1"/>
  <c r="M21" i="1" s="1"/>
  <c r="J14" i="1"/>
  <c r="K14" i="1" s="1"/>
  <c r="L14" i="1" s="1"/>
  <c r="M14" i="1" s="1"/>
  <c r="J7" i="1"/>
  <c r="K7" i="1" s="1"/>
  <c r="L7" i="1" s="1"/>
  <c r="M7" i="1" s="1"/>
  <c r="B83" i="1"/>
  <c r="J25" i="1"/>
  <c r="K25" i="1" s="1"/>
  <c r="L25" i="1" s="1"/>
  <c r="M25" i="1" s="1"/>
  <c r="J11" i="1"/>
  <c r="K11" i="1" s="1"/>
  <c r="L11" i="1" s="1"/>
  <c r="M11" i="1" s="1"/>
  <c r="B87" i="1"/>
  <c r="J32" i="1"/>
  <c r="K32" i="1" s="1"/>
  <c r="L32" i="1" s="1"/>
  <c r="M32" i="1" s="1"/>
  <c r="J38" i="1"/>
  <c r="K38" i="1" s="1"/>
  <c r="L38" i="1" s="1"/>
  <c r="M38" i="1" s="1"/>
  <c r="J31" i="1"/>
  <c r="K31" i="1" s="1"/>
  <c r="L31" i="1" s="1"/>
  <c r="M31" i="1" s="1"/>
  <c r="J24" i="1"/>
  <c r="K24" i="1" s="1"/>
  <c r="L24" i="1" s="1"/>
  <c r="M24" i="1" s="1"/>
  <c r="J17" i="1"/>
  <c r="K17" i="1" s="1"/>
  <c r="L17" i="1" s="1"/>
  <c r="M17" i="1" s="1"/>
  <c r="J10" i="1"/>
  <c r="K10" i="1" s="1"/>
  <c r="L10" i="1" s="1"/>
  <c r="M10" i="1" s="1"/>
  <c r="J3" i="1"/>
  <c r="K3" i="1" s="1"/>
  <c r="L3" i="1" s="1"/>
  <c r="M3" i="1" s="1"/>
  <c r="B85" i="1"/>
  <c r="J39" i="1"/>
  <c r="K39" i="1" s="1"/>
  <c r="L39" i="1" s="1"/>
  <c r="M39" i="1" s="1"/>
  <c r="J4" i="1"/>
  <c r="K4" i="1" s="1"/>
  <c r="L4" i="1" s="1"/>
  <c r="M4" i="1" s="1"/>
  <c r="J36" i="1"/>
  <c r="K36" i="1" s="1"/>
  <c r="L36" i="1" s="1"/>
  <c r="M36" i="1" s="1"/>
  <c r="J35" i="1"/>
  <c r="K35" i="1" s="1"/>
  <c r="L35" i="1" s="1"/>
  <c r="M35" i="1" s="1"/>
  <c r="B89" i="1"/>
  <c r="J18" i="1"/>
  <c r="K18" i="1" s="1"/>
  <c r="L18" i="1" s="1"/>
  <c r="M18" i="1" s="1"/>
  <c r="B91" i="1"/>
  <c r="B86" i="1"/>
  <c r="J26" i="1"/>
  <c r="K26" i="1" s="1"/>
  <c r="L26" i="1" s="1"/>
  <c r="M26" i="1" s="1"/>
  <c r="J2" i="1"/>
  <c r="J37" i="1"/>
  <c r="K37" i="1" s="1"/>
  <c r="L37" i="1" s="1"/>
  <c r="M37" i="1" s="1"/>
  <c r="J30" i="1"/>
  <c r="K30" i="1" s="1"/>
  <c r="L30" i="1" s="1"/>
  <c r="M30" i="1" s="1"/>
  <c r="J23" i="1"/>
  <c r="K23" i="1" s="1"/>
  <c r="L23" i="1" s="1"/>
  <c r="M23" i="1" s="1"/>
  <c r="J5" i="1"/>
  <c r="K5" i="1" s="1"/>
  <c r="L5" i="1" s="1"/>
  <c r="M5" i="1" s="1"/>
  <c r="J40" i="1"/>
  <c r="K40" i="1" s="1"/>
  <c r="L40" i="1" s="1"/>
  <c r="M40" i="1" s="1"/>
  <c r="J19" i="1"/>
  <c r="K19" i="1" s="1"/>
  <c r="L19" i="1" s="1"/>
  <c r="M19" i="1" s="1"/>
  <c r="J12" i="1"/>
  <c r="K12" i="1" s="1"/>
  <c r="L12" i="1" s="1"/>
  <c r="M12" i="1" s="1"/>
  <c r="J8" i="1"/>
  <c r="K8" i="1" s="1"/>
  <c r="L8" i="1" s="1"/>
  <c r="M8" i="1" s="1"/>
  <c r="J15" i="1"/>
  <c r="K15" i="1" s="1"/>
  <c r="L15" i="1" s="1"/>
  <c r="M15" i="1" s="1"/>
  <c r="J22" i="1"/>
  <c r="K22" i="1" s="1"/>
  <c r="L22" i="1" s="1"/>
  <c r="M22" i="1" s="1"/>
  <c r="B84" i="1"/>
  <c r="B90" i="1"/>
  <c r="J16" i="1"/>
  <c r="K16" i="1" s="1"/>
  <c r="L16" i="1" s="1"/>
  <c r="M16" i="1" s="1"/>
  <c r="J33" i="1"/>
  <c r="K33" i="1" s="1"/>
  <c r="L33" i="1" s="1"/>
  <c r="M33" i="1" s="1"/>
  <c r="J9" i="1"/>
  <c r="K9" i="1" s="1"/>
  <c r="L9" i="1" s="1"/>
  <c r="M9" i="1" s="1"/>
  <c r="B88" i="1"/>
  <c r="J29" i="1"/>
  <c r="K29" i="1" s="1"/>
  <c r="L29" i="1" s="1"/>
  <c r="M29" i="1" s="1"/>
  <c r="J43" i="1" l="1"/>
  <c r="J45" i="1"/>
  <c r="K2" i="1"/>
  <c r="K43" i="1" l="1"/>
  <c r="K45" i="1"/>
  <c r="L2" i="1"/>
  <c r="L45" i="1" l="1"/>
  <c r="M2" i="1"/>
  <c r="L43" i="1"/>
  <c r="A68" i="1" s="1"/>
  <c r="B78" i="1" s="1"/>
  <c r="M45" i="1" l="1"/>
  <c r="M43" i="1"/>
  <c r="C75" i="1"/>
  <c r="C73" i="1"/>
  <c r="C71" i="1"/>
  <c r="C49" i="1" l="1"/>
  <c r="H83" i="1"/>
  <c r="F88" i="1"/>
  <c r="G84" i="1"/>
  <c r="F89" i="1"/>
  <c r="C87" i="1"/>
  <c r="E88" i="1"/>
  <c r="C84" i="1"/>
  <c r="E89" i="1"/>
  <c r="F83" i="1"/>
  <c r="D88" i="1"/>
  <c r="F84" i="1"/>
  <c r="C89" i="1"/>
  <c r="C88" i="1"/>
  <c r="E84" i="1"/>
  <c r="C83" i="1"/>
  <c r="D84" i="1"/>
  <c r="E83" i="1"/>
  <c r="D85" i="1"/>
  <c r="C85" i="1"/>
  <c r="H87" i="1"/>
  <c r="G87" i="1"/>
  <c r="D90" i="1"/>
  <c r="D87" i="1"/>
  <c r="E87" i="1"/>
  <c r="G83" i="1"/>
  <c r="D83" i="1"/>
  <c r="H91" i="1"/>
  <c r="H90" i="1"/>
  <c r="C86" i="1"/>
  <c r="E86" i="1"/>
  <c r="E90" i="1"/>
  <c r="E85" i="1"/>
  <c r="F87" i="1"/>
  <c r="D89" i="1"/>
  <c r="H84" i="1"/>
  <c r="C91" i="1"/>
  <c r="H86" i="1"/>
  <c r="G91" i="1"/>
  <c r="H85" i="1"/>
  <c r="F91" i="1"/>
  <c r="G85" i="1"/>
  <c r="F86" i="1"/>
  <c r="G90" i="1"/>
  <c r="F85" i="1"/>
  <c r="H88" i="1"/>
  <c r="G89" i="1"/>
  <c r="G86" i="1"/>
  <c r="E91" i="1"/>
  <c r="D91" i="1"/>
  <c r="F90" i="1"/>
  <c r="D86" i="1"/>
  <c r="H89" i="1"/>
  <c r="C90" i="1"/>
  <c r="G88" i="1"/>
  <c r="D49" i="1" l="1"/>
  <c r="C62" i="1"/>
  <c r="C64" i="1"/>
  <c r="C63" i="1"/>
  <c r="C60" i="1"/>
  <c r="C61" i="1"/>
  <c r="C65" i="1"/>
  <c r="E49" i="1"/>
  <c r="C56" i="1" l="1"/>
  <c r="C54" i="1"/>
  <c r="C55" i="1"/>
  <c r="D65" i="1"/>
  <c r="D64" i="1"/>
  <c r="D60" i="1"/>
  <c r="D61" i="1"/>
  <c r="D62" i="1"/>
  <c r="F49" i="1"/>
  <c r="D63" i="1"/>
  <c r="D54" i="1" l="1"/>
  <c r="D55" i="1"/>
  <c r="D56" i="1"/>
</calcChain>
</file>

<file path=xl/sharedStrings.xml><?xml version="1.0" encoding="utf-8"?>
<sst xmlns="http://schemas.openxmlformats.org/spreadsheetml/2006/main" count="68" uniqueCount="37">
  <si>
    <t>t</t>
  </si>
  <si>
    <t>xt</t>
  </si>
  <si>
    <t>yt</t>
  </si>
  <si>
    <t>xₜ²</t>
  </si>
  <si>
    <t>xₜ−x̄</t>
  </si>
  <si>
    <t>(xₜ−x̄)²</t>
  </si>
  <si>
    <t>yₜ−ȳ</t>
  </si>
  <si>
    <t>(yₜ−ȳ)²</t>
  </si>
  <si>
    <t>(xₜ−x̄)(yₜ−ȳ)</t>
  </si>
  <si>
    <t>ŷₜ</t>
  </si>
  <si>
    <t>eₜ</t>
  </si>
  <si>
    <t>eₜ²</t>
  </si>
  <si>
    <t>sₜ²</t>
  </si>
  <si>
    <t>T</t>
  </si>
  <si>
    <t>Сумма</t>
  </si>
  <si>
    <t>Среднее</t>
  </si>
  <si>
    <t>â₁</t>
  </si>
  <si>
    <t>â₀</t>
  </si>
  <si>
    <t>s²_â₁</t>
  </si>
  <si>
    <t>s²_â₀</t>
  </si>
  <si>
    <t>t_â₁</t>
  </si>
  <si>
    <t>t_â₀</t>
  </si>
  <si>
    <t>γ</t>
  </si>
  <si>
    <t>Квантиль распределения Стьюдента</t>
  </si>
  <si>
    <t>статическая значимость  t_â₁</t>
  </si>
  <si>
    <t>статическаяя и значимость t_â₀</t>
  </si>
  <si>
    <t>гран</t>
  </si>
  <si>
    <t>левая гран.</t>
  </si>
  <si>
    <t>правая гран.</t>
  </si>
  <si>
    <t>Коэффициент детерминации модели</t>
  </si>
  <si>
    <t>Коэффициент детерминации модели 0.31&lt;0.7 =&gt; модель не может считаться адекватной.</t>
  </si>
  <si>
    <t>Квантиль распределения Фишера</t>
  </si>
  <si>
    <t>Статическая значимость R²</t>
  </si>
  <si>
    <t>FR²</t>
  </si>
  <si>
    <t>xпр</t>
  </si>
  <si>
    <t>ŷпр</t>
  </si>
  <si>
    <t>Остатки распределены случайно вокруг нуля, закономерности не видно;  распределение остатков визуально соответствует случайному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</si>
</sst>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2"/>
      <color theme="1"/>
      <name val="Aptos Narrow"/>
      <family val="2"/>
      <charset val="204"/>
      <scheme val="minor"/>
    </font>
    <font>
      <sz val="12"/>
      <color theme="1"/>
      <name val="Menlo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/>
    <xf numFmtId="0" fontId="0" fillId="0" borderId="5" xfId="0" applyBorder="1"/>
    <xf numFmtId="0" fontId="0" fillId="0" borderId="4" xfId="0" applyBorder="1"/>
    <xf numFmtId="16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Лист1!$B$2:$B$41</c:f>
              <c:numCache>
                <c:formatCode>0.00</c:formatCode>
                <c:ptCount val="40"/>
                <c:pt idx="0">
                  <c:v>79.489999999999995</c:v>
                </c:pt>
                <c:pt idx="1">
                  <c:v>69.599999999999994</c:v>
                </c:pt>
                <c:pt idx="2">
                  <c:v>75.25</c:v>
                </c:pt>
                <c:pt idx="3">
                  <c:v>43.73</c:v>
                </c:pt>
                <c:pt idx="4">
                  <c:v>82.14</c:v>
                </c:pt>
                <c:pt idx="5">
                  <c:v>78.84</c:v>
                </c:pt>
                <c:pt idx="6">
                  <c:v>83.32</c:v>
                </c:pt>
                <c:pt idx="7">
                  <c:v>60.09</c:v>
                </c:pt>
                <c:pt idx="8">
                  <c:v>69.680000000000007</c:v>
                </c:pt>
                <c:pt idx="9">
                  <c:v>80.510000000000005</c:v>
                </c:pt>
                <c:pt idx="10">
                  <c:v>72.88</c:v>
                </c:pt>
                <c:pt idx="11">
                  <c:v>52.17</c:v>
                </c:pt>
                <c:pt idx="12">
                  <c:v>65.930000000000007</c:v>
                </c:pt>
                <c:pt idx="13">
                  <c:v>58.64</c:v>
                </c:pt>
                <c:pt idx="14">
                  <c:v>51.02</c:v>
                </c:pt>
                <c:pt idx="15">
                  <c:v>34.75</c:v>
                </c:pt>
                <c:pt idx="16">
                  <c:v>89.49</c:v>
                </c:pt>
                <c:pt idx="17">
                  <c:v>35.69</c:v>
                </c:pt>
                <c:pt idx="18">
                  <c:v>59.39</c:v>
                </c:pt>
                <c:pt idx="19">
                  <c:v>62.8</c:v>
                </c:pt>
                <c:pt idx="20">
                  <c:v>81.17</c:v>
                </c:pt>
                <c:pt idx="21">
                  <c:v>84.61</c:v>
                </c:pt>
                <c:pt idx="22">
                  <c:v>77.39</c:v>
                </c:pt>
                <c:pt idx="23">
                  <c:v>55.77</c:v>
                </c:pt>
                <c:pt idx="24">
                  <c:v>63.82</c:v>
                </c:pt>
                <c:pt idx="25">
                  <c:v>42.9</c:v>
                </c:pt>
                <c:pt idx="26">
                  <c:v>75.819999999999993</c:v>
                </c:pt>
                <c:pt idx="27">
                  <c:v>63.13</c:v>
                </c:pt>
                <c:pt idx="28">
                  <c:v>24.11</c:v>
                </c:pt>
                <c:pt idx="29">
                  <c:v>32.21</c:v>
                </c:pt>
                <c:pt idx="30">
                  <c:v>67.959999999999994</c:v>
                </c:pt>
                <c:pt idx="31">
                  <c:v>54.55</c:v>
                </c:pt>
                <c:pt idx="32">
                  <c:v>82.88</c:v>
                </c:pt>
                <c:pt idx="33">
                  <c:v>80.040000000000006</c:v>
                </c:pt>
                <c:pt idx="34">
                  <c:v>88.18</c:v>
                </c:pt>
                <c:pt idx="35">
                  <c:v>89.18</c:v>
                </c:pt>
                <c:pt idx="36">
                  <c:v>78.78</c:v>
                </c:pt>
                <c:pt idx="37">
                  <c:v>85.6</c:v>
                </c:pt>
                <c:pt idx="38">
                  <c:v>87.72</c:v>
                </c:pt>
                <c:pt idx="39">
                  <c:v>17.510000000000002</c:v>
                </c:pt>
              </c:numCache>
            </c:numRef>
          </c:xVal>
          <c:yVal>
            <c:numRef>
              <c:f>Лист1!$C$2:$C$41</c:f>
              <c:numCache>
                <c:formatCode>0.00</c:formatCode>
                <c:ptCount val="40"/>
                <c:pt idx="0">
                  <c:v>10279.25</c:v>
                </c:pt>
                <c:pt idx="1">
                  <c:v>5865.88</c:v>
                </c:pt>
                <c:pt idx="2">
                  <c:v>17546.61</c:v>
                </c:pt>
                <c:pt idx="3">
                  <c:v>8621.7199999999993</c:v>
                </c:pt>
                <c:pt idx="4">
                  <c:v>60496.44</c:v>
                </c:pt>
                <c:pt idx="5">
                  <c:v>48985.73</c:v>
                </c:pt>
                <c:pt idx="6">
                  <c:v>57601.96</c:v>
                </c:pt>
                <c:pt idx="7">
                  <c:v>28419.58</c:v>
                </c:pt>
                <c:pt idx="8">
                  <c:v>43308.639999999999</c:v>
                </c:pt>
                <c:pt idx="9">
                  <c:v>38627.25</c:v>
                </c:pt>
                <c:pt idx="10">
                  <c:v>35917.269999999997</c:v>
                </c:pt>
                <c:pt idx="11">
                  <c:v>22537.95</c:v>
                </c:pt>
                <c:pt idx="12">
                  <c:v>9474.02</c:v>
                </c:pt>
                <c:pt idx="13">
                  <c:v>7410.72</c:v>
                </c:pt>
                <c:pt idx="14">
                  <c:v>3968.27</c:v>
                </c:pt>
                <c:pt idx="15">
                  <c:v>3080.97</c:v>
                </c:pt>
                <c:pt idx="16">
                  <c:v>18599.439999999999</c:v>
                </c:pt>
                <c:pt idx="17">
                  <c:v>2702.48</c:v>
                </c:pt>
                <c:pt idx="18">
                  <c:v>5059.63</c:v>
                </c:pt>
                <c:pt idx="19">
                  <c:v>8056.56</c:v>
                </c:pt>
                <c:pt idx="20">
                  <c:v>36226.97</c:v>
                </c:pt>
                <c:pt idx="21">
                  <c:v>34536.660000000003</c:v>
                </c:pt>
                <c:pt idx="22">
                  <c:v>13124.56</c:v>
                </c:pt>
                <c:pt idx="23">
                  <c:v>4170.72</c:v>
                </c:pt>
                <c:pt idx="24">
                  <c:v>6597.71</c:v>
                </c:pt>
                <c:pt idx="25">
                  <c:v>3085.81</c:v>
                </c:pt>
                <c:pt idx="26">
                  <c:v>6051</c:v>
                </c:pt>
                <c:pt idx="27">
                  <c:v>4672.47</c:v>
                </c:pt>
                <c:pt idx="28">
                  <c:v>932.73</c:v>
                </c:pt>
                <c:pt idx="29">
                  <c:v>2362.86</c:v>
                </c:pt>
                <c:pt idx="30">
                  <c:v>7778.12</c:v>
                </c:pt>
                <c:pt idx="31">
                  <c:v>3050.1</c:v>
                </c:pt>
                <c:pt idx="32">
                  <c:v>55697.66</c:v>
                </c:pt>
                <c:pt idx="33">
                  <c:v>13889.23</c:v>
                </c:pt>
                <c:pt idx="34">
                  <c:v>10713.29</c:v>
                </c:pt>
                <c:pt idx="35">
                  <c:v>17994.59</c:v>
                </c:pt>
                <c:pt idx="36">
                  <c:v>8561.6200000000008</c:v>
                </c:pt>
                <c:pt idx="37">
                  <c:v>9684.41</c:v>
                </c:pt>
                <c:pt idx="38">
                  <c:v>65129.72</c:v>
                </c:pt>
                <c:pt idx="39">
                  <c:v>5872.78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EE-FD44-9FA5-A30870D22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0128543"/>
        <c:axId val="1980130255"/>
      </c:scatterChart>
      <c:valAx>
        <c:axId val="1980128543"/>
        <c:scaling>
          <c:orientation val="minMax"/>
          <c:max val="90"/>
          <c:min val="1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0130255"/>
        <c:crosses val="autoZero"/>
        <c:crossBetween val="midCat"/>
      </c:valAx>
      <c:valAx>
        <c:axId val="1980130255"/>
        <c:scaling>
          <c:orientation val="minMax"/>
          <c:max val="7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980128543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для </a:t>
            </a:r>
            <a:r>
              <a:rPr lang="el-GR"/>
              <a:t>γ</a:t>
            </a:r>
            <a:r>
              <a:rPr lang="ru-RU"/>
              <a:t> = 0,9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ŷпр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Лист1!$B$83:$B$91</c:f>
              <c:numCache>
                <c:formatCode>0.00</c:formatCode>
                <c:ptCount val="9"/>
                <c:pt idx="0">
                  <c:v>-11673.375157236791</c:v>
                </c:pt>
                <c:pt idx="1">
                  <c:v>-6252.3419586989003</c:v>
                </c:pt>
                <c:pt idx="2">
                  <c:v>-831.30876016100774</c:v>
                </c:pt>
                <c:pt idx="3">
                  <c:v>4589.7244383768812</c:v>
                </c:pt>
                <c:pt idx="4">
                  <c:v>10010.757636914776</c:v>
                </c:pt>
                <c:pt idx="5">
                  <c:v>15431.790835452666</c:v>
                </c:pt>
                <c:pt idx="6">
                  <c:v>20852.824033990557</c:v>
                </c:pt>
                <c:pt idx="7">
                  <c:v>26273.857232528444</c:v>
                </c:pt>
                <c:pt idx="8">
                  <c:v>31694.890431066338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7CE-D44F-9812-E879FCFB6020}"/>
            </c:ext>
          </c:extLst>
        </c:ser>
        <c:ser>
          <c:idx val="2"/>
          <c:order val="1"/>
          <c:tx>
            <c:v>лев.дов.инт.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Лист1!$C$83:$C$91</c:f>
              <c:numCache>
                <c:formatCode>0.00</c:formatCode>
                <c:ptCount val="9"/>
                <c:pt idx="0">
                  <c:v>-24872.180980500518</c:v>
                </c:pt>
                <c:pt idx="1">
                  <c:v>-17354.980517292948</c:v>
                </c:pt>
                <c:pt idx="2">
                  <c:v>-9904.515355711088</c:v>
                </c:pt>
                <c:pt idx="3">
                  <c:v>-2577.6990909314618</c:v>
                </c:pt>
                <c:pt idx="4">
                  <c:v>4495.7572442015098</c:v>
                </c:pt>
                <c:pt idx="5">
                  <c:v>11021.248263957938</c:v>
                </c:pt>
                <c:pt idx="6">
                  <c:v>16553.41368156984</c:v>
                </c:pt>
                <c:pt idx="7">
                  <c:v>21028.729956452793</c:v>
                </c:pt>
                <c:pt idx="8">
                  <c:v>24873.440580326514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7CE-D44F-9812-E879FCFB6020}"/>
            </c:ext>
          </c:extLst>
        </c:ser>
        <c:ser>
          <c:idx val="3"/>
          <c:order val="2"/>
          <c:tx>
            <c:v>прав.дов.инт.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Лист1!$D$83:$D$91</c:f>
              <c:numCache>
                <c:formatCode>0.00</c:formatCode>
                <c:ptCount val="9"/>
                <c:pt idx="0">
                  <c:v>1525.4306660269358</c:v>
                </c:pt>
                <c:pt idx="1">
                  <c:v>4850.2965998951495</c:v>
                </c:pt>
                <c:pt idx="2">
                  <c:v>8241.8978353890725</c:v>
                </c:pt>
                <c:pt idx="3">
                  <c:v>11757.147967685225</c:v>
                </c:pt>
                <c:pt idx="4">
                  <c:v>15525.758029628041</c:v>
                </c:pt>
                <c:pt idx="5">
                  <c:v>19842.333406947393</c:v>
                </c:pt>
                <c:pt idx="6">
                  <c:v>25152.234386411274</c:v>
                </c:pt>
                <c:pt idx="7">
                  <c:v>31518.984508604095</c:v>
                </c:pt>
                <c:pt idx="8">
                  <c:v>38516.340281806159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7CE-D44F-9812-E879FCFB6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93408"/>
        <c:axId val="292084016"/>
      </c:lineChart>
      <c:catAx>
        <c:axId val="2918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2084016"/>
        <c:crosses val="autoZero"/>
        <c:auto val="1"/>
        <c:lblAlgn val="ctr"/>
        <c:lblOffset val="100"/>
        <c:noMultiLvlLbl val="0"/>
      </c:catAx>
      <c:valAx>
        <c:axId val="292084016"/>
        <c:scaling>
          <c:orientation val="minMax"/>
          <c:max val="49000"/>
          <c:min val="-3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18934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для </a:t>
            </a:r>
            <a:r>
              <a:rPr lang="el-GR"/>
              <a:t>γ</a:t>
            </a:r>
            <a:r>
              <a:rPr lang="ru-RU"/>
              <a:t> = 0,95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ŷпр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Лист1!$B$83:$B$91</c:f>
              <c:numCache>
                <c:formatCode>0.00</c:formatCode>
                <c:ptCount val="9"/>
                <c:pt idx="0">
                  <c:v>-11673.375157236791</c:v>
                </c:pt>
                <c:pt idx="1">
                  <c:v>-6252.3419586989003</c:v>
                </c:pt>
                <c:pt idx="2">
                  <c:v>-831.30876016100774</c:v>
                </c:pt>
                <c:pt idx="3">
                  <c:v>4589.7244383768812</c:v>
                </c:pt>
                <c:pt idx="4">
                  <c:v>10010.757636914776</c:v>
                </c:pt>
                <c:pt idx="5">
                  <c:v>15431.790835452666</c:v>
                </c:pt>
                <c:pt idx="6">
                  <c:v>20852.824033990557</c:v>
                </c:pt>
                <c:pt idx="7">
                  <c:v>26273.857232528444</c:v>
                </c:pt>
                <c:pt idx="8">
                  <c:v>31694.890431066338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5E-C14E-B121-14E350D08281}"/>
            </c:ext>
          </c:extLst>
        </c:ser>
        <c:ser>
          <c:idx val="2"/>
          <c:order val="1"/>
          <c:tx>
            <c:v>лев.дов.инт.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Лист1!$E$83:$E$91</c:f>
              <c:numCache>
                <c:formatCode>0.00</c:formatCode>
                <c:ptCount val="9"/>
                <c:pt idx="0">
                  <c:v>-27521.718698247907</c:v>
                </c:pt>
                <c:pt idx="1">
                  <c:v>-19583.732119628243</c:v>
                </c:pt>
                <c:pt idx="2">
                  <c:v>-11725.877334796547</c:v>
                </c:pt>
                <c:pt idx="3">
                  <c:v>-4016.4928147167484</c:v>
                </c:pt>
                <c:pt idx="4">
                  <c:v>3388.6721222936985</c:v>
                </c:pt>
                <c:pt idx="5">
                  <c:v>10135.872794738691</c:v>
                </c:pt>
                <c:pt idx="6">
                  <c:v>15690.346973464009</c:v>
                </c:pt>
                <c:pt idx="7">
                  <c:v>19975.819356930719</c:v>
                </c:pt>
                <c:pt idx="8">
                  <c:v>23504.097860138798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5E-C14E-B121-14E350D08281}"/>
            </c:ext>
          </c:extLst>
        </c:ser>
        <c:ser>
          <c:idx val="3"/>
          <c:order val="2"/>
          <c:tx>
            <c:v>прав.дов.инт.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Лист1!$F$83:$F$91</c:f>
              <c:numCache>
                <c:formatCode>0.00</c:formatCode>
                <c:ptCount val="9"/>
                <c:pt idx="0">
                  <c:v>4174.968383774325</c:v>
                </c:pt>
                <c:pt idx="1">
                  <c:v>7079.0482022304441</c:v>
                </c:pt>
                <c:pt idx="2">
                  <c:v>10063.259814474532</c:v>
                </c:pt>
                <c:pt idx="3">
                  <c:v>13195.941691470511</c:v>
                </c:pt>
                <c:pt idx="4">
                  <c:v>16632.843151535853</c:v>
                </c:pt>
                <c:pt idx="5">
                  <c:v>20727.708876166642</c:v>
                </c:pt>
                <c:pt idx="6">
                  <c:v>26015.301094517105</c:v>
                </c:pt>
                <c:pt idx="7">
                  <c:v>32571.895108126169</c:v>
                </c:pt>
                <c:pt idx="8">
                  <c:v>39885.683001993879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5E-C14E-B121-14E350D082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93408"/>
        <c:axId val="292084016"/>
      </c:lineChart>
      <c:catAx>
        <c:axId val="2918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2084016"/>
        <c:crosses val="autoZero"/>
        <c:auto val="1"/>
        <c:lblAlgn val="ctr"/>
        <c:lblOffset val="100"/>
        <c:noMultiLvlLbl val="0"/>
      </c:catAx>
      <c:valAx>
        <c:axId val="292084016"/>
        <c:scaling>
          <c:orientation val="minMax"/>
          <c:max val="49000"/>
          <c:min val="-3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18934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для </a:t>
            </a:r>
            <a:r>
              <a:rPr lang="el-GR"/>
              <a:t>γ</a:t>
            </a:r>
            <a:r>
              <a:rPr lang="ru-RU"/>
              <a:t> = 0,99</a:t>
            </a:r>
            <a:r>
              <a:rPr lang="ru-RU" baseline="0"/>
              <a:t> </a:t>
            </a:r>
            <a:endParaRPr lang="ru-RU"/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ŷпр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Лист1!$B$83:$B$91</c:f>
              <c:numCache>
                <c:formatCode>0.00</c:formatCode>
                <c:ptCount val="9"/>
                <c:pt idx="0">
                  <c:v>-11673.375157236791</c:v>
                </c:pt>
                <c:pt idx="1">
                  <c:v>-6252.3419586989003</c:v>
                </c:pt>
                <c:pt idx="2">
                  <c:v>-831.30876016100774</c:v>
                </c:pt>
                <c:pt idx="3">
                  <c:v>4589.7244383768812</c:v>
                </c:pt>
                <c:pt idx="4">
                  <c:v>10010.757636914776</c:v>
                </c:pt>
                <c:pt idx="5">
                  <c:v>15431.790835452666</c:v>
                </c:pt>
                <c:pt idx="6">
                  <c:v>20852.824033990557</c:v>
                </c:pt>
                <c:pt idx="7">
                  <c:v>26273.857232528444</c:v>
                </c:pt>
                <c:pt idx="8">
                  <c:v>31694.890431066338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98-1B4B-8978-9B80492EE651}"/>
            </c:ext>
          </c:extLst>
        </c:ser>
        <c:ser>
          <c:idx val="2"/>
          <c:order val="1"/>
          <c:tx>
            <c:v>лев.дов.инт.</c:v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Лист1!$G$83:$G$91</c:f>
              <c:numCache>
                <c:formatCode>0.00</c:formatCode>
                <c:ptCount val="9"/>
                <c:pt idx="0">
                  <c:v>-32901.304565665712</c:v>
                </c:pt>
                <c:pt idx="1">
                  <c:v>-24108.959498576944</c:v>
                </c:pt>
                <c:pt idx="2">
                  <c:v>-15423.946283394333</c:v>
                </c:pt>
                <c:pt idx="3">
                  <c:v>-6937.8003057402548</c:v>
                </c:pt>
                <c:pt idx="4">
                  <c:v>1140.8613302634476</c:v>
                </c:pt>
                <c:pt idx="5">
                  <c:v>8338.2183097066081</c:v>
                </c:pt>
                <c:pt idx="6">
                  <c:v>13937.987897967507</c:v>
                </c:pt>
                <c:pt idx="7">
                  <c:v>17838.003788991184</c:v>
                </c:pt>
                <c:pt idx="8">
                  <c:v>20723.802755890865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98-1B4B-8978-9B80492EE651}"/>
            </c:ext>
          </c:extLst>
        </c:ser>
        <c:ser>
          <c:idx val="3"/>
          <c:order val="2"/>
          <c:tx>
            <c:v>прав.дов.инт.</c:v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Лист1!$A$83:$A$91</c:f>
              <c:numCache>
                <c:formatCode>General</c:formatCode>
                <c:ptCount val="9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60</c:v>
                </c:pt>
                <c:pt idx="6">
                  <c:v>70</c:v>
                </c:pt>
                <c:pt idx="7">
                  <c:v>80</c:v>
                </c:pt>
                <c:pt idx="8">
                  <c:v>90</c:v>
                </c:pt>
              </c:numCache>
            </c:numRef>
          </c:cat>
          <c:val>
            <c:numRef>
              <c:f>Лист1!$H$83:$H$91</c:f>
              <c:numCache>
                <c:formatCode>0.00</c:formatCode>
                <c:ptCount val="9"/>
                <c:pt idx="0">
                  <c:v>9554.5542511921303</c:v>
                </c:pt>
                <c:pt idx="1">
                  <c:v>11604.275581179143</c:v>
                </c:pt>
                <c:pt idx="2">
                  <c:v>13761.328763072317</c:v>
                </c:pt>
                <c:pt idx="3">
                  <c:v>16117.249182494017</c:v>
                </c:pt>
                <c:pt idx="4">
                  <c:v>18880.653943566103</c:v>
                </c:pt>
                <c:pt idx="5">
                  <c:v>22525.363361198724</c:v>
                </c:pt>
                <c:pt idx="6">
                  <c:v>27767.660170013609</c:v>
                </c:pt>
                <c:pt idx="7">
                  <c:v>34709.710676065704</c:v>
                </c:pt>
                <c:pt idx="8">
                  <c:v>42665.978106241811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98-1B4B-8978-9B80492EE6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1893408"/>
        <c:axId val="292084016"/>
      </c:lineChart>
      <c:catAx>
        <c:axId val="2918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2084016"/>
        <c:crosses val="autoZero"/>
        <c:auto val="1"/>
        <c:lblAlgn val="ctr"/>
        <c:lblOffset val="100"/>
        <c:noMultiLvlLbl val="0"/>
      </c:catAx>
      <c:valAx>
        <c:axId val="292084016"/>
        <c:scaling>
          <c:orientation val="minMax"/>
          <c:max val="49000"/>
          <c:min val="-39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291893408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BY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график ошибки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ошибки</c:v>
          </c:tx>
          <c:spPr>
            <a:ln w="25400" cap="rnd">
              <a:noFill/>
              <a:prstDash val="solid"/>
              <a:round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</c:spPr>
          </c:marker>
          <c:xVal>
            <c:numRef>
              <c:f>Лист1!$B$2:$B$41</c:f>
              <c:numCache>
                <c:formatCode>0.00</c:formatCode>
                <c:ptCount val="40"/>
                <c:pt idx="0">
                  <c:v>79.489999999999995</c:v>
                </c:pt>
                <c:pt idx="1">
                  <c:v>69.599999999999994</c:v>
                </c:pt>
                <c:pt idx="2">
                  <c:v>75.25</c:v>
                </c:pt>
                <c:pt idx="3">
                  <c:v>43.73</c:v>
                </c:pt>
                <c:pt idx="4">
                  <c:v>82.14</c:v>
                </c:pt>
                <c:pt idx="5">
                  <c:v>78.84</c:v>
                </c:pt>
                <c:pt idx="6">
                  <c:v>83.32</c:v>
                </c:pt>
                <c:pt idx="7">
                  <c:v>60.09</c:v>
                </c:pt>
                <c:pt idx="8">
                  <c:v>69.680000000000007</c:v>
                </c:pt>
                <c:pt idx="9">
                  <c:v>80.510000000000005</c:v>
                </c:pt>
                <c:pt idx="10">
                  <c:v>72.88</c:v>
                </c:pt>
                <c:pt idx="11">
                  <c:v>52.17</c:v>
                </c:pt>
                <c:pt idx="12">
                  <c:v>65.930000000000007</c:v>
                </c:pt>
                <c:pt idx="13">
                  <c:v>58.64</c:v>
                </c:pt>
                <c:pt idx="14">
                  <c:v>51.02</c:v>
                </c:pt>
                <c:pt idx="15">
                  <c:v>34.75</c:v>
                </c:pt>
                <c:pt idx="16">
                  <c:v>89.49</c:v>
                </c:pt>
                <c:pt idx="17">
                  <c:v>35.69</c:v>
                </c:pt>
                <c:pt idx="18">
                  <c:v>59.39</c:v>
                </c:pt>
                <c:pt idx="19">
                  <c:v>62.8</c:v>
                </c:pt>
                <c:pt idx="20">
                  <c:v>81.17</c:v>
                </c:pt>
                <c:pt idx="21">
                  <c:v>84.61</c:v>
                </c:pt>
                <c:pt idx="22">
                  <c:v>77.39</c:v>
                </c:pt>
                <c:pt idx="23">
                  <c:v>55.77</c:v>
                </c:pt>
                <c:pt idx="24">
                  <c:v>63.82</c:v>
                </c:pt>
                <c:pt idx="25">
                  <c:v>42.9</c:v>
                </c:pt>
                <c:pt idx="26">
                  <c:v>75.819999999999993</c:v>
                </c:pt>
                <c:pt idx="27">
                  <c:v>63.13</c:v>
                </c:pt>
                <c:pt idx="28">
                  <c:v>24.11</c:v>
                </c:pt>
                <c:pt idx="29">
                  <c:v>32.21</c:v>
                </c:pt>
                <c:pt idx="30">
                  <c:v>67.959999999999994</c:v>
                </c:pt>
                <c:pt idx="31">
                  <c:v>54.55</c:v>
                </c:pt>
                <c:pt idx="32">
                  <c:v>82.88</c:v>
                </c:pt>
                <c:pt idx="33">
                  <c:v>80.040000000000006</c:v>
                </c:pt>
                <c:pt idx="34">
                  <c:v>88.18</c:v>
                </c:pt>
                <c:pt idx="35">
                  <c:v>89.18</c:v>
                </c:pt>
                <c:pt idx="36">
                  <c:v>78.78</c:v>
                </c:pt>
                <c:pt idx="37">
                  <c:v>85.6</c:v>
                </c:pt>
                <c:pt idx="38">
                  <c:v>87.72</c:v>
                </c:pt>
                <c:pt idx="39">
                  <c:v>17.510000000000002</c:v>
                </c:pt>
              </c:numCache>
            </c:numRef>
          </c:xVal>
          <c:yVal>
            <c:numRef>
              <c:f>Лист1!$K$2:$K$41</c:f>
              <c:numCache>
                <c:formatCode>0.00</c:formatCode>
                <c:ptCount val="40"/>
                <c:pt idx="0">
                  <c:v>-15718.13453940301</c:v>
                </c:pt>
                <c:pt idx="1">
                  <c:v>-14770.102706049038</c:v>
                </c:pt>
                <c:pt idx="2">
                  <c:v>-6152.2564632229514</c:v>
                </c:pt>
                <c:pt idx="3">
                  <c:v>2009.9501785684861</c:v>
                </c:pt>
                <c:pt idx="4">
                  <c:v>33062.481662984443</c:v>
                </c:pt>
                <c:pt idx="5">
                  <c:v>23340.712618501948</c:v>
                </c:pt>
                <c:pt idx="6">
                  <c:v>29528.319745556979</c:v>
                </c:pt>
                <c:pt idx="7">
                  <c:v>12938.999865760492</c:v>
                </c:pt>
                <c:pt idx="8">
                  <c:v>22629.289028362651</c:v>
                </c:pt>
                <c:pt idx="9">
                  <c:v>12076.920074346115</c:v>
                </c:pt>
                <c:pt idx="10">
                  <c:v>13503.188404830533</c:v>
                </c:pt>
                <c:pt idx="11">
                  <c:v>11350.828159002504</c:v>
                </c:pt>
                <c:pt idx="12">
                  <c:v>-9172.4435221856402</c:v>
                </c:pt>
                <c:pt idx="13">
                  <c:v>-7283.810320451511</c:v>
                </c:pt>
                <c:pt idx="14">
                  <c:v>-6595.4330231656386</c:v>
                </c:pt>
                <c:pt idx="15">
                  <c:v>1337.2879908555101</c:v>
                </c:pt>
                <c:pt idx="16">
                  <c:v>-12818.977737940906</c:v>
                </c:pt>
                <c:pt idx="17">
                  <c:v>449.22087019294895</c:v>
                </c:pt>
                <c:pt idx="18">
                  <c:v>-10041.477810341854</c:v>
                </c:pt>
                <c:pt idx="19">
                  <c:v>-8893.1201310432734</c:v>
                </c:pt>
                <c:pt idx="20">
                  <c:v>9318.8518832426162</c:v>
                </c:pt>
                <c:pt idx="21">
                  <c:v>5763.706462945589</c:v>
                </c:pt>
                <c:pt idx="22">
                  <c:v>-11734.407567710057</c:v>
                </c:pt>
                <c:pt idx="23">
                  <c:v>-8967.9737924711371</c:v>
                </c:pt>
                <c:pt idx="24">
                  <c:v>-10904.915517294143</c:v>
                </c:pt>
                <c:pt idx="25">
                  <c:v>-3076.0140659528711</c:v>
                </c:pt>
                <c:pt idx="26">
                  <c:v>-17956.865355539605</c:v>
                </c:pt>
                <c:pt idx="27">
                  <c:v>-12456.104226595027</c:v>
                </c:pt>
                <c:pt idx="28">
                  <c:v>4957.0273140998252</c:v>
                </c:pt>
                <c:pt idx="29">
                  <c:v>1996.1204232841333</c:v>
                </c:pt>
                <c:pt idx="30">
                  <c:v>-11968.813261488824</c:v>
                </c:pt>
                <c:pt idx="31">
                  <c:v>-9427.2277422495117</c:v>
                </c:pt>
                <c:pt idx="32">
                  <c:v>27862.545206292645</c:v>
                </c:pt>
                <c:pt idx="33">
                  <c:v>-12406.311365322603</c:v>
                </c:pt>
                <c:pt idx="34">
                  <c:v>-19994.972388932449</c:v>
                </c:pt>
                <c:pt idx="35">
                  <c:v>-13255.775708786234</c:v>
                </c:pt>
                <c:pt idx="36">
                  <c:v>-17050.87118230683</c:v>
                </c:pt>
                <c:pt idx="37">
                  <c:v>-19625.225823709661</c:v>
                </c:pt>
                <c:pt idx="38">
                  <c:v>34670.825138200307</c:v>
                </c:pt>
                <c:pt idx="39">
                  <c:v>13474.959225134833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9A-1C4C-BF06-A1B383330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8524432"/>
        <c:axId val="1658768272"/>
      </c:scatterChart>
      <c:valAx>
        <c:axId val="165852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658768272"/>
        <c:crosses val="autoZero"/>
        <c:crossBetween val="midCat"/>
      </c:valAx>
      <c:valAx>
        <c:axId val="1658768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BY"/>
          </a:p>
        </c:txPr>
        <c:crossAx val="1658524432"/>
        <c:crosses val="autoZero"/>
        <c:crossBetween val="midCat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557933</xdr:colOff>
      <xdr:row>1</xdr:row>
      <xdr:rowOff>198191</xdr:rowOff>
    </xdr:from>
    <xdr:to>
      <xdr:col>21</xdr:col>
      <xdr:colOff>0</xdr:colOff>
      <xdr:row>16</xdr:row>
      <xdr:rowOff>16934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93</xdr:row>
      <xdr:rowOff>21922</xdr:rowOff>
    </xdr:from>
    <xdr:to>
      <xdr:col>4</xdr:col>
      <xdr:colOff>546554</xdr:colOff>
      <xdr:row>106</xdr:row>
      <xdr:rowOff>124429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68034</xdr:colOff>
      <xdr:row>93</xdr:row>
      <xdr:rowOff>11340</xdr:rowOff>
    </xdr:from>
    <xdr:to>
      <xdr:col>10</xdr:col>
      <xdr:colOff>149678</xdr:colOff>
      <xdr:row>106</xdr:row>
      <xdr:rowOff>113847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589643</xdr:colOff>
      <xdr:row>93</xdr:row>
      <xdr:rowOff>22679</xdr:rowOff>
    </xdr:from>
    <xdr:to>
      <xdr:col>15</xdr:col>
      <xdr:colOff>762000</xdr:colOff>
      <xdr:row>106</xdr:row>
      <xdr:rowOff>125186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147320</xdr:colOff>
      <xdr:row>109</xdr:row>
      <xdr:rowOff>145626</xdr:rowOff>
    </xdr:from>
    <xdr:to>
      <xdr:col>4</xdr:col>
      <xdr:colOff>699347</xdr:colOff>
      <xdr:row>123</xdr:row>
      <xdr:rowOff>44026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8"/>
  <sheetViews>
    <sheetView tabSelected="1" topLeftCell="A53" zoomScale="90" workbookViewId="0">
      <selection activeCell="G78" sqref="G78"/>
    </sheetView>
  </sheetViews>
  <sheetFormatPr baseColWidth="10" defaultRowHeight="16" x14ac:dyDescent="0.2"/>
  <cols>
    <col min="1" max="1" width="14" style="1" customWidth="1"/>
    <col min="2" max="2" width="16" style="1" customWidth="1"/>
    <col min="3" max="3" width="16.5" style="1" customWidth="1"/>
    <col min="4" max="4" width="18" style="1" customWidth="1"/>
    <col min="5" max="5" width="15" style="1" bestFit="1" customWidth="1"/>
    <col min="6" max="6" width="18" customWidth="1"/>
    <col min="7" max="7" width="16.5" style="1" customWidth="1"/>
    <col min="8" max="9" width="22" style="1" bestFit="1" customWidth="1"/>
    <col min="10" max="11" width="16.5" style="1" bestFit="1" customWidth="1"/>
    <col min="12" max="13" width="22" customWidth="1"/>
    <col min="14" max="14" width="10.83203125" style="1" customWidth="1"/>
    <col min="15" max="16384" width="10.83203125" style="1"/>
  </cols>
  <sheetData>
    <row r="1" spans="1:13" ht="17" customHeight="1" x14ac:dyDescent="0.2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5" t="s">
        <v>12</v>
      </c>
    </row>
    <row r="2" spans="1:13" ht="17" x14ac:dyDescent="0.2">
      <c r="A2" s="2">
        <v>1</v>
      </c>
      <c r="B2" s="6">
        <v>79.489999999999995</v>
      </c>
      <c r="C2" s="7">
        <v>10279.25</v>
      </c>
      <c r="D2" s="6">
        <f t="shared" ref="D2:D41" si="0">B2^2</f>
        <v>6318.6600999999991</v>
      </c>
      <c r="E2" s="6">
        <f t="shared" ref="E2:E41" si="1">B2-$B$45</f>
        <v>13.521500000000003</v>
      </c>
      <c r="F2" s="6">
        <f t="shared" ref="F2:F41" si="2">E2^2</f>
        <v>182.83096225000008</v>
      </c>
      <c r="G2" s="6">
        <f t="shared" ref="G2:G41" si="3">C2-$C$45</f>
        <v>-8388.0845000000008</v>
      </c>
      <c r="H2" s="6">
        <f t="shared" ref="H2:H41" si="4">G2^2</f>
        <v>70359961.579140261</v>
      </c>
      <c r="I2" s="6">
        <f t="shared" ref="I2:I41" si="5">E2*G2</f>
        <v>-113419.48456675003</v>
      </c>
      <c r="J2" s="6">
        <f t="shared" ref="J2:J41" si="6">$B$49+$A$49*B2</f>
        <v>25997.38453940301</v>
      </c>
      <c r="K2" s="6">
        <f t="shared" ref="K2:K41" si="7">C2-J2</f>
        <v>-15718.13453940301</v>
      </c>
      <c r="L2" s="6">
        <f t="shared" ref="L2:L41" si="8">K2^2</f>
        <v>247059753.39877388</v>
      </c>
      <c r="M2" s="6">
        <f t="shared" ref="M2:M41" si="9">L2/($A$43-2)</f>
        <v>6501572.4578624703</v>
      </c>
    </row>
    <row r="3" spans="1:13" ht="17" x14ac:dyDescent="0.2">
      <c r="A3" s="2">
        <v>2</v>
      </c>
      <c r="B3" s="6">
        <v>69.599999999999994</v>
      </c>
      <c r="C3" s="7">
        <v>5865.88</v>
      </c>
      <c r="D3" s="6">
        <f t="shared" si="0"/>
        <v>4844.1599999999989</v>
      </c>
      <c r="E3" s="6">
        <f t="shared" si="1"/>
        <v>3.6315000000000026</v>
      </c>
      <c r="F3" s="6">
        <f t="shared" si="2"/>
        <v>13.187792250000019</v>
      </c>
      <c r="G3" s="6">
        <f t="shared" si="3"/>
        <v>-12801.4545</v>
      </c>
      <c r="H3" s="6">
        <f t="shared" si="4"/>
        <v>163877237.31557024</v>
      </c>
      <c r="I3" s="6">
        <f t="shared" si="5"/>
        <v>-46488.482016750029</v>
      </c>
      <c r="J3" s="6">
        <f t="shared" si="6"/>
        <v>20635.982706049039</v>
      </c>
      <c r="K3" s="6">
        <f t="shared" si="7"/>
        <v>-14770.102706049038</v>
      </c>
      <c r="L3" s="6">
        <f t="shared" si="8"/>
        <v>218155933.9472371</v>
      </c>
      <c r="M3" s="6">
        <f t="shared" si="9"/>
        <v>5740945.6301904498</v>
      </c>
    </row>
    <row r="4" spans="1:13" ht="17" x14ac:dyDescent="0.2">
      <c r="A4" s="2">
        <v>3</v>
      </c>
      <c r="B4" s="6">
        <v>75.25</v>
      </c>
      <c r="C4" s="7">
        <v>17546.61</v>
      </c>
      <c r="D4" s="6">
        <f t="shared" si="0"/>
        <v>5662.5625</v>
      </c>
      <c r="E4" s="6">
        <f t="shared" si="1"/>
        <v>9.2815000000000083</v>
      </c>
      <c r="F4" s="6">
        <f t="shared" si="2"/>
        <v>86.146242250000157</v>
      </c>
      <c r="G4" s="6">
        <f t="shared" si="3"/>
        <v>-1120.7245000000003</v>
      </c>
      <c r="H4" s="6">
        <f t="shared" si="4"/>
        <v>1256023.4049002505</v>
      </c>
      <c r="I4" s="6">
        <f t="shared" si="5"/>
        <v>-10402.004446750012</v>
      </c>
      <c r="J4" s="6">
        <f t="shared" si="6"/>
        <v>23698.866463222952</v>
      </c>
      <c r="K4" s="6">
        <f t="shared" si="7"/>
        <v>-6152.2564632229514</v>
      </c>
      <c r="L4" s="6">
        <f t="shared" si="8"/>
        <v>37850259.58926858</v>
      </c>
      <c r="M4" s="6">
        <f t="shared" si="9"/>
        <v>996059.46287548891</v>
      </c>
    </row>
    <row r="5" spans="1:13" ht="17" x14ac:dyDescent="0.2">
      <c r="A5" s="2">
        <v>4</v>
      </c>
      <c r="B5" s="6">
        <v>43.73</v>
      </c>
      <c r="C5" s="7">
        <v>8621.7199999999993</v>
      </c>
      <c r="D5" s="6">
        <f t="shared" si="0"/>
        <v>1912.3128999999997</v>
      </c>
      <c r="E5" s="6">
        <f t="shared" si="1"/>
        <v>-22.238499999999995</v>
      </c>
      <c r="F5" s="6">
        <f t="shared" si="2"/>
        <v>494.55088224999974</v>
      </c>
      <c r="G5" s="6">
        <f t="shared" si="3"/>
        <v>-10045.614500000001</v>
      </c>
      <c r="H5" s="6">
        <f t="shared" si="4"/>
        <v>100914370.68261027</v>
      </c>
      <c r="I5" s="6">
        <f t="shared" si="5"/>
        <v>223399.39805824999</v>
      </c>
      <c r="J5" s="6">
        <f t="shared" si="6"/>
        <v>6611.7698214315133</v>
      </c>
      <c r="K5" s="6">
        <f t="shared" si="7"/>
        <v>2009.9501785684861</v>
      </c>
      <c r="L5" s="6">
        <f t="shared" si="8"/>
        <v>4039899.7203274891</v>
      </c>
      <c r="M5" s="6">
        <f t="shared" si="9"/>
        <v>106313.15053493393</v>
      </c>
    </row>
    <row r="6" spans="1:13" ht="17" x14ac:dyDescent="0.2">
      <c r="A6" s="2">
        <v>5</v>
      </c>
      <c r="B6" s="6">
        <v>82.14</v>
      </c>
      <c r="C6" s="7">
        <v>60496.44</v>
      </c>
      <c r="D6" s="6">
        <f t="shared" si="0"/>
        <v>6746.9795999999997</v>
      </c>
      <c r="E6" s="6">
        <f t="shared" si="1"/>
        <v>16.171500000000009</v>
      </c>
      <c r="F6" s="6">
        <f t="shared" si="2"/>
        <v>261.51741225000029</v>
      </c>
      <c r="G6" s="6">
        <f t="shared" si="3"/>
        <v>41829.105500000005</v>
      </c>
      <c r="H6" s="6">
        <f t="shared" si="4"/>
        <v>1749674066.9301307</v>
      </c>
      <c r="I6" s="6">
        <f t="shared" si="5"/>
        <v>676439.37959325046</v>
      </c>
      <c r="J6" s="6">
        <f t="shared" si="6"/>
        <v>27433.958337015556</v>
      </c>
      <c r="K6" s="6">
        <f t="shared" si="7"/>
        <v>33062.481662984443</v>
      </c>
      <c r="L6" s="6">
        <f t="shared" si="8"/>
        <v>1093127693.7151825</v>
      </c>
      <c r="M6" s="6">
        <f t="shared" si="9"/>
        <v>28766518.255662698</v>
      </c>
    </row>
    <row r="7" spans="1:13" ht="17" x14ac:dyDescent="0.2">
      <c r="A7" s="2">
        <v>6</v>
      </c>
      <c r="B7" s="6">
        <v>78.84</v>
      </c>
      <c r="C7" s="7">
        <v>48985.73</v>
      </c>
      <c r="D7" s="6">
        <f t="shared" si="0"/>
        <v>6215.7456000000002</v>
      </c>
      <c r="E7" s="6">
        <f t="shared" si="1"/>
        <v>12.871500000000012</v>
      </c>
      <c r="F7" s="6">
        <f t="shared" si="2"/>
        <v>165.67551225000031</v>
      </c>
      <c r="G7" s="6">
        <f t="shared" si="3"/>
        <v>30318.395500000002</v>
      </c>
      <c r="H7" s="6">
        <f t="shared" si="4"/>
        <v>919205105.69442034</v>
      </c>
      <c r="I7" s="6">
        <f t="shared" si="5"/>
        <v>390243.22767825041</v>
      </c>
      <c r="J7" s="6">
        <f t="shared" si="6"/>
        <v>25645.017381498055</v>
      </c>
      <c r="K7" s="6">
        <f t="shared" si="7"/>
        <v>23340.712618501948</v>
      </c>
      <c r="L7" s="6">
        <f t="shared" si="8"/>
        <v>544788865.53949606</v>
      </c>
      <c r="M7" s="6">
        <f t="shared" si="9"/>
        <v>14336549.093144633</v>
      </c>
    </row>
    <row r="8" spans="1:13" ht="17" x14ac:dyDescent="0.2">
      <c r="A8" s="2">
        <v>7</v>
      </c>
      <c r="B8" s="6">
        <v>83.32</v>
      </c>
      <c r="C8" s="7">
        <v>57601.96</v>
      </c>
      <c r="D8" s="6">
        <f t="shared" si="0"/>
        <v>6942.2223999999987</v>
      </c>
      <c r="E8" s="6">
        <f t="shared" si="1"/>
        <v>17.351500000000001</v>
      </c>
      <c r="F8" s="6">
        <f t="shared" si="2"/>
        <v>301.07455225000007</v>
      </c>
      <c r="G8" s="6">
        <f t="shared" si="3"/>
        <v>38934.625499999995</v>
      </c>
      <c r="H8" s="6">
        <f t="shared" si="4"/>
        <v>1515905062.8252499</v>
      </c>
      <c r="I8" s="6">
        <f t="shared" si="5"/>
        <v>675574.15436325001</v>
      </c>
      <c r="J8" s="6">
        <f t="shared" si="6"/>
        <v>28073.64025444302</v>
      </c>
      <c r="K8" s="6">
        <f t="shared" si="7"/>
        <v>29528.319745556979</v>
      </c>
      <c r="L8" s="6">
        <f t="shared" si="8"/>
        <v>871921666.99585021</v>
      </c>
      <c r="M8" s="6">
        <f t="shared" si="9"/>
        <v>22945307.026206583</v>
      </c>
    </row>
    <row r="9" spans="1:13" ht="17" x14ac:dyDescent="0.2">
      <c r="A9" s="2">
        <v>8</v>
      </c>
      <c r="B9" s="6">
        <v>60.09</v>
      </c>
      <c r="C9" s="7">
        <v>28419.58</v>
      </c>
      <c r="D9" s="6">
        <f t="shared" si="0"/>
        <v>3610.8081000000002</v>
      </c>
      <c r="E9" s="6">
        <f t="shared" si="1"/>
        <v>-5.8784999999999883</v>
      </c>
      <c r="F9" s="6">
        <f t="shared" si="2"/>
        <v>34.556762249999863</v>
      </c>
      <c r="G9" s="6">
        <f t="shared" si="3"/>
        <v>9752.2455000000009</v>
      </c>
      <c r="H9" s="6">
        <f t="shared" si="4"/>
        <v>95106292.292270273</v>
      </c>
      <c r="I9" s="6">
        <f t="shared" si="5"/>
        <v>-57328.575171749893</v>
      </c>
      <c r="J9" s="6">
        <f t="shared" si="6"/>
        <v>15480.58013423951</v>
      </c>
      <c r="K9" s="6">
        <f t="shared" si="7"/>
        <v>12938.999865760492</v>
      </c>
      <c r="L9" s="6">
        <f t="shared" si="8"/>
        <v>167417717.52615002</v>
      </c>
      <c r="M9" s="6">
        <f t="shared" si="9"/>
        <v>4405729.4085828951</v>
      </c>
    </row>
    <row r="10" spans="1:13" ht="17" x14ac:dyDescent="0.2">
      <c r="A10" s="2">
        <v>9</v>
      </c>
      <c r="B10" s="6">
        <v>69.680000000000007</v>
      </c>
      <c r="C10" s="7">
        <v>43308.639999999999</v>
      </c>
      <c r="D10" s="6">
        <f t="shared" si="0"/>
        <v>4855.3024000000014</v>
      </c>
      <c r="E10" s="6">
        <f t="shared" si="1"/>
        <v>3.7115000000000151</v>
      </c>
      <c r="F10" s="6">
        <f t="shared" si="2"/>
        <v>13.775232250000112</v>
      </c>
      <c r="G10" s="6">
        <f t="shared" si="3"/>
        <v>24641.305499999999</v>
      </c>
      <c r="H10" s="6">
        <f t="shared" si="4"/>
        <v>607193936.74433017</v>
      </c>
      <c r="I10" s="6">
        <f t="shared" si="5"/>
        <v>91456.205363250367</v>
      </c>
      <c r="J10" s="6">
        <f t="shared" si="6"/>
        <v>20679.350971637348</v>
      </c>
      <c r="K10" s="6">
        <f t="shared" si="7"/>
        <v>22629.289028362651</v>
      </c>
      <c r="L10" s="6">
        <f t="shared" si="8"/>
        <v>512084721.92917424</v>
      </c>
      <c r="M10" s="6">
        <f t="shared" si="9"/>
        <v>13475913.73497827</v>
      </c>
    </row>
    <row r="11" spans="1:13" ht="17" x14ac:dyDescent="0.2">
      <c r="A11" s="2">
        <v>10</v>
      </c>
      <c r="B11" s="6">
        <v>80.510000000000005</v>
      </c>
      <c r="C11" s="7">
        <v>38627.25</v>
      </c>
      <c r="D11" s="6">
        <f t="shared" si="0"/>
        <v>6481.8601000000008</v>
      </c>
      <c r="E11" s="6">
        <f t="shared" si="1"/>
        <v>14.541500000000013</v>
      </c>
      <c r="F11" s="6">
        <f t="shared" si="2"/>
        <v>211.45522225000039</v>
      </c>
      <c r="G11" s="6">
        <f t="shared" si="3"/>
        <v>19959.915499999999</v>
      </c>
      <c r="H11" s="6">
        <f t="shared" si="4"/>
        <v>398398226.76714021</v>
      </c>
      <c r="I11" s="6">
        <f t="shared" si="5"/>
        <v>290247.11124325026</v>
      </c>
      <c r="J11" s="6">
        <f t="shared" si="6"/>
        <v>26550.329925653885</v>
      </c>
      <c r="K11" s="6">
        <f t="shared" si="7"/>
        <v>12076.920074346115</v>
      </c>
      <c r="L11" s="6">
        <f t="shared" si="8"/>
        <v>145851998.48214418</v>
      </c>
      <c r="M11" s="6">
        <f t="shared" si="9"/>
        <v>3838210.4863722152</v>
      </c>
    </row>
    <row r="12" spans="1:13" ht="17" x14ac:dyDescent="0.2">
      <c r="A12" s="2">
        <v>11</v>
      </c>
      <c r="B12" s="6">
        <v>72.88</v>
      </c>
      <c r="C12" s="7">
        <v>35917.269999999997</v>
      </c>
      <c r="D12" s="6">
        <f t="shared" si="0"/>
        <v>5311.4943999999996</v>
      </c>
      <c r="E12" s="6">
        <f t="shared" si="1"/>
        <v>6.9115000000000038</v>
      </c>
      <c r="F12" s="6">
        <f t="shared" si="2"/>
        <v>47.768832250000052</v>
      </c>
      <c r="G12" s="6">
        <f t="shared" si="3"/>
        <v>17249.935499999996</v>
      </c>
      <c r="H12" s="6">
        <f t="shared" si="4"/>
        <v>297560274.75416011</v>
      </c>
      <c r="I12" s="6">
        <f t="shared" si="5"/>
        <v>119222.92920825003</v>
      </c>
      <c r="J12" s="6">
        <f t="shared" si="6"/>
        <v>22414.081595169464</v>
      </c>
      <c r="K12" s="6">
        <f t="shared" si="7"/>
        <v>13503.188404830533</v>
      </c>
      <c r="L12" s="6">
        <f t="shared" si="8"/>
        <v>182336097.09634975</v>
      </c>
      <c r="M12" s="6">
        <f t="shared" si="9"/>
        <v>4798318.344640783</v>
      </c>
    </row>
    <row r="13" spans="1:13" ht="17" x14ac:dyDescent="0.2">
      <c r="A13" s="2">
        <v>12</v>
      </c>
      <c r="B13" s="6">
        <v>52.17</v>
      </c>
      <c r="C13" s="7">
        <v>22537.95</v>
      </c>
      <c r="D13" s="6">
        <f t="shared" si="0"/>
        <v>2721.7089000000001</v>
      </c>
      <c r="E13" s="6">
        <f t="shared" si="1"/>
        <v>-13.79849999999999</v>
      </c>
      <c r="F13" s="6">
        <f t="shared" si="2"/>
        <v>190.39860224999973</v>
      </c>
      <c r="G13" s="6">
        <f t="shared" si="3"/>
        <v>3870.6154999999999</v>
      </c>
      <c r="H13" s="6">
        <f t="shared" si="4"/>
        <v>14981664.34884025</v>
      </c>
      <c r="I13" s="6">
        <f t="shared" si="5"/>
        <v>-53408.687976749963</v>
      </c>
      <c r="J13" s="6">
        <f t="shared" si="6"/>
        <v>11187.121840997497</v>
      </c>
      <c r="K13" s="6">
        <f t="shared" si="7"/>
        <v>11350.828159002504</v>
      </c>
      <c r="L13" s="6">
        <f t="shared" si="8"/>
        <v>128841299.89520416</v>
      </c>
      <c r="M13" s="6">
        <f t="shared" si="9"/>
        <v>3390560.5235580043</v>
      </c>
    </row>
    <row r="14" spans="1:13" ht="17" x14ac:dyDescent="0.2">
      <c r="A14" s="2">
        <v>13</v>
      </c>
      <c r="B14" s="6">
        <v>65.930000000000007</v>
      </c>
      <c r="C14" s="7">
        <v>9474.02</v>
      </c>
      <c r="D14" s="6">
        <f t="shared" si="0"/>
        <v>4346.764900000001</v>
      </c>
      <c r="E14" s="6">
        <f t="shared" si="1"/>
        <v>-3.849999999998488E-2</v>
      </c>
      <c r="F14" s="6">
        <f t="shared" si="2"/>
        <v>1.4822499999988356E-3</v>
      </c>
      <c r="G14" s="6">
        <f t="shared" si="3"/>
        <v>-9193.3145000000004</v>
      </c>
      <c r="H14" s="6">
        <f t="shared" si="4"/>
        <v>84517031.495910257</v>
      </c>
      <c r="I14" s="6">
        <f t="shared" si="5"/>
        <v>353.942608249861</v>
      </c>
      <c r="J14" s="6">
        <f t="shared" si="6"/>
        <v>18646.463522185641</v>
      </c>
      <c r="K14" s="6">
        <f t="shared" si="7"/>
        <v>-9172.4435221856402</v>
      </c>
      <c r="L14" s="6">
        <f t="shared" si="8"/>
        <v>84133720.167685315</v>
      </c>
      <c r="M14" s="6">
        <f t="shared" si="9"/>
        <v>2214045.267570666</v>
      </c>
    </row>
    <row r="15" spans="1:13" ht="17" x14ac:dyDescent="0.2">
      <c r="A15" s="2">
        <v>14</v>
      </c>
      <c r="B15" s="6">
        <v>58.64</v>
      </c>
      <c r="C15" s="7">
        <v>7410.72</v>
      </c>
      <c r="D15" s="6">
        <f t="shared" si="0"/>
        <v>3438.6496000000002</v>
      </c>
      <c r="E15" s="6">
        <f t="shared" si="1"/>
        <v>-7.3284999999999911</v>
      </c>
      <c r="F15" s="6">
        <f t="shared" si="2"/>
        <v>53.706912249999867</v>
      </c>
      <c r="G15" s="6">
        <f t="shared" si="3"/>
        <v>-11256.6145</v>
      </c>
      <c r="H15" s="6">
        <f t="shared" si="4"/>
        <v>126711370.00161025</v>
      </c>
      <c r="I15" s="6">
        <f t="shared" si="5"/>
        <v>82494.099363249901</v>
      </c>
      <c r="J15" s="6">
        <f t="shared" si="6"/>
        <v>14694.530320451511</v>
      </c>
      <c r="K15" s="6">
        <f t="shared" si="7"/>
        <v>-7283.810320451511</v>
      </c>
      <c r="L15" s="6">
        <f t="shared" si="8"/>
        <v>53053892.784315944</v>
      </c>
      <c r="M15" s="6">
        <f t="shared" si="9"/>
        <v>1396155.0732714722</v>
      </c>
    </row>
    <row r="16" spans="1:13" ht="17" x14ac:dyDescent="0.2">
      <c r="A16" s="2">
        <v>15</v>
      </c>
      <c r="B16" s="6">
        <v>51.02</v>
      </c>
      <c r="C16" s="7">
        <v>3968.27</v>
      </c>
      <c r="D16" s="6">
        <f t="shared" si="0"/>
        <v>2603.0404000000003</v>
      </c>
      <c r="E16" s="6">
        <f t="shared" si="1"/>
        <v>-14.948499999999989</v>
      </c>
      <c r="F16" s="6">
        <f t="shared" si="2"/>
        <v>223.45765224999965</v>
      </c>
      <c r="G16" s="6">
        <f t="shared" si="3"/>
        <v>-14699.0645</v>
      </c>
      <c r="H16" s="6">
        <f t="shared" si="4"/>
        <v>216062497.17516026</v>
      </c>
      <c r="I16" s="6">
        <f t="shared" si="5"/>
        <v>219728.96567824984</v>
      </c>
      <c r="J16" s="6">
        <f t="shared" si="6"/>
        <v>10563.703023165639</v>
      </c>
      <c r="K16" s="6">
        <f t="shared" si="7"/>
        <v>-6595.4330231656386</v>
      </c>
      <c r="L16" s="6">
        <f t="shared" si="8"/>
        <v>43499736.763063833</v>
      </c>
      <c r="M16" s="6">
        <f t="shared" si="9"/>
        <v>1144729.9148174692</v>
      </c>
    </row>
    <row r="17" spans="1:13" ht="17" x14ac:dyDescent="0.2">
      <c r="A17" s="2">
        <v>16</v>
      </c>
      <c r="B17" s="6">
        <v>34.75</v>
      </c>
      <c r="C17" s="7">
        <v>3080.97</v>
      </c>
      <c r="D17" s="6">
        <f t="shared" si="0"/>
        <v>1207.5625</v>
      </c>
      <c r="E17" s="6">
        <f t="shared" si="1"/>
        <v>-31.218499999999992</v>
      </c>
      <c r="F17" s="6">
        <f t="shared" si="2"/>
        <v>974.59474224999951</v>
      </c>
      <c r="G17" s="6">
        <f t="shared" si="3"/>
        <v>-15586.364500000001</v>
      </c>
      <c r="H17" s="6">
        <f t="shared" si="4"/>
        <v>242934758.32686031</v>
      </c>
      <c r="I17" s="6">
        <f t="shared" si="5"/>
        <v>486582.92014324991</v>
      </c>
      <c r="J17" s="6">
        <f t="shared" si="6"/>
        <v>1743.6820091444897</v>
      </c>
      <c r="K17" s="6">
        <f t="shared" si="7"/>
        <v>1337.2879908555101</v>
      </c>
      <c r="L17" s="6">
        <f t="shared" si="8"/>
        <v>1788339.1704863668</v>
      </c>
      <c r="M17" s="6">
        <f t="shared" si="9"/>
        <v>47061.557118062286</v>
      </c>
    </row>
    <row r="18" spans="1:13" ht="17" x14ac:dyDescent="0.2">
      <c r="A18" s="2">
        <v>17</v>
      </c>
      <c r="B18" s="6">
        <v>89.49</v>
      </c>
      <c r="C18" s="7">
        <v>18599.439999999999</v>
      </c>
      <c r="D18" s="6">
        <f t="shared" si="0"/>
        <v>8008.4600999999993</v>
      </c>
      <c r="E18" s="6">
        <f t="shared" si="1"/>
        <v>23.521500000000003</v>
      </c>
      <c r="F18" s="6">
        <f t="shared" si="2"/>
        <v>553.26096225000015</v>
      </c>
      <c r="G18" s="6">
        <f t="shared" si="3"/>
        <v>-67.894500000002154</v>
      </c>
      <c r="H18" s="6">
        <f t="shared" si="4"/>
        <v>4609.6631302502929</v>
      </c>
      <c r="I18" s="6">
        <f t="shared" si="5"/>
        <v>-1596.9804817500508</v>
      </c>
      <c r="J18" s="6">
        <f t="shared" si="6"/>
        <v>31418.417737940905</v>
      </c>
      <c r="K18" s="6">
        <f t="shared" si="7"/>
        <v>-12818.977737940906</v>
      </c>
      <c r="L18" s="6">
        <f t="shared" si="8"/>
        <v>164326190.24582455</v>
      </c>
      <c r="M18" s="6">
        <f t="shared" si="9"/>
        <v>4324373.4275216982</v>
      </c>
    </row>
    <row r="19" spans="1:13" ht="17" x14ac:dyDescent="0.2">
      <c r="A19" s="2">
        <v>18</v>
      </c>
      <c r="B19" s="6">
        <v>35.69</v>
      </c>
      <c r="C19" s="7">
        <v>2702.48</v>
      </c>
      <c r="D19" s="6">
        <f t="shared" si="0"/>
        <v>1273.7760999999998</v>
      </c>
      <c r="E19" s="6">
        <f t="shared" si="1"/>
        <v>-30.278499999999994</v>
      </c>
      <c r="F19" s="6">
        <f t="shared" si="2"/>
        <v>916.78756224999961</v>
      </c>
      <c r="G19" s="6">
        <f t="shared" si="3"/>
        <v>-15964.854500000001</v>
      </c>
      <c r="H19" s="6">
        <f t="shared" si="4"/>
        <v>254876579.20617029</v>
      </c>
      <c r="I19" s="6">
        <f t="shared" si="5"/>
        <v>483391.84697824996</v>
      </c>
      <c r="J19" s="6">
        <f t="shared" si="6"/>
        <v>2253.2591298070511</v>
      </c>
      <c r="K19" s="6">
        <f t="shared" si="7"/>
        <v>449.22087019294895</v>
      </c>
      <c r="L19" s="6">
        <f t="shared" si="8"/>
        <v>201799.39021691028</v>
      </c>
      <c r="M19" s="6">
        <f t="shared" si="9"/>
        <v>5310.51026886606</v>
      </c>
    </row>
    <row r="20" spans="1:13" ht="17" x14ac:dyDescent="0.2">
      <c r="A20" s="2">
        <v>19</v>
      </c>
      <c r="B20" s="6">
        <v>59.39</v>
      </c>
      <c r="C20" s="7">
        <v>5059.63</v>
      </c>
      <c r="D20" s="6">
        <f t="shared" si="0"/>
        <v>3527.1721000000002</v>
      </c>
      <c r="E20" s="6">
        <f t="shared" si="1"/>
        <v>-6.5784999999999911</v>
      </c>
      <c r="F20" s="6">
        <f t="shared" si="2"/>
        <v>43.27666224999988</v>
      </c>
      <c r="G20" s="6">
        <f t="shared" si="3"/>
        <v>-13607.7045</v>
      </c>
      <c r="H20" s="6">
        <f t="shared" si="4"/>
        <v>185169621.75932026</v>
      </c>
      <c r="I20" s="6">
        <f t="shared" si="5"/>
        <v>89518.284053249881</v>
      </c>
      <c r="J20" s="6">
        <f t="shared" si="6"/>
        <v>15101.107810341855</v>
      </c>
      <c r="K20" s="6">
        <f t="shared" si="7"/>
        <v>-10041.477810341854</v>
      </c>
      <c r="L20" s="6">
        <f t="shared" si="8"/>
        <v>100831276.61558783</v>
      </c>
      <c r="M20" s="6">
        <f t="shared" si="9"/>
        <v>2653454.647778627</v>
      </c>
    </row>
    <row r="21" spans="1:13" ht="17" x14ac:dyDescent="0.2">
      <c r="A21" s="2">
        <v>20</v>
      </c>
      <c r="B21" s="6">
        <v>62.8</v>
      </c>
      <c r="C21" s="7">
        <v>8056.56</v>
      </c>
      <c r="D21" s="6">
        <f t="shared" si="0"/>
        <v>3943.8399999999997</v>
      </c>
      <c r="E21" s="6">
        <f t="shared" si="1"/>
        <v>-3.1684999999999945</v>
      </c>
      <c r="F21" s="6">
        <f t="shared" si="2"/>
        <v>10.039392249999965</v>
      </c>
      <c r="G21" s="6">
        <f t="shared" si="3"/>
        <v>-10610.7745</v>
      </c>
      <c r="H21" s="6">
        <f t="shared" si="4"/>
        <v>112588535.48985024</v>
      </c>
      <c r="I21" s="6">
        <f t="shared" si="5"/>
        <v>33620.239003249939</v>
      </c>
      <c r="J21" s="6">
        <f t="shared" si="6"/>
        <v>16949.680131043275</v>
      </c>
      <c r="K21" s="6">
        <f t="shared" si="7"/>
        <v>-8893.1201310432734</v>
      </c>
      <c r="L21" s="6">
        <f t="shared" si="8"/>
        <v>79087585.665167123</v>
      </c>
      <c r="M21" s="6">
        <f t="shared" si="9"/>
        <v>2081252.2543465032</v>
      </c>
    </row>
    <row r="22" spans="1:13" ht="17" x14ac:dyDescent="0.2">
      <c r="A22" s="2">
        <v>21</v>
      </c>
      <c r="B22" s="6">
        <v>81.17</v>
      </c>
      <c r="C22" s="7">
        <v>36226.97</v>
      </c>
      <c r="D22" s="6">
        <f t="shared" si="0"/>
        <v>6588.5689000000002</v>
      </c>
      <c r="E22" s="6">
        <f t="shared" si="1"/>
        <v>15.20150000000001</v>
      </c>
      <c r="F22" s="6">
        <f t="shared" si="2"/>
        <v>231.08560225000031</v>
      </c>
      <c r="G22" s="6">
        <f t="shared" si="3"/>
        <v>17559.6355</v>
      </c>
      <c r="H22" s="6">
        <f t="shared" si="4"/>
        <v>308340798.89286023</v>
      </c>
      <c r="I22" s="6">
        <f t="shared" si="5"/>
        <v>266932.79905325017</v>
      </c>
      <c r="J22" s="6">
        <f t="shared" si="6"/>
        <v>26908.118116757385</v>
      </c>
      <c r="K22" s="6">
        <f t="shared" si="7"/>
        <v>9318.8518832426162</v>
      </c>
      <c r="L22" s="6">
        <f t="shared" si="8"/>
        <v>86841000.421814457</v>
      </c>
      <c r="M22" s="6">
        <f t="shared" si="9"/>
        <v>2285289.484784591</v>
      </c>
    </row>
    <row r="23" spans="1:13" ht="17" x14ac:dyDescent="0.2">
      <c r="A23" s="2">
        <v>22</v>
      </c>
      <c r="B23" s="6">
        <v>84.61</v>
      </c>
      <c r="C23" s="7">
        <v>34536.660000000003</v>
      </c>
      <c r="D23" s="6">
        <f t="shared" si="0"/>
        <v>7158.8521000000001</v>
      </c>
      <c r="E23" s="6">
        <f t="shared" si="1"/>
        <v>18.641500000000008</v>
      </c>
      <c r="F23" s="6">
        <f t="shared" si="2"/>
        <v>347.5055222500003</v>
      </c>
      <c r="G23" s="6">
        <f t="shared" si="3"/>
        <v>15869.325500000003</v>
      </c>
      <c r="H23" s="6">
        <f t="shared" si="4"/>
        <v>251835491.82495034</v>
      </c>
      <c r="I23" s="6">
        <f t="shared" si="5"/>
        <v>295828.03130825015</v>
      </c>
      <c r="J23" s="6">
        <f t="shared" si="6"/>
        <v>28772.953537054414</v>
      </c>
      <c r="K23" s="6">
        <f t="shared" si="7"/>
        <v>5763.706462945589</v>
      </c>
      <c r="L23" s="6">
        <f t="shared" si="8"/>
        <v>33220312.191000752</v>
      </c>
      <c r="M23" s="6">
        <f t="shared" si="9"/>
        <v>874218.74186844088</v>
      </c>
    </row>
    <row r="24" spans="1:13" ht="17" x14ac:dyDescent="0.2">
      <c r="A24" s="2">
        <v>23</v>
      </c>
      <c r="B24" s="6">
        <v>77.39</v>
      </c>
      <c r="C24" s="7">
        <v>13124.56</v>
      </c>
      <c r="D24" s="6">
        <f t="shared" si="0"/>
        <v>5989.2120999999997</v>
      </c>
      <c r="E24" s="6">
        <f t="shared" si="1"/>
        <v>11.421500000000009</v>
      </c>
      <c r="F24" s="6">
        <f t="shared" si="2"/>
        <v>130.45066225000019</v>
      </c>
      <c r="G24" s="6">
        <f t="shared" si="3"/>
        <v>-5542.7745000000014</v>
      </c>
      <c r="H24" s="6">
        <f t="shared" si="4"/>
        <v>30722349.157850266</v>
      </c>
      <c r="I24" s="6">
        <f t="shared" si="5"/>
        <v>-63306.798951750068</v>
      </c>
      <c r="J24" s="6">
        <f t="shared" si="6"/>
        <v>24858.967567710057</v>
      </c>
      <c r="K24" s="6">
        <f t="shared" si="7"/>
        <v>-11734.407567710057</v>
      </c>
      <c r="L24" s="6">
        <f t="shared" si="8"/>
        <v>137696320.96513107</v>
      </c>
      <c r="M24" s="6">
        <f t="shared" si="9"/>
        <v>3623587.393819239</v>
      </c>
    </row>
    <row r="25" spans="1:13" ht="17" x14ac:dyDescent="0.2">
      <c r="A25" s="2">
        <v>24</v>
      </c>
      <c r="B25" s="6">
        <v>55.77</v>
      </c>
      <c r="C25" s="7">
        <v>4170.72</v>
      </c>
      <c r="D25" s="6">
        <f t="shared" si="0"/>
        <v>3110.2929000000004</v>
      </c>
      <c r="E25" s="6">
        <f t="shared" si="1"/>
        <v>-10.198499999999989</v>
      </c>
      <c r="F25" s="6">
        <f t="shared" si="2"/>
        <v>104.00940224999977</v>
      </c>
      <c r="G25" s="6">
        <f t="shared" si="3"/>
        <v>-14496.6145</v>
      </c>
      <c r="H25" s="6">
        <f t="shared" si="4"/>
        <v>210151831.96161023</v>
      </c>
      <c r="I25" s="6">
        <f t="shared" si="5"/>
        <v>147843.72297824983</v>
      </c>
      <c r="J25" s="6">
        <f t="shared" si="6"/>
        <v>13138.693792471138</v>
      </c>
      <c r="K25" s="6">
        <f t="shared" si="7"/>
        <v>-8967.9737924711371</v>
      </c>
      <c r="L25" s="6">
        <f t="shared" si="8"/>
        <v>80424553.942449152</v>
      </c>
      <c r="M25" s="6">
        <f t="shared" si="9"/>
        <v>2116435.6300644516</v>
      </c>
    </row>
    <row r="26" spans="1:13" ht="17" x14ac:dyDescent="0.2">
      <c r="A26" s="2">
        <v>25</v>
      </c>
      <c r="B26" s="6">
        <v>63.82</v>
      </c>
      <c r="C26" s="7">
        <v>6597.71</v>
      </c>
      <c r="D26" s="6">
        <f t="shared" si="0"/>
        <v>4072.9924000000001</v>
      </c>
      <c r="E26" s="6">
        <f t="shared" si="1"/>
        <v>-2.1484999999999914</v>
      </c>
      <c r="F26" s="6">
        <f t="shared" si="2"/>
        <v>4.6160522499999628</v>
      </c>
      <c r="G26" s="6">
        <f t="shared" si="3"/>
        <v>-12069.624500000002</v>
      </c>
      <c r="H26" s="6">
        <f t="shared" si="4"/>
        <v>145675835.57100028</v>
      </c>
      <c r="I26" s="6">
        <f t="shared" si="5"/>
        <v>25931.5882382499</v>
      </c>
      <c r="J26" s="6">
        <f t="shared" si="6"/>
        <v>17502.625517294142</v>
      </c>
      <c r="K26" s="6">
        <f t="shared" si="7"/>
        <v>-10904.915517294143</v>
      </c>
      <c r="L26" s="6">
        <f t="shared" si="8"/>
        <v>118917182.43932258</v>
      </c>
      <c r="M26" s="6">
        <f t="shared" si="9"/>
        <v>3129399.5378769101</v>
      </c>
    </row>
    <row r="27" spans="1:13" ht="17" x14ac:dyDescent="0.2">
      <c r="A27" s="2">
        <v>26</v>
      </c>
      <c r="B27" s="6">
        <v>42.9</v>
      </c>
      <c r="C27" s="7">
        <v>3085.81</v>
      </c>
      <c r="D27" s="6">
        <f t="shared" si="0"/>
        <v>1840.4099999999999</v>
      </c>
      <c r="E27" s="6">
        <f t="shared" si="1"/>
        <v>-23.068499999999993</v>
      </c>
      <c r="F27" s="6">
        <f t="shared" si="2"/>
        <v>532.15569224999967</v>
      </c>
      <c r="G27" s="6">
        <f t="shared" si="3"/>
        <v>-15581.524500000001</v>
      </c>
      <c r="H27" s="6">
        <f t="shared" si="4"/>
        <v>242783905.7441003</v>
      </c>
      <c r="I27" s="6">
        <f t="shared" si="5"/>
        <v>359442.39792824991</v>
      </c>
      <c r="J27" s="6">
        <f t="shared" si="6"/>
        <v>6161.824065952871</v>
      </c>
      <c r="K27" s="6">
        <f t="shared" si="7"/>
        <v>-3076.0140659528711</v>
      </c>
      <c r="L27" s="6">
        <f t="shared" si="8"/>
        <v>9461862.5339399148</v>
      </c>
      <c r="M27" s="6">
        <f t="shared" si="9"/>
        <v>248996.38247210303</v>
      </c>
    </row>
    <row r="28" spans="1:13" ht="17" x14ac:dyDescent="0.2">
      <c r="A28" s="2">
        <v>27</v>
      </c>
      <c r="B28" s="6">
        <v>75.819999999999993</v>
      </c>
      <c r="C28" s="7">
        <v>6051</v>
      </c>
      <c r="D28" s="6">
        <f t="shared" si="0"/>
        <v>5748.6723999999986</v>
      </c>
      <c r="E28" s="6">
        <f t="shared" si="1"/>
        <v>9.8515000000000015</v>
      </c>
      <c r="F28" s="6">
        <f t="shared" si="2"/>
        <v>97.052052250000031</v>
      </c>
      <c r="G28" s="6">
        <f t="shared" si="3"/>
        <v>-12616.334500000001</v>
      </c>
      <c r="H28" s="6">
        <f t="shared" si="4"/>
        <v>159171896.21589026</v>
      </c>
      <c r="I28" s="6">
        <f t="shared" si="5"/>
        <v>-124289.81932675003</v>
      </c>
      <c r="J28" s="6">
        <f t="shared" si="6"/>
        <v>24007.865355539605</v>
      </c>
      <c r="K28" s="6">
        <f t="shared" si="7"/>
        <v>-17956.865355539605</v>
      </c>
      <c r="L28" s="6">
        <f t="shared" si="8"/>
        <v>322449013.3969785</v>
      </c>
      <c r="M28" s="6">
        <f t="shared" si="9"/>
        <v>8485500.3525520656</v>
      </c>
    </row>
    <row r="29" spans="1:13" ht="17" x14ac:dyDescent="0.2">
      <c r="A29" s="2">
        <v>28</v>
      </c>
      <c r="B29" s="6">
        <v>63.13</v>
      </c>
      <c r="C29" s="7">
        <v>4672.47</v>
      </c>
      <c r="D29" s="6">
        <f t="shared" si="0"/>
        <v>3985.3969000000002</v>
      </c>
      <c r="E29" s="6">
        <f t="shared" si="1"/>
        <v>-2.8384999999999891</v>
      </c>
      <c r="F29" s="6">
        <f t="shared" si="2"/>
        <v>8.0570822499999384</v>
      </c>
      <c r="G29" s="6">
        <f t="shared" si="3"/>
        <v>-13994.8645</v>
      </c>
      <c r="H29" s="6">
        <f t="shared" si="4"/>
        <v>195856232.37336025</v>
      </c>
      <c r="I29" s="6">
        <f t="shared" si="5"/>
        <v>39724.422883249848</v>
      </c>
      <c r="J29" s="6">
        <f t="shared" si="6"/>
        <v>17128.574226595028</v>
      </c>
      <c r="K29" s="6">
        <f t="shared" si="7"/>
        <v>-12456.104226595027</v>
      </c>
      <c r="L29" s="6">
        <f t="shared" si="8"/>
        <v>155154532.50379851</v>
      </c>
      <c r="M29" s="6">
        <f t="shared" si="9"/>
        <v>4083014.0132578555</v>
      </c>
    </row>
    <row r="30" spans="1:13" ht="17" x14ac:dyDescent="0.2">
      <c r="A30" s="2">
        <v>29</v>
      </c>
      <c r="B30" s="6">
        <v>24.11</v>
      </c>
      <c r="C30" s="7">
        <v>932.73</v>
      </c>
      <c r="D30" s="6">
        <f t="shared" si="0"/>
        <v>581.2921</v>
      </c>
      <c r="E30" s="6">
        <f t="shared" si="1"/>
        <v>-41.858499999999992</v>
      </c>
      <c r="F30" s="6">
        <f t="shared" si="2"/>
        <v>1752.1340222499994</v>
      </c>
      <c r="G30" s="6">
        <f t="shared" si="3"/>
        <v>-17734.604500000001</v>
      </c>
      <c r="H30" s="6">
        <f t="shared" si="4"/>
        <v>314516196.7714203</v>
      </c>
      <c r="I30" s="6">
        <f t="shared" si="5"/>
        <v>742343.9424632499</v>
      </c>
      <c r="J30" s="6">
        <f t="shared" si="6"/>
        <v>-4024.2973140998256</v>
      </c>
      <c r="K30" s="6">
        <f t="shared" si="7"/>
        <v>4957.0273140998252</v>
      </c>
      <c r="L30" s="6">
        <f t="shared" si="8"/>
        <v>24572119.792731728</v>
      </c>
      <c r="M30" s="6">
        <f t="shared" si="9"/>
        <v>646634.73138767702</v>
      </c>
    </row>
    <row r="31" spans="1:13" ht="17" x14ac:dyDescent="0.2">
      <c r="A31" s="2">
        <v>30</v>
      </c>
      <c r="B31" s="6">
        <v>32.21</v>
      </c>
      <c r="C31" s="7">
        <v>2362.86</v>
      </c>
      <c r="D31" s="6">
        <f t="shared" si="0"/>
        <v>1037.4841000000001</v>
      </c>
      <c r="E31" s="6">
        <f t="shared" si="1"/>
        <v>-33.758499999999991</v>
      </c>
      <c r="F31" s="6">
        <f t="shared" si="2"/>
        <v>1139.6363222499995</v>
      </c>
      <c r="G31" s="6">
        <f t="shared" si="3"/>
        <v>-16304.4745</v>
      </c>
      <c r="H31" s="6">
        <f t="shared" si="4"/>
        <v>265835888.72115025</v>
      </c>
      <c r="I31" s="6">
        <f t="shared" si="5"/>
        <v>550414.60240824986</v>
      </c>
      <c r="J31" s="6">
        <f t="shared" si="6"/>
        <v>366.73957671586686</v>
      </c>
      <c r="K31" s="6">
        <f t="shared" si="7"/>
        <v>1996.1204232841333</v>
      </c>
      <c r="L31" s="6">
        <f t="shared" si="8"/>
        <v>3984496.7442520275</v>
      </c>
      <c r="M31" s="6">
        <f t="shared" si="9"/>
        <v>104855.17748031652</v>
      </c>
    </row>
    <row r="32" spans="1:13" ht="17" x14ac:dyDescent="0.2">
      <c r="A32" s="2">
        <v>31</v>
      </c>
      <c r="B32" s="6">
        <v>67.959999999999994</v>
      </c>
      <c r="C32" s="7">
        <v>7778.12</v>
      </c>
      <c r="D32" s="6">
        <f t="shared" si="0"/>
        <v>4618.5615999999991</v>
      </c>
      <c r="E32" s="6">
        <f t="shared" si="1"/>
        <v>1.991500000000002</v>
      </c>
      <c r="F32" s="6">
        <f t="shared" si="2"/>
        <v>3.9660722500000083</v>
      </c>
      <c r="G32" s="6">
        <f t="shared" si="3"/>
        <v>-10889.214500000002</v>
      </c>
      <c r="H32" s="6">
        <f t="shared" si="4"/>
        <v>118574992.4270103</v>
      </c>
      <c r="I32" s="6">
        <f t="shared" si="5"/>
        <v>-21685.870676750026</v>
      </c>
      <c r="J32" s="6">
        <f t="shared" si="6"/>
        <v>19746.933261488823</v>
      </c>
      <c r="K32" s="6">
        <f t="shared" si="7"/>
        <v>-11968.813261488824</v>
      </c>
      <c r="L32" s="6">
        <f t="shared" si="8"/>
        <v>143252490.88839072</v>
      </c>
      <c r="M32" s="6">
        <f t="shared" si="9"/>
        <v>3769802.3917997559</v>
      </c>
    </row>
    <row r="33" spans="1:13" ht="17" x14ac:dyDescent="0.2">
      <c r="A33" s="2">
        <v>32</v>
      </c>
      <c r="B33" s="6">
        <v>54.55</v>
      </c>
      <c r="C33" s="7">
        <v>3050.1</v>
      </c>
      <c r="D33" s="6">
        <f t="shared" si="0"/>
        <v>2975.7024999999999</v>
      </c>
      <c r="E33" s="6">
        <f t="shared" si="1"/>
        <v>-11.418499999999995</v>
      </c>
      <c r="F33" s="6">
        <f t="shared" si="2"/>
        <v>130.38214224999987</v>
      </c>
      <c r="G33" s="6">
        <f t="shared" si="3"/>
        <v>-15617.2345</v>
      </c>
      <c r="H33" s="6">
        <f t="shared" si="4"/>
        <v>243898013.42799026</v>
      </c>
      <c r="I33" s="6">
        <f t="shared" si="5"/>
        <v>178325.39213824991</v>
      </c>
      <c r="J33" s="6">
        <f t="shared" si="6"/>
        <v>12477.327742249512</v>
      </c>
      <c r="K33" s="6">
        <f t="shared" si="7"/>
        <v>-9427.2277422495117</v>
      </c>
      <c r="L33" s="6">
        <f t="shared" si="8"/>
        <v>88872622.90423882</v>
      </c>
      <c r="M33" s="6">
        <f t="shared" si="9"/>
        <v>2338753.2343220743</v>
      </c>
    </row>
    <row r="34" spans="1:13" ht="17" x14ac:dyDescent="0.2">
      <c r="A34" s="2">
        <v>33</v>
      </c>
      <c r="B34" s="6">
        <v>82.88</v>
      </c>
      <c r="C34" s="7">
        <v>55697.66</v>
      </c>
      <c r="D34" s="6">
        <f t="shared" si="0"/>
        <v>6869.094399999999</v>
      </c>
      <c r="E34" s="6">
        <f t="shared" si="1"/>
        <v>16.911500000000004</v>
      </c>
      <c r="F34" s="6">
        <f t="shared" si="2"/>
        <v>285.99883225000013</v>
      </c>
      <c r="G34" s="6">
        <f t="shared" si="3"/>
        <v>37030.325500000006</v>
      </c>
      <c r="H34" s="6">
        <f t="shared" si="4"/>
        <v>1371245006.6359508</v>
      </c>
      <c r="I34" s="6">
        <f t="shared" si="5"/>
        <v>626238.34969325026</v>
      </c>
      <c r="J34" s="6">
        <f t="shared" si="6"/>
        <v>27835.114793707358</v>
      </c>
      <c r="K34" s="6">
        <f t="shared" si="7"/>
        <v>27862.545206292645</v>
      </c>
      <c r="L34" s="6">
        <f t="shared" si="8"/>
        <v>776321425.37270129</v>
      </c>
      <c r="M34" s="6">
        <f t="shared" si="9"/>
        <v>20429511.194018453</v>
      </c>
    </row>
    <row r="35" spans="1:13" ht="17" x14ac:dyDescent="0.2">
      <c r="A35" s="2">
        <v>34</v>
      </c>
      <c r="B35" s="6">
        <v>80.040000000000006</v>
      </c>
      <c r="C35" s="7">
        <v>13889.23</v>
      </c>
      <c r="D35" s="6">
        <f t="shared" si="0"/>
        <v>6406.4016000000011</v>
      </c>
      <c r="E35" s="6">
        <f t="shared" si="1"/>
        <v>14.071500000000015</v>
      </c>
      <c r="F35" s="6">
        <f t="shared" si="2"/>
        <v>198.0071122500004</v>
      </c>
      <c r="G35" s="6">
        <f t="shared" si="3"/>
        <v>-4778.1045000000013</v>
      </c>
      <c r="H35" s="6">
        <f t="shared" si="4"/>
        <v>22830282.612920262</v>
      </c>
      <c r="I35" s="6">
        <f t="shared" si="5"/>
        <v>-67235.097471750094</v>
      </c>
      <c r="J35" s="6">
        <f t="shared" si="6"/>
        <v>26295.541365322602</v>
      </c>
      <c r="K35" s="6">
        <f t="shared" si="7"/>
        <v>-12406.311365322603</v>
      </c>
      <c r="L35" s="6">
        <f t="shared" si="8"/>
        <v>153916561.69333279</v>
      </c>
      <c r="M35" s="6">
        <f t="shared" si="9"/>
        <v>4050435.8340350734</v>
      </c>
    </row>
    <row r="36" spans="1:13" ht="17" x14ac:dyDescent="0.2">
      <c r="A36" s="2">
        <v>35</v>
      </c>
      <c r="B36" s="6">
        <v>88.18</v>
      </c>
      <c r="C36" s="7">
        <v>10713.29</v>
      </c>
      <c r="D36" s="6">
        <f t="shared" si="0"/>
        <v>7775.7124000000013</v>
      </c>
      <c r="E36" s="6">
        <f t="shared" si="1"/>
        <v>22.211500000000015</v>
      </c>
      <c r="F36" s="6">
        <f t="shared" si="2"/>
        <v>493.35073225000065</v>
      </c>
      <c r="G36" s="6">
        <f t="shared" si="3"/>
        <v>-7954.0445</v>
      </c>
      <c r="H36" s="6">
        <f t="shared" si="4"/>
        <v>63266823.907980248</v>
      </c>
      <c r="I36" s="6">
        <f t="shared" si="5"/>
        <v>-176671.25941175013</v>
      </c>
      <c r="J36" s="6">
        <f t="shared" si="6"/>
        <v>30708.26238893245</v>
      </c>
      <c r="K36" s="6">
        <f t="shared" si="7"/>
        <v>-19994.972388932449</v>
      </c>
      <c r="L36" s="6">
        <f t="shared" si="8"/>
        <v>399798920.834171</v>
      </c>
      <c r="M36" s="6">
        <f t="shared" si="9"/>
        <v>10521024.232478185</v>
      </c>
    </row>
    <row r="37" spans="1:13" ht="17" x14ac:dyDescent="0.2">
      <c r="A37" s="2">
        <v>36</v>
      </c>
      <c r="B37" s="6">
        <v>89.18</v>
      </c>
      <c r="C37" s="7">
        <v>17994.59</v>
      </c>
      <c r="D37" s="6">
        <f t="shared" si="0"/>
        <v>7953.0724000000009</v>
      </c>
      <c r="E37" s="6">
        <f t="shared" si="1"/>
        <v>23.211500000000015</v>
      </c>
      <c r="F37" s="6">
        <f t="shared" si="2"/>
        <v>538.77373225000065</v>
      </c>
      <c r="G37" s="6">
        <f t="shared" si="3"/>
        <v>-672.7445000000007</v>
      </c>
      <c r="H37" s="6">
        <f t="shared" si="4"/>
        <v>452585.16228025092</v>
      </c>
      <c r="I37" s="6">
        <f t="shared" si="5"/>
        <v>-15615.408961750027</v>
      </c>
      <c r="J37" s="6">
        <f t="shared" si="6"/>
        <v>31250.365708786234</v>
      </c>
      <c r="K37" s="6">
        <f t="shared" si="7"/>
        <v>-13255.775708786234</v>
      </c>
      <c r="L37" s="6">
        <f t="shared" si="8"/>
        <v>175715589.64164719</v>
      </c>
      <c r="M37" s="6">
        <f t="shared" si="9"/>
        <v>4624094.4642538736</v>
      </c>
    </row>
    <row r="38" spans="1:13" ht="17" x14ac:dyDescent="0.2">
      <c r="A38" s="2">
        <v>37</v>
      </c>
      <c r="B38" s="6">
        <v>78.78</v>
      </c>
      <c r="C38" s="7">
        <v>8561.6200000000008</v>
      </c>
      <c r="D38" s="6">
        <f t="shared" si="0"/>
        <v>6206.2884000000004</v>
      </c>
      <c r="E38" s="6">
        <f t="shared" si="1"/>
        <v>12.811500000000009</v>
      </c>
      <c r="F38" s="6">
        <f t="shared" si="2"/>
        <v>164.13453225000023</v>
      </c>
      <c r="G38" s="6">
        <f t="shared" si="3"/>
        <v>-10105.7145</v>
      </c>
      <c r="H38" s="6">
        <f t="shared" si="4"/>
        <v>102125465.55551025</v>
      </c>
      <c r="I38" s="6">
        <f t="shared" si="5"/>
        <v>-129469.3613167501</v>
      </c>
      <c r="J38" s="6">
        <f t="shared" si="6"/>
        <v>25612.491182306829</v>
      </c>
      <c r="K38" s="6">
        <f t="shared" si="7"/>
        <v>-17050.87118230683</v>
      </c>
      <c r="L38" s="6">
        <f t="shared" si="8"/>
        <v>290732208.07562149</v>
      </c>
      <c r="M38" s="6">
        <f t="shared" si="9"/>
        <v>7650847.5809374079</v>
      </c>
    </row>
    <row r="39" spans="1:13" ht="17" x14ac:dyDescent="0.2">
      <c r="A39" s="2">
        <v>38</v>
      </c>
      <c r="B39" s="6">
        <v>85.6</v>
      </c>
      <c r="C39" s="7">
        <v>9684.41</v>
      </c>
      <c r="D39" s="6">
        <f t="shared" si="0"/>
        <v>7327.3599999999988</v>
      </c>
      <c r="E39" s="6">
        <f t="shared" si="1"/>
        <v>19.631500000000003</v>
      </c>
      <c r="F39" s="6">
        <f t="shared" si="2"/>
        <v>385.39579225000011</v>
      </c>
      <c r="G39" s="6">
        <f t="shared" si="3"/>
        <v>-8982.924500000001</v>
      </c>
      <c r="H39" s="6">
        <f t="shared" si="4"/>
        <v>80692932.572700262</v>
      </c>
      <c r="I39" s="6">
        <f t="shared" si="5"/>
        <v>-176348.28232175004</v>
      </c>
      <c r="J39" s="6">
        <f t="shared" si="6"/>
        <v>29309.635823709661</v>
      </c>
      <c r="K39" s="6">
        <f t="shared" si="7"/>
        <v>-19625.225823709661</v>
      </c>
      <c r="L39" s="6">
        <f t="shared" si="8"/>
        <v>385149488.63160056</v>
      </c>
      <c r="M39" s="6">
        <f t="shared" si="9"/>
        <v>10135512.85872633</v>
      </c>
    </row>
    <row r="40" spans="1:13" ht="17" x14ac:dyDescent="0.2">
      <c r="A40" s="2">
        <v>39</v>
      </c>
      <c r="B40" s="6">
        <v>87.72</v>
      </c>
      <c r="C40" s="7">
        <v>65129.72</v>
      </c>
      <c r="D40" s="6">
        <f t="shared" si="0"/>
        <v>7694.7983999999997</v>
      </c>
      <c r="E40" s="6">
        <f t="shared" si="1"/>
        <v>21.751500000000007</v>
      </c>
      <c r="F40" s="6">
        <f t="shared" si="2"/>
        <v>473.1277522500003</v>
      </c>
      <c r="G40" s="6">
        <f t="shared" si="3"/>
        <v>46462.385500000004</v>
      </c>
      <c r="H40" s="6">
        <f t="shared" si="4"/>
        <v>2158753266.3506107</v>
      </c>
      <c r="I40" s="6">
        <f t="shared" si="5"/>
        <v>1010626.5782032504</v>
      </c>
      <c r="J40" s="6">
        <f t="shared" si="6"/>
        <v>30458.894861799698</v>
      </c>
      <c r="K40" s="6">
        <f t="shared" si="7"/>
        <v>34670.825138200307</v>
      </c>
      <c r="L40" s="6">
        <f t="shared" si="8"/>
        <v>1202066115.7636623</v>
      </c>
      <c r="M40" s="6">
        <f t="shared" si="9"/>
        <v>31633318.835885853</v>
      </c>
    </row>
    <row r="41" spans="1:13" ht="17" x14ac:dyDescent="0.2">
      <c r="A41" s="2">
        <v>40</v>
      </c>
      <c r="B41" s="6">
        <v>17.510000000000002</v>
      </c>
      <c r="C41" s="7">
        <v>5872.78</v>
      </c>
      <c r="D41" s="6">
        <f t="shared" si="0"/>
        <v>306.60010000000005</v>
      </c>
      <c r="E41" s="6">
        <f t="shared" si="1"/>
        <v>-48.458499999999987</v>
      </c>
      <c r="F41" s="6">
        <f t="shared" si="2"/>
        <v>2348.2262222499985</v>
      </c>
      <c r="G41" s="6">
        <f t="shared" si="3"/>
        <v>-12794.554500000002</v>
      </c>
      <c r="H41" s="6">
        <f t="shared" si="4"/>
        <v>163700624.8534703</v>
      </c>
      <c r="I41" s="6">
        <f t="shared" si="5"/>
        <v>620004.91923824989</v>
      </c>
      <c r="J41" s="6">
        <f t="shared" si="6"/>
        <v>-7602.1792251348343</v>
      </c>
      <c r="K41" s="6">
        <f t="shared" si="7"/>
        <v>13474.959225134833</v>
      </c>
      <c r="L41" s="6">
        <f t="shared" si="8"/>
        <v>181574526.11904633</v>
      </c>
      <c r="M41" s="6">
        <f t="shared" si="9"/>
        <v>4778277.0031327978</v>
      </c>
    </row>
    <row r="42" spans="1:13" ht="17" customHeight="1" x14ac:dyDescent="0.2">
      <c r="A42" s="2" t="s">
        <v>13</v>
      </c>
      <c r="B42" s="2" t="s">
        <v>14</v>
      </c>
      <c r="C42" s="2" t="s">
        <v>14</v>
      </c>
      <c r="D42" s="2" t="s">
        <v>14</v>
      </c>
      <c r="E42" s="2" t="s">
        <v>14</v>
      </c>
      <c r="F42" s="2" t="s">
        <v>14</v>
      </c>
      <c r="G42" s="2" t="s">
        <v>14</v>
      </c>
      <c r="H42" s="2" t="s">
        <v>14</v>
      </c>
      <c r="I42" s="2" t="s">
        <v>14</v>
      </c>
      <c r="J42" s="2" t="s">
        <v>14</v>
      </c>
      <c r="K42" s="2" t="s">
        <v>14</v>
      </c>
      <c r="L42" s="2" t="s">
        <v>14</v>
      </c>
      <c r="M42" s="2" t="s">
        <v>14</v>
      </c>
    </row>
    <row r="43" spans="1:13" ht="17" x14ac:dyDescent="0.2">
      <c r="A43" s="8">
        <f>COUNT(A2:A41)</f>
        <v>40</v>
      </c>
      <c r="B43" s="6">
        <f>SUM(B2:B41)</f>
        <v>2638.74</v>
      </c>
      <c r="C43" s="6">
        <f>SUM(C2:C41)</f>
        <v>746693.38</v>
      </c>
      <c r="D43" s="6">
        <f>SUM(D2:D41)</f>
        <v>188219.84840000002</v>
      </c>
      <c r="E43" s="6">
        <f>ROUND(SUM(E2:E41),10)</f>
        <v>0</v>
      </c>
      <c r="F43" s="6">
        <f>SUM(F2:F41)</f>
        <v>14146.128710000001</v>
      </c>
      <c r="G43" s="6">
        <f>SUM(G2:G41)</f>
        <v>0</v>
      </c>
      <c r="H43" s="6">
        <f>SUM(H2:H41)</f>
        <v>13607727647.197388</v>
      </c>
      <c r="I43" s="6">
        <f>SUM(I2:I41)</f>
        <v>7668663.3367699999</v>
      </c>
      <c r="J43" s="6">
        <f>SUM(J2:J41)</f>
        <v>746693.38000000012</v>
      </c>
      <c r="K43" s="6">
        <f>ROUND(SUM(K2:K41),10)</f>
        <v>-2.0000000000000001E-10</v>
      </c>
      <c r="L43" s="6">
        <f>SUM(L2:L41)</f>
        <v>9450519793.4933395</v>
      </c>
      <c r="M43" s="6">
        <f>SUM(M2:M41)</f>
        <v>248697889.30245617</v>
      </c>
    </row>
    <row r="44" spans="1:13" ht="17" customHeight="1" x14ac:dyDescent="0.2">
      <c r="B44" s="2" t="s">
        <v>15</v>
      </c>
      <c r="C44" s="2" t="s">
        <v>15</v>
      </c>
      <c r="D44" s="2" t="s">
        <v>15</v>
      </c>
      <c r="E44" s="2" t="s">
        <v>15</v>
      </c>
      <c r="F44" s="2" t="s">
        <v>15</v>
      </c>
      <c r="G44" s="4" t="s">
        <v>15</v>
      </c>
      <c r="H44" s="2" t="s">
        <v>15</v>
      </c>
      <c r="I44" s="2" t="s">
        <v>15</v>
      </c>
      <c r="J44" s="2" t="s">
        <v>15</v>
      </c>
      <c r="K44" s="2" t="s">
        <v>15</v>
      </c>
      <c r="L44" s="2" t="s">
        <v>15</v>
      </c>
      <c r="M44" s="2" t="s">
        <v>15</v>
      </c>
    </row>
    <row r="45" spans="1:13" ht="17" x14ac:dyDescent="0.2">
      <c r="B45" s="6">
        <f>AVERAGE(B2:B41)</f>
        <v>65.968499999999992</v>
      </c>
      <c r="C45" s="6">
        <f>AVERAGE(C2:C41)</f>
        <v>18667.334500000001</v>
      </c>
      <c r="D45" s="6">
        <f>AVERAGE(D2:D41)</f>
        <v>4705.4962100000002</v>
      </c>
      <c r="E45" s="6">
        <f>ROUND(AVERAGE(E2:E41),10)</f>
        <v>0</v>
      </c>
      <c r="F45" s="6">
        <f>AVERAGE(F2:F41)</f>
        <v>353.65321775000001</v>
      </c>
      <c r="G45" s="6">
        <f>AVERAGE(G2:G41)</f>
        <v>0</v>
      </c>
      <c r="H45" s="6">
        <f>AVERAGE(H2:H41)</f>
        <v>340193191.17993468</v>
      </c>
      <c r="I45" s="6">
        <f>AVERAGE(I2:I41)</f>
        <v>191716.58341925</v>
      </c>
      <c r="J45" s="6">
        <f>AVERAGE(J2:J41)</f>
        <v>18667.334500000004</v>
      </c>
      <c r="K45" s="6">
        <f>ROUND(AVERAGE(K2:K41),10)</f>
        <v>0</v>
      </c>
      <c r="L45" s="6">
        <f>AVERAGE(L2:L41)</f>
        <v>236262994.8373335</v>
      </c>
      <c r="M45" s="6">
        <f>AVERAGE(M2:M41)</f>
        <v>6217447.2325614039</v>
      </c>
    </row>
    <row r="48" spans="1:13" ht="17" customHeight="1" x14ac:dyDescent="0.2">
      <c r="A48" s="2" t="s">
        <v>16</v>
      </c>
      <c r="B48" s="2" t="s">
        <v>17</v>
      </c>
      <c r="C48" s="2" t="s">
        <v>18</v>
      </c>
      <c r="D48" s="2" t="s">
        <v>19</v>
      </c>
      <c r="E48" s="2" t="s">
        <v>20</v>
      </c>
      <c r="F48" s="2" t="s">
        <v>21</v>
      </c>
    </row>
    <row r="49" spans="1:6" ht="17" x14ac:dyDescent="0.2">
      <c r="A49" s="4">
        <f>I43/F43</f>
        <v>542.10331985378912</v>
      </c>
      <c r="B49" s="4">
        <f>C45-A49*B45</f>
        <v>-17094.408355774682</v>
      </c>
      <c r="C49" s="4">
        <f>M43/(A43*(D45-B45^2))</f>
        <v>17580.632440213059</v>
      </c>
      <c r="D49" s="4">
        <f>C49*D45</f>
        <v>82725599.316825613</v>
      </c>
      <c r="E49" s="4">
        <f>A49/SQRT(C49)</f>
        <v>4.0885076982494448</v>
      </c>
      <c r="F49" s="4">
        <f>B49/SQRT(D49)</f>
        <v>-1.8794644402684231</v>
      </c>
    </row>
    <row r="52" spans="1:6" ht="18" customHeight="1" x14ac:dyDescent="0.2"/>
    <row r="53" spans="1:6" ht="51" customHeight="1" x14ac:dyDescent="0.2">
      <c r="A53" s="2" t="s">
        <v>22</v>
      </c>
      <c r="B53" s="2" t="s">
        <v>23</v>
      </c>
      <c r="C53" s="2" t="s">
        <v>24</v>
      </c>
      <c r="D53" s="2" t="s">
        <v>25</v>
      </c>
    </row>
    <row r="54" spans="1:6" ht="17" customHeight="1" x14ac:dyDescent="0.2">
      <c r="A54" s="2">
        <v>0.9</v>
      </c>
      <c r="B54" s="4">
        <f>TINV(1-A54,$A$43-2)</f>
        <v>1.6859544601667387</v>
      </c>
      <c r="C54" s="2" t="str">
        <f t="shared" ref="C54:D56" si="10">IF(E$49&gt;$B54,"значимый","не значимый")</f>
        <v>значимый</v>
      </c>
      <c r="D54" s="2" t="str">
        <f t="shared" si="10"/>
        <v>не значимый</v>
      </c>
    </row>
    <row r="55" spans="1:6" ht="17" customHeight="1" x14ac:dyDescent="0.2">
      <c r="A55" s="2">
        <v>0.95</v>
      </c>
      <c r="B55" s="4">
        <f>TINV(1-A55,$A$43-2)</f>
        <v>2.0243941639119702</v>
      </c>
      <c r="C55" s="2" t="str">
        <f t="shared" si="10"/>
        <v>значимый</v>
      </c>
      <c r="D55" s="2" t="str">
        <f t="shared" si="10"/>
        <v>не значимый</v>
      </c>
    </row>
    <row r="56" spans="1:6" ht="17" customHeight="1" x14ac:dyDescent="0.2">
      <c r="A56" s="2">
        <v>0.99</v>
      </c>
      <c r="B56" s="4">
        <f>TINV(1-A56,$A$43-2)</f>
        <v>2.711557601913082</v>
      </c>
      <c r="C56" s="2" t="str">
        <f t="shared" si="10"/>
        <v>значимый</v>
      </c>
      <c r="D56" s="2" t="str">
        <f t="shared" si="10"/>
        <v>не значимый</v>
      </c>
    </row>
    <row r="59" spans="1:6" ht="17" customHeight="1" x14ac:dyDescent="0.2">
      <c r="A59" s="2" t="s">
        <v>22</v>
      </c>
      <c r="B59" s="2" t="s">
        <v>26</v>
      </c>
      <c r="C59" s="2" t="s">
        <v>16</v>
      </c>
      <c r="D59" s="2" t="s">
        <v>17</v>
      </c>
    </row>
    <row r="60" spans="1:6" ht="17" customHeight="1" x14ac:dyDescent="0.2">
      <c r="A60" s="9">
        <v>0.9</v>
      </c>
      <c r="B60" s="2" t="s">
        <v>27</v>
      </c>
      <c r="C60" s="4">
        <f>A$49-$B54*SQRT(C$49)</f>
        <v>318.55928436866134</v>
      </c>
      <c r="D60" s="4">
        <f>B$49-$B54*SQRT(D$49)</f>
        <v>-32428.773504611334</v>
      </c>
    </row>
    <row r="61" spans="1:6" ht="17" customHeight="1" x14ac:dyDescent="0.2">
      <c r="A61" s="10"/>
      <c r="B61" s="2" t="s">
        <v>28</v>
      </c>
      <c r="C61" s="4">
        <f>A$49+$B54*SQRT(C$49)</f>
        <v>765.6473553389169</v>
      </c>
      <c r="D61" s="4">
        <f>B$49+$B54*SQRT(D$49)</f>
        <v>-1760.0432069380295</v>
      </c>
    </row>
    <row r="62" spans="1:6" ht="17" customHeight="1" x14ac:dyDescent="0.2">
      <c r="A62" s="9">
        <v>0.95</v>
      </c>
      <c r="B62" s="2" t="s">
        <v>27</v>
      </c>
      <c r="C62" s="4">
        <f>A$49-$B55*SQRT(C$49)</f>
        <v>273.68489485750109</v>
      </c>
      <c r="D62" s="4">
        <f>B$49-$B55*SQRT(D$49)</f>
        <v>-35507.004928240785</v>
      </c>
    </row>
    <row r="63" spans="1:6" ht="17" customHeight="1" x14ac:dyDescent="0.2">
      <c r="A63" s="10"/>
      <c r="B63" s="2" t="s">
        <v>28</v>
      </c>
      <c r="C63" s="4">
        <f>A$49+$B55*SQRT(C$49)</f>
        <v>810.52174485007708</v>
      </c>
      <c r="D63" s="4">
        <f>B$49+$B55*SQRT(D$49)</f>
        <v>1318.1882166914183</v>
      </c>
    </row>
    <row r="64" spans="1:6" ht="17" customHeight="1" x14ac:dyDescent="0.2">
      <c r="A64" s="9">
        <v>0.99</v>
      </c>
      <c r="B64" s="2" t="s">
        <v>27</v>
      </c>
      <c r="C64" s="4">
        <f>A$49-$B56*SQRT(C$49)</f>
        <v>182.57253589531956</v>
      </c>
      <c r="D64" s="4">
        <f>B$49-$B56*SQRT(D$49)</f>
        <v>-41757.004749823689</v>
      </c>
    </row>
    <row r="65" spans="1:5" ht="17" customHeight="1" x14ac:dyDescent="0.2">
      <c r="A65" s="10"/>
      <c r="B65" s="2" t="s">
        <v>28</v>
      </c>
      <c r="C65" s="4">
        <f>A$49+$B56*SQRT(C$49)</f>
        <v>901.63410381225867</v>
      </c>
      <c r="D65" s="4">
        <f>B$49+$B56*SQRT(D$49)</f>
        <v>7568.1880382743257</v>
      </c>
    </row>
    <row r="67" spans="1:5" ht="51" customHeight="1" x14ac:dyDescent="0.2">
      <c r="A67" s="2" t="s">
        <v>29</v>
      </c>
      <c r="C67" s="9" t="s">
        <v>30</v>
      </c>
      <c r="D67" s="11"/>
      <c r="E67" s="12"/>
    </row>
    <row r="68" spans="1:5" ht="17" x14ac:dyDescent="0.2">
      <c r="A68" s="4">
        <f>1-L43/H43</f>
        <v>0.30550345814425939</v>
      </c>
    </row>
    <row r="70" spans="1:5" ht="51" customHeight="1" x14ac:dyDescent="0.2">
      <c r="A70" s="2" t="s">
        <v>22</v>
      </c>
      <c r="B70" s="2" t="s">
        <v>31</v>
      </c>
      <c r="C70" s="2" t="s">
        <v>32</v>
      </c>
    </row>
    <row r="71" spans="1:5" ht="17" customHeight="1" x14ac:dyDescent="0.2">
      <c r="A71" s="9">
        <v>0.9</v>
      </c>
      <c r="B71" s="13">
        <f>FINV(1-A71,2,$A$43-2)</f>
        <v>2.4479199420090918</v>
      </c>
      <c r="C71" s="9" t="str">
        <f>IF($B$78&gt;B71,"значимый","не значимый")</f>
        <v>значимый</v>
      </c>
    </row>
    <row r="72" spans="1:5" x14ac:dyDescent="0.2">
      <c r="A72" s="10"/>
      <c r="B72" s="10"/>
      <c r="C72" s="10"/>
    </row>
    <row r="73" spans="1:5" ht="16" customHeight="1" x14ac:dyDescent="0.2">
      <c r="A73" s="9">
        <v>0.95</v>
      </c>
      <c r="B73" s="13">
        <f>FINV(1-A73,2,$A$43-2)</f>
        <v>3.2448183607328067</v>
      </c>
      <c r="C73" s="9" t="str">
        <f>IF($B$78&gt;B73,"значимый","не значимый")</f>
        <v>значимый</v>
      </c>
    </row>
    <row r="74" spans="1:5" x14ac:dyDescent="0.2">
      <c r="A74" s="10"/>
      <c r="B74" s="10"/>
      <c r="C74" s="10"/>
    </row>
    <row r="75" spans="1:5" ht="16" customHeight="1" x14ac:dyDescent="0.2">
      <c r="A75" s="9">
        <v>0.99</v>
      </c>
      <c r="B75" s="13">
        <f>FINV(1-A75,2,$A$43-2)</f>
        <v>5.2112247283595377</v>
      </c>
      <c r="C75" s="9" t="str">
        <f>IF($B$78&gt;B75,"значимый","не значимый")</f>
        <v>значимый</v>
      </c>
    </row>
    <row r="76" spans="1:5" x14ac:dyDescent="0.2">
      <c r="A76" s="10"/>
      <c r="B76" s="10"/>
      <c r="C76" s="10"/>
    </row>
    <row r="78" spans="1:5" ht="17" customHeight="1" x14ac:dyDescent="0.2">
      <c r="A78" s="2" t="s">
        <v>33</v>
      </c>
      <c r="B78" s="4">
        <f>A68/(1-A68)*(A43-2)</f>
        <v>16.715895198644894</v>
      </c>
    </row>
    <row r="81" spans="1:8" ht="16" customHeight="1" x14ac:dyDescent="0.2">
      <c r="C81" s="9" t="s">
        <v>22</v>
      </c>
      <c r="D81" s="11"/>
      <c r="E81" s="11"/>
      <c r="F81" s="11"/>
      <c r="G81" s="11"/>
      <c r="H81" s="12"/>
    </row>
    <row r="82" spans="1:8" ht="17" customHeight="1" x14ac:dyDescent="0.2">
      <c r="A82" s="2" t="s">
        <v>34</v>
      </c>
      <c r="B82" s="2" t="s">
        <v>35</v>
      </c>
      <c r="C82" s="9">
        <v>0.9</v>
      </c>
      <c r="D82" s="12"/>
      <c r="E82" s="9">
        <v>0.95</v>
      </c>
      <c r="F82" s="12"/>
      <c r="G82" s="9">
        <v>0.99</v>
      </c>
      <c r="H82" s="12"/>
    </row>
    <row r="83" spans="1:8" ht="17" x14ac:dyDescent="0.2">
      <c r="A83" s="2">
        <v>10</v>
      </c>
      <c r="B83" s="6">
        <f t="shared" ref="B83:B91" si="11">$B$49+A83*$A$49</f>
        <v>-11673.375157236791</v>
      </c>
      <c r="C83" s="6">
        <f t="shared" ref="C83:C91" si="12">B83-$B$54*SQRT($M$43)*SQRT(1/$A$43+(A83-$B$45)^2/($F$43))</f>
        <v>-24872.180980500518</v>
      </c>
      <c r="D83" s="6">
        <f t="shared" ref="D83:D91" si="13">B83+$B$54*SQRT($M$43)*SQRT(1/$A$43+(A83-$B$45)^2/($F$43))</f>
        <v>1525.4306660269358</v>
      </c>
      <c r="E83" s="6">
        <f t="shared" ref="E83:E91" si="14">B83-$B$55*SQRT($M$43)*SQRT(1/$A$43+(A83-$B$45)^2/($F$43))</f>
        <v>-27521.718698247907</v>
      </c>
      <c r="F83" s="6">
        <f t="shared" ref="F83:F91" si="15">B83+$B$55*SQRT($M$43)*SQRT(1/$A$43+(A83-$B$45)^2/($F$43))</f>
        <v>4174.968383774325</v>
      </c>
      <c r="G83" s="6">
        <f t="shared" ref="G83:G91" si="16">B83-$B$56*SQRT($M$43)*SQRT(1/$A$43+(A83-$B$45)^2/($F$43))</f>
        <v>-32901.304565665712</v>
      </c>
      <c r="H83" s="6">
        <f t="shared" ref="H83:H91" si="17">B83+$B$56*SQRT($M$43)*SQRT(1/$A$43+(A83-$B$45)^2/($F$43))</f>
        <v>9554.5542511921303</v>
      </c>
    </row>
    <row r="84" spans="1:8" ht="17" x14ac:dyDescent="0.2">
      <c r="A84" s="2">
        <v>20</v>
      </c>
      <c r="B84" s="6">
        <f t="shared" si="11"/>
        <v>-6252.3419586989003</v>
      </c>
      <c r="C84" s="6">
        <f t="shared" si="12"/>
        <v>-17354.980517292948</v>
      </c>
      <c r="D84" s="6">
        <f t="shared" si="13"/>
        <v>4850.2965998951495</v>
      </c>
      <c r="E84" s="6">
        <f t="shared" si="14"/>
        <v>-19583.732119628243</v>
      </c>
      <c r="F84" s="6">
        <f t="shared" si="15"/>
        <v>7079.0482022304441</v>
      </c>
      <c r="G84" s="6">
        <f t="shared" si="16"/>
        <v>-24108.959498576944</v>
      </c>
      <c r="H84" s="6">
        <f t="shared" si="17"/>
        <v>11604.275581179143</v>
      </c>
    </row>
    <row r="85" spans="1:8" ht="17" x14ac:dyDescent="0.2">
      <c r="A85" s="2">
        <v>30</v>
      </c>
      <c r="B85" s="6">
        <f t="shared" si="11"/>
        <v>-831.30876016100774</v>
      </c>
      <c r="C85" s="6">
        <f t="shared" si="12"/>
        <v>-9904.515355711088</v>
      </c>
      <c r="D85" s="6">
        <f t="shared" si="13"/>
        <v>8241.8978353890725</v>
      </c>
      <c r="E85" s="6">
        <f t="shared" si="14"/>
        <v>-11725.877334796547</v>
      </c>
      <c r="F85" s="6">
        <f t="shared" si="15"/>
        <v>10063.259814474532</v>
      </c>
      <c r="G85" s="6">
        <f t="shared" si="16"/>
        <v>-15423.946283394333</v>
      </c>
      <c r="H85" s="6">
        <f t="shared" si="17"/>
        <v>13761.328763072317</v>
      </c>
    </row>
    <row r="86" spans="1:8" ht="17" x14ac:dyDescent="0.2">
      <c r="A86" s="2">
        <v>40</v>
      </c>
      <c r="B86" s="6">
        <f t="shared" si="11"/>
        <v>4589.7244383768812</v>
      </c>
      <c r="C86" s="6">
        <f t="shared" si="12"/>
        <v>-2577.6990909314618</v>
      </c>
      <c r="D86" s="6">
        <f t="shared" si="13"/>
        <v>11757.147967685225</v>
      </c>
      <c r="E86" s="6">
        <f t="shared" si="14"/>
        <v>-4016.4928147167484</v>
      </c>
      <c r="F86" s="6">
        <f t="shared" si="15"/>
        <v>13195.941691470511</v>
      </c>
      <c r="G86" s="6">
        <f t="shared" si="16"/>
        <v>-6937.8003057402548</v>
      </c>
      <c r="H86" s="6">
        <f t="shared" si="17"/>
        <v>16117.249182494017</v>
      </c>
    </row>
    <row r="87" spans="1:8" ht="17" x14ac:dyDescent="0.2">
      <c r="A87" s="2">
        <v>50</v>
      </c>
      <c r="B87" s="6">
        <f t="shared" si="11"/>
        <v>10010.757636914776</v>
      </c>
      <c r="C87" s="6">
        <f t="shared" si="12"/>
        <v>4495.7572442015098</v>
      </c>
      <c r="D87" s="6">
        <f t="shared" si="13"/>
        <v>15525.758029628041</v>
      </c>
      <c r="E87" s="6">
        <f t="shared" si="14"/>
        <v>3388.6721222936985</v>
      </c>
      <c r="F87" s="6">
        <f t="shared" si="15"/>
        <v>16632.843151535853</v>
      </c>
      <c r="G87" s="6">
        <f t="shared" si="16"/>
        <v>1140.8613302634476</v>
      </c>
      <c r="H87" s="6">
        <f t="shared" si="17"/>
        <v>18880.653943566103</v>
      </c>
    </row>
    <row r="88" spans="1:8" ht="17" x14ac:dyDescent="0.2">
      <c r="A88" s="2">
        <v>60</v>
      </c>
      <c r="B88" s="6">
        <f t="shared" si="11"/>
        <v>15431.790835452666</v>
      </c>
      <c r="C88" s="6">
        <f t="shared" si="12"/>
        <v>11021.248263957938</v>
      </c>
      <c r="D88" s="6">
        <f t="shared" si="13"/>
        <v>19842.333406947393</v>
      </c>
      <c r="E88" s="6">
        <f t="shared" si="14"/>
        <v>10135.872794738691</v>
      </c>
      <c r="F88" s="6">
        <f t="shared" si="15"/>
        <v>20727.708876166642</v>
      </c>
      <c r="G88" s="6">
        <f t="shared" si="16"/>
        <v>8338.2183097066081</v>
      </c>
      <c r="H88" s="6">
        <f t="shared" si="17"/>
        <v>22525.363361198724</v>
      </c>
    </row>
    <row r="89" spans="1:8" ht="17" x14ac:dyDescent="0.2">
      <c r="A89" s="2">
        <v>70</v>
      </c>
      <c r="B89" s="6">
        <f t="shared" si="11"/>
        <v>20852.824033990557</v>
      </c>
      <c r="C89" s="6">
        <f t="shared" si="12"/>
        <v>16553.41368156984</v>
      </c>
      <c r="D89" s="6">
        <f t="shared" si="13"/>
        <v>25152.234386411274</v>
      </c>
      <c r="E89" s="6">
        <f t="shared" si="14"/>
        <v>15690.346973464009</v>
      </c>
      <c r="F89" s="6">
        <f t="shared" si="15"/>
        <v>26015.301094517105</v>
      </c>
      <c r="G89" s="6">
        <f t="shared" si="16"/>
        <v>13937.987897967507</v>
      </c>
      <c r="H89" s="6">
        <f t="shared" si="17"/>
        <v>27767.660170013609</v>
      </c>
    </row>
    <row r="90" spans="1:8" ht="17" x14ac:dyDescent="0.2">
      <c r="A90" s="2">
        <v>80</v>
      </c>
      <c r="B90" s="6">
        <f t="shared" si="11"/>
        <v>26273.857232528444</v>
      </c>
      <c r="C90" s="6">
        <f t="shared" si="12"/>
        <v>21028.729956452793</v>
      </c>
      <c r="D90" s="6">
        <f t="shared" si="13"/>
        <v>31518.984508604095</v>
      </c>
      <c r="E90" s="6">
        <f t="shared" si="14"/>
        <v>19975.819356930719</v>
      </c>
      <c r="F90" s="6">
        <f t="shared" si="15"/>
        <v>32571.895108126169</v>
      </c>
      <c r="G90" s="6">
        <f t="shared" si="16"/>
        <v>17838.003788991184</v>
      </c>
      <c r="H90" s="6">
        <f t="shared" si="17"/>
        <v>34709.710676065704</v>
      </c>
    </row>
    <row r="91" spans="1:8" ht="17" x14ac:dyDescent="0.2">
      <c r="A91" s="2">
        <v>90</v>
      </c>
      <c r="B91" s="6">
        <f t="shared" si="11"/>
        <v>31694.890431066338</v>
      </c>
      <c r="C91" s="6">
        <f t="shared" si="12"/>
        <v>24873.440580326514</v>
      </c>
      <c r="D91" s="6">
        <f t="shared" si="13"/>
        <v>38516.340281806159</v>
      </c>
      <c r="E91" s="6">
        <f t="shared" si="14"/>
        <v>23504.097860138798</v>
      </c>
      <c r="F91" s="6">
        <f t="shared" si="15"/>
        <v>39885.683001993879</v>
      </c>
      <c r="G91" s="6">
        <f t="shared" si="16"/>
        <v>20723.802755890865</v>
      </c>
      <c r="H91" s="6">
        <f t="shared" si="17"/>
        <v>42665.978106241811</v>
      </c>
    </row>
    <row r="126" spans="1:5" ht="16" customHeight="1" x14ac:dyDescent="0.2">
      <c r="A126" s="14" t="s">
        <v>36</v>
      </c>
      <c r="B126" s="15"/>
      <c r="C126" s="15"/>
      <c r="D126" s="15"/>
      <c r="E126" s="15"/>
    </row>
    <row r="127" spans="1:5" x14ac:dyDescent="0.2">
      <c r="A127" s="15"/>
      <c r="B127" s="15"/>
      <c r="C127" s="15"/>
      <c r="D127" s="15"/>
      <c r="E127" s="15"/>
    </row>
    <row r="128" spans="1:5" x14ac:dyDescent="0.2">
      <c r="A128" s="15"/>
      <c r="B128" s="15"/>
      <c r="C128" s="15"/>
      <c r="D128" s="15"/>
      <c r="E128" s="15"/>
    </row>
  </sheetData>
  <mergeCells count="18">
    <mergeCell ref="A60:A61"/>
    <mergeCell ref="A64:A65"/>
    <mergeCell ref="G82:H82"/>
    <mergeCell ref="A73:A74"/>
    <mergeCell ref="B73:B74"/>
    <mergeCell ref="C67:E67"/>
    <mergeCell ref="A62:A63"/>
    <mergeCell ref="E82:F82"/>
    <mergeCell ref="C82:D82"/>
    <mergeCell ref="C71:C72"/>
    <mergeCell ref="C73:C74"/>
    <mergeCell ref="B75:B76"/>
    <mergeCell ref="A126:E128"/>
    <mergeCell ref="A75:A76"/>
    <mergeCell ref="C81:H81"/>
    <mergeCell ref="B71:B72"/>
    <mergeCell ref="C75:C76"/>
    <mergeCell ref="A71:A72"/>
  </mergeCells>
  <pageMargins left="0.7" right="0.7" top="0.75" bottom="0.75" header="0.3" footer="0.3"/>
  <ignoredErrors>
    <ignoredError sqref="G2:G41 E43 E45 K43 K45" formula="1"/>
  </ignoredError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Egorov</dc:creator>
  <cp:lastModifiedBy>Alexander Egorov</cp:lastModifiedBy>
  <dcterms:created xsi:type="dcterms:W3CDTF">2026-09-17T18:31:20Z</dcterms:created>
  <dcterms:modified xsi:type="dcterms:W3CDTF">2026-09-18T08:55:37Z</dcterms:modified>
</cp:coreProperties>
</file>