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asha\BSUIR\7 semester\SMAD\lab4\"/>
    </mc:Choice>
  </mc:AlternateContent>
  <xr:revisionPtr revIDLastSave="0" documentId="13_ncr:1_{AE3D6F71-DE5B-42EC-810B-8683F0900A79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7" i="1" l="1"/>
  <c r="G138" i="1" s="1"/>
  <c r="H138" i="1" s="1"/>
  <c r="B167" i="1"/>
  <c r="E114" i="1" s="1"/>
  <c r="C165" i="1"/>
  <c r="B165" i="1"/>
  <c r="A165" i="1"/>
  <c r="B193" i="1" s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G71" i="1"/>
  <c r="H71" i="1" s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G163" i="1" l="1"/>
  <c r="H163" i="1" s="1"/>
  <c r="E54" i="1"/>
  <c r="F54" i="1" s="1"/>
  <c r="G54" i="1"/>
  <c r="H54" i="1" s="1"/>
  <c r="G106" i="1"/>
  <c r="H106" i="1" s="1"/>
  <c r="G69" i="1"/>
  <c r="H69" i="1" s="1"/>
  <c r="G39" i="1"/>
  <c r="H39" i="1" s="1"/>
  <c r="G137" i="1"/>
  <c r="H137" i="1" s="1"/>
  <c r="G120" i="1"/>
  <c r="H120" i="1" s="1"/>
  <c r="E121" i="1"/>
  <c r="F121" i="1" s="1"/>
  <c r="G112" i="1"/>
  <c r="H112" i="1" s="1"/>
  <c r="G148" i="1"/>
  <c r="H148" i="1" s="1"/>
  <c r="E106" i="1"/>
  <c r="E53" i="1"/>
  <c r="F53" i="1" s="1"/>
  <c r="E2" i="1"/>
  <c r="F2" i="1" s="1"/>
  <c r="G3" i="1"/>
  <c r="H3" i="1" s="1"/>
  <c r="G78" i="1"/>
  <c r="H78" i="1" s="1"/>
  <c r="G26" i="1"/>
  <c r="H26" i="1" s="1"/>
  <c r="E40" i="1"/>
  <c r="F40" i="1" s="1"/>
  <c r="G25" i="1"/>
  <c r="H25" i="1" s="1"/>
  <c r="E93" i="1"/>
  <c r="F93" i="1" s="1"/>
  <c r="E107" i="1"/>
  <c r="F107" i="1" s="1"/>
  <c r="G123" i="1"/>
  <c r="H123" i="1" s="1"/>
  <c r="E41" i="1"/>
  <c r="F41" i="1" s="1"/>
  <c r="G99" i="1"/>
  <c r="H99" i="1" s="1"/>
  <c r="G15" i="1"/>
  <c r="H15" i="1" s="1"/>
  <c r="G32" i="1"/>
  <c r="H32" i="1" s="1"/>
  <c r="E149" i="1"/>
  <c r="F149" i="1" s="1"/>
  <c r="E137" i="1"/>
  <c r="E32" i="1"/>
  <c r="E19" i="1"/>
  <c r="F19" i="1" s="1"/>
  <c r="E100" i="1"/>
  <c r="F100" i="1" s="1"/>
  <c r="G8" i="1"/>
  <c r="H8" i="1" s="1"/>
  <c r="E61" i="1"/>
  <c r="F61" i="1" s="1"/>
  <c r="E9" i="1"/>
  <c r="F9" i="1" s="1"/>
  <c r="E48" i="1"/>
  <c r="G76" i="1"/>
  <c r="H76" i="1" s="1"/>
  <c r="E10" i="1"/>
  <c r="F10" i="1" s="1"/>
  <c r="E24" i="1"/>
  <c r="F24" i="1" s="1"/>
  <c r="E64" i="1"/>
  <c r="F64" i="1" s="1"/>
  <c r="E77" i="1"/>
  <c r="F77" i="1" s="1"/>
  <c r="G146" i="1"/>
  <c r="H146" i="1" s="1"/>
  <c r="E11" i="1"/>
  <c r="F11" i="1" s="1"/>
  <c r="G38" i="1"/>
  <c r="H38" i="1" s="1"/>
  <c r="G64" i="1"/>
  <c r="H64" i="1" s="1"/>
  <c r="G77" i="1"/>
  <c r="H77" i="1" s="1"/>
  <c r="G91" i="1"/>
  <c r="H91" i="1" s="1"/>
  <c r="E105" i="1"/>
  <c r="F105" i="1" s="1"/>
  <c r="E46" i="1"/>
  <c r="F46" i="1" s="1"/>
  <c r="E85" i="1"/>
  <c r="F85" i="1" s="1"/>
  <c r="E155" i="1"/>
  <c r="F155" i="1" s="1"/>
  <c r="E33" i="1"/>
  <c r="E47" i="1"/>
  <c r="G86" i="1"/>
  <c r="H86" i="1" s="1"/>
  <c r="G100" i="1"/>
  <c r="H100" i="1" s="1"/>
  <c r="E113" i="1"/>
  <c r="F113" i="1" s="1"/>
  <c r="G129" i="1"/>
  <c r="H129" i="1" s="1"/>
  <c r="E156" i="1"/>
  <c r="F156" i="1" s="1"/>
  <c r="G47" i="1"/>
  <c r="H47" i="1" s="1"/>
  <c r="E130" i="1"/>
  <c r="F130" i="1" s="1"/>
  <c r="G130" i="1"/>
  <c r="H130" i="1" s="1"/>
  <c r="G48" i="1"/>
  <c r="H48" i="1" s="1"/>
  <c r="G131" i="1"/>
  <c r="H131" i="1" s="1"/>
  <c r="G11" i="1"/>
  <c r="H11" i="1" s="1"/>
  <c r="E25" i="1"/>
  <c r="G105" i="1"/>
  <c r="H105" i="1" s="1"/>
  <c r="G147" i="1"/>
  <c r="H147" i="1" s="1"/>
  <c r="E16" i="1"/>
  <c r="E70" i="1"/>
  <c r="F70" i="1" s="1"/>
  <c r="E4" i="1"/>
  <c r="F4" i="1" s="1"/>
  <c r="G16" i="1"/>
  <c r="H16" i="1" s="1"/>
  <c r="G70" i="1"/>
  <c r="H70" i="1" s="1"/>
  <c r="E84" i="1"/>
  <c r="G98" i="1"/>
  <c r="H98" i="1" s="1"/>
  <c r="E138" i="1"/>
  <c r="I138" i="1" s="1"/>
  <c r="G84" i="1"/>
  <c r="H84" i="1" s="1"/>
  <c r="E62" i="1"/>
  <c r="F62" i="1" s="1"/>
  <c r="E86" i="1"/>
  <c r="E122" i="1"/>
  <c r="F122" i="1" s="1"/>
  <c r="E148" i="1"/>
  <c r="F148" i="1" s="1"/>
  <c r="E153" i="1"/>
  <c r="F153" i="1" s="1"/>
  <c r="E146" i="1"/>
  <c r="E76" i="1"/>
  <c r="E38" i="1"/>
  <c r="E15" i="1"/>
  <c r="E128" i="1"/>
  <c r="E104" i="1"/>
  <c r="E52" i="1"/>
  <c r="F52" i="1" s="1"/>
  <c r="E45" i="1"/>
  <c r="F45" i="1" s="1"/>
  <c r="E7" i="1"/>
  <c r="F7" i="1" s="1"/>
  <c r="E97" i="1"/>
  <c r="E83" i="1"/>
  <c r="E75" i="1"/>
  <c r="F75" i="1" s="1"/>
  <c r="E37" i="1"/>
  <c r="E144" i="1"/>
  <c r="F144" i="1" s="1"/>
  <c r="E117" i="1"/>
  <c r="F117" i="1" s="1"/>
  <c r="E158" i="1"/>
  <c r="F158" i="1" s="1"/>
  <c r="E103" i="1"/>
  <c r="E96" i="1"/>
  <c r="E13" i="1"/>
  <c r="F13" i="1" s="1"/>
  <c r="E116" i="1"/>
  <c r="E102" i="1"/>
  <c r="F102" i="1" s="1"/>
  <c r="E43" i="1"/>
  <c r="E20" i="1"/>
  <c r="F20" i="1" s="1"/>
  <c r="E5" i="1"/>
  <c r="F5" i="1" s="1"/>
  <c r="E80" i="1"/>
  <c r="F80" i="1" s="1"/>
  <c r="E35" i="1"/>
  <c r="F35" i="1" s="1"/>
  <c r="E72" i="1"/>
  <c r="F72" i="1" s="1"/>
  <c r="E108" i="1"/>
  <c r="F108" i="1" s="1"/>
  <c r="E94" i="1"/>
  <c r="F94" i="1" s="1"/>
  <c r="E87" i="1"/>
  <c r="E65" i="1"/>
  <c r="F65" i="1" s="1"/>
  <c r="E49" i="1"/>
  <c r="F49" i="1" s="1"/>
  <c r="E42" i="1"/>
  <c r="E136" i="1"/>
  <c r="E68" i="1"/>
  <c r="E30" i="1"/>
  <c r="F30" i="1" s="1"/>
  <c r="E161" i="1"/>
  <c r="F161" i="1" s="1"/>
  <c r="E60" i="1"/>
  <c r="F60" i="1" s="1"/>
  <c r="E22" i="1"/>
  <c r="F22" i="1" s="1"/>
  <c r="E152" i="1"/>
  <c r="F152" i="1" s="1"/>
  <c r="E110" i="1"/>
  <c r="F110" i="1" s="1"/>
  <c r="E67" i="1"/>
  <c r="F67" i="1" s="1"/>
  <c r="E29" i="1"/>
  <c r="F29" i="1" s="1"/>
  <c r="E14" i="1"/>
  <c r="F14" i="1" s="1"/>
  <c r="E44" i="1"/>
  <c r="F44" i="1" s="1"/>
  <c r="E21" i="1"/>
  <c r="F21" i="1" s="1"/>
  <c r="E36" i="1"/>
  <c r="F36" i="1" s="1"/>
  <c r="E6" i="1"/>
  <c r="E133" i="1"/>
  <c r="F133" i="1" s="1"/>
  <c r="E126" i="1"/>
  <c r="E88" i="1"/>
  <c r="F88" i="1" s="1"/>
  <c r="E50" i="1"/>
  <c r="F50" i="1" s="1"/>
  <c r="E150" i="1"/>
  <c r="E141" i="1"/>
  <c r="F141" i="1" s="1"/>
  <c r="E132" i="1"/>
  <c r="E101" i="1"/>
  <c r="F101" i="1" s="1"/>
  <c r="E27" i="1"/>
  <c r="F27" i="1" s="1"/>
  <c r="E12" i="1"/>
  <c r="F12" i="1" s="1"/>
  <c r="G136" i="1"/>
  <c r="H136" i="1" s="1"/>
  <c r="G111" i="1"/>
  <c r="H111" i="1" s="1"/>
  <c r="G68" i="1"/>
  <c r="H68" i="1" s="1"/>
  <c r="G30" i="1"/>
  <c r="H30" i="1" s="1"/>
  <c r="G23" i="1"/>
  <c r="H23" i="1" s="1"/>
  <c r="G152" i="1"/>
  <c r="H152" i="1" s="1"/>
  <c r="G145" i="1"/>
  <c r="H145" i="1" s="1"/>
  <c r="G97" i="1"/>
  <c r="H97" i="1" s="1"/>
  <c r="G83" i="1"/>
  <c r="H83" i="1" s="1"/>
  <c r="G75" i="1"/>
  <c r="H75" i="1" s="1"/>
  <c r="G37" i="1"/>
  <c r="H37" i="1" s="1"/>
  <c r="G22" i="1"/>
  <c r="H22" i="1" s="1"/>
  <c r="G14" i="1"/>
  <c r="H14" i="1" s="1"/>
  <c r="G135" i="1"/>
  <c r="H135" i="1" s="1"/>
  <c r="G118" i="1"/>
  <c r="H118" i="1" s="1"/>
  <c r="G110" i="1"/>
  <c r="H110" i="1" s="1"/>
  <c r="G67" i="1"/>
  <c r="H67" i="1" s="1"/>
  <c r="G29" i="1"/>
  <c r="H29" i="1" s="1"/>
  <c r="G134" i="1"/>
  <c r="H134" i="1" s="1"/>
  <c r="G74" i="1"/>
  <c r="H74" i="1" s="1"/>
  <c r="G59" i="1"/>
  <c r="H59" i="1" s="1"/>
  <c r="G143" i="1"/>
  <c r="H143" i="1" s="1"/>
  <c r="G126" i="1"/>
  <c r="H126" i="1" s="1"/>
  <c r="G50" i="1"/>
  <c r="H50" i="1" s="1"/>
  <c r="G13" i="1"/>
  <c r="H13" i="1" s="1"/>
  <c r="G58" i="1"/>
  <c r="H58" i="1" s="1"/>
  <c r="G157" i="1"/>
  <c r="H157" i="1" s="1"/>
  <c r="G95" i="1"/>
  <c r="H95" i="1" s="1"/>
  <c r="G80" i="1"/>
  <c r="H80" i="1" s="1"/>
  <c r="G72" i="1"/>
  <c r="H72" i="1" s="1"/>
  <c r="G35" i="1"/>
  <c r="H35" i="1" s="1"/>
  <c r="G149" i="1"/>
  <c r="H149" i="1" s="1"/>
  <c r="G140" i="1"/>
  <c r="H140" i="1" s="1"/>
  <c r="G124" i="1"/>
  <c r="H124" i="1" s="1"/>
  <c r="G79" i="1"/>
  <c r="H79" i="1" s="1"/>
  <c r="G56" i="1"/>
  <c r="H56" i="1" s="1"/>
  <c r="G34" i="1"/>
  <c r="H34" i="1" s="1"/>
  <c r="G128" i="1"/>
  <c r="H128" i="1" s="1"/>
  <c r="G119" i="1"/>
  <c r="H119" i="1" s="1"/>
  <c r="G104" i="1"/>
  <c r="H104" i="1" s="1"/>
  <c r="G90" i="1"/>
  <c r="H90" i="1" s="1"/>
  <c r="G60" i="1"/>
  <c r="H60" i="1" s="1"/>
  <c r="G52" i="1"/>
  <c r="H52" i="1" s="1"/>
  <c r="G45" i="1"/>
  <c r="H45" i="1" s="1"/>
  <c r="G7" i="1"/>
  <c r="H7" i="1" s="1"/>
  <c r="G127" i="1"/>
  <c r="H127" i="1" s="1"/>
  <c r="G103" i="1"/>
  <c r="H103" i="1" s="1"/>
  <c r="G89" i="1"/>
  <c r="H89" i="1" s="1"/>
  <c r="G51" i="1"/>
  <c r="H51" i="1" s="1"/>
  <c r="G44" i="1"/>
  <c r="H44" i="1" s="1"/>
  <c r="G6" i="1"/>
  <c r="H6" i="1" s="1"/>
  <c r="G96" i="1"/>
  <c r="H96" i="1" s="1"/>
  <c r="G82" i="1"/>
  <c r="H82" i="1" s="1"/>
  <c r="G36" i="1"/>
  <c r="H36" i="1" s="1"/>
  <c r="G88" i="1"/>
  <c r="H88" i="1" s="1"/>
  <c r="G116" i="1"/>
  <c r="H116" i="1" s="1"/>
  <c r="G109" i="1"/>
  <c r="H109" i="1" s="1"/>
  <c r="G66" i="1"/>
  <c r="H66" i="1" s="1"/>
  <c r="G43" i="1"/>
  <c r="H43" i="1" s="1"/>
  <c r="G28" i="1"/>
  <c r="H28" i="1" s="1"/>
  <c r="G20" i="1"/>
  <c r="H20" i="1" s="1"/>
  <c r="G150" i="1"/>
  <c r="H150" i="1" s="1"/>
  <c r="G132" i="1"/>
  <c r="H132" i="1" s="1"/>
  <c r="G125" i="1"/>
  <c r="H125" i="1" s="1"/>
  <c r="G87" i="1"/>
  <c r="H87" i="1" s="1"/>
  <c r="G57" i="1"/>
  <c r="H57" i="1" s="1"/>
  <c r="G27" i="1"/>
  <c r="H27" i="1" s="1"/>
  <c r="G12" i="1"/>
  <c r="H12" i="1" s="1"/>
  <c r="G156" i="1"/>
  <c r="H156" i="1" s="1"/>
  <c r="G115" i="1"/>
  <c r="H115" i="1" s="1"/>
  <c r="G108" i="1"/>
  <c r="H108" i="1" s="1"/>
  <c r="G94" i="1"/>
  <c r="H94" i="1" s="1"/>
  <c r="G65" i="1"/>
  <c r="H65" i="1" s="1"/>
  <c r="G49" i="1"/>
  <c r="H49" i="1" s="1"/>
  <c r="G42" i="1"/>
  <c r="H42" i="1" s="1"/>
  <c r="G19" i="1"/>
  <c r="H19" i="1" s="1"/>
  <c r="G4" i="1"/>
  <c r="H4" i="1" s="1"/>
  <c r="E92" i="1"/>
  <c r="G114" i="1"/>
  <c r="H114" i="1" s="1"/>
  <c r="E129" i="1"/>
  <c r="F129" i="1" s="1"/>
  <c r="E154" i="1"/>
  <c r="F154" i="1" s="1"/>
  <c r="B176" i="1"/>
  <c r="G18" i="1"/>
  <c r="H18" i="1" s="1"/>
  <c r="G31" i="1"/>
  <c r="H31" i="1" s="1"/>
  <c r="G55" i="1"/>
  <c r="H55" i="1" s="1"/>
  <c r="E69" i="1"/>
  <c r="G92" i="1"/>
  <c r="H92" i="1" s="1"/>
  <c r="G154" i="1"/>
  <c r="H154" i="1" s="1"/>
  <c r="B177" i="1"/>
  <c r="F114" i="1"/>
  <c r="D167" i="1"/>
  <c r="D165" i="1"/>
  <c r="B178" i="1"/>
  <c r="B197" i="1"/>
  <c r="B195" i="1"/>
  <c r="E160" i="1"/>
  <c r="E140" i="1"/>
  <c r="E120" i="1"/>
  <c r="E151" i="1"/>
  <c r="E131" i="1"/>
  <c r="E111" i="1"/>
  <c r="E91" i="1"/>
  <c r="E71" i="1"/>
  <c r="E51" i="1"/>
  <c r="E31" i="1"/>
  <c r="E162" i="1"/>
  <c r="E142" i="1"/>
  <c r="E159" i="1"/>
  <c r="E139" i="1"/>
  <c r="E119" i="1"/>
  <c r="E99" i="1"/>
  <c r="E79" i="1"/>
  <c r="E59" i="1"/>
  <c r="E39" i="1"/>
  <c r="E17" i="1"/>
  <c r="E125" i="1"/>
  <c r="E112" i="1"/>
  <c r="E95" i="1"/>
  <c r="E90" i="1"/>
  <c r="E78" i="1"/>
  <c r="E73" i="1"/>
  <c r="E56" i="1"/>
  <c r="E34" i="1"/>
  <c r="E143" i="1"/>
  <c r="E135" i="1"/>
  <c r="E134" i="1"/>
  <c r="E89" i="1"/>
  <c r="E28" i="1"/>
  <c r="E57" i="1"/>
  <c r="E81" i="1"/>
  <c r="E123" i="1"/>
  <c r="E147" i="1"/>
  <c r="G162" i="1"/>
  <c r="H162" i="1" s="1"/>
  <c r="G142" i="1"/>
  <c r="H142" i="1" s="1"/>
  <c r="G122" i="1"/>
  <c r="H122" i="1" s="1"/>
  <c r="G153" i="1"/>
  <c r="H153" i="1" s="1"/>
  <c r="G133" i="1"/>
  <c r="H133" i="1" s="1"/>
  <c r="G113" i="1"/>
  <c r="H113" i="1" s="1"/>
  <c r="G93" i="1"/>
  <c r="H93" i="1" s="1"/>
  <c r="G73" i="1"/>
  <c r="H73" i="1" s="1"/>
  <c r="G53" i="1"/>
  <c r="H53" i="1" s="1"/>
  <c r="G33" i="1"/>
  <c r="H33" i="1" s="1"/>
  <c r="G5" i="1"/>
  <c r="H5" i="1" s="1"/>
  <c r="G144" i="1"/>
  <c r="H144" i="1" s="1"/>
  <c r="G161" i="1"/>
  <c r="H161" i="1" s="1"/>
  <c r="G141" i="1"/>
  <c r="H141" i="1" s="1"/>
  <c r="G121" i="1"/>
  <c r="H121" i="1" s="1"/>
  <c r="G101" i="1"/>
  <c r="H101" i="1" s="1"/>
  <c r="G81" i="1"/>
  <c r="H81" i="1" s="1"/>
  <c r="G61" i="1"/>
  <c r="H61" i="1" s="1"/>
  <c r="G41" i="1"/>
  <c r="H41" i="1" s="1"/>
  <c r="G21" i="1"/>
  <c r="H21" i="1" s="1"/>
  <c r="G151" i="1"/>
  <c r="H151" i="1" s="1"/>
  <c r="G117" i="1"/>
  <c r="H117" i="1" s="1"/>
  <c r="G107" i="1"/>
  <c r="H107" i="1" s="1"/>
  <c r="G85" i="1"/>
  <c r="H85" i="1" s="1"/>
  <c r="G63" i="1"/>
  <c r="H63" i="1" s="1"/>
  <c r="G46" i="1"/>
  <c r="H46" i="1" s="1"/>
  <c r="G24" i="1"/>
  <c r="H24" i="1" s="1"/>
  <c r="G17" i="1"/>
  <c r="H17" i="1" s="1"/>
  <c r="G10" i="1"/>
  <c r="H10" i="1" s="1"/>
  <c r="G159" i="1"/>
  <c r="H159" i="1" s="1"/>
  <c r="G102" i="1"/>
  <c r="H102" i="1" s="1"/>
  <c r="G158" i="1"/>
  <c r="H158" i="1" s="1"/>
  <c r="G155" i="1"/>
  <c r="H155" i="1" s="1"/>
  <c r="G139" i="1"/>
  <c r="H139" i="1" s="1"/>
  <c r="G62" i="1"/>
  <c r="H62" i="1" s="1"/>
  <c r="G40" i="1"/>
  <c r="H40" i="1" s="1"/>
  <c r="G9" i="1"/>
  <c r="H9" i="1" s="1"/>
  <c r="G2" i="1"/>
  <c r="E23" i="1"/>
  <c r="E63" i="1"/>
  <c r="E98" i="1"/>
  <c r="E3" i="1"/>
  <c r="E8" i="1"/>
  <c r="E18" i="1"/>
  <c r="E26" i="1"/>
  <c r="E66" i="1"/>
  <c r="E118" i="1"/>
  <c r="E163" i="1"/>
  <c r="E55" i="1"/>
  <c r="E109" i="1"/>
  <c r="E58" i="1"/>
  <c r="E74" i="1"/>
  <c r="E82" i="1"/>
  <c r="E115" i="1"/>
  <c r="E124" i="1"/>
  <c r="E127" i="1"/>
  <c r="E145" i="1"/>
  <c r="E157" i="1"/>
  <c r="G160" i="1"/>
  <c r="H160" i="1" s="1"/>
  <c r="I106" i="1" l="1"/>
  <c r="I137" i="1"/>
  <c r="I54" i="1"/>
  <c r="I38" i="1"/>
  <c r="I69" i="1"/>
  <c r="F106" i="1"/>
  <c r="I83" i="1"/>
  <c r="I97" i="1"/>
  <c r="I2" i="1"/>
  <c r="I146" i="1"/>
  <c r="I37" i="1"/>
  <c r="I43" i="1"/>
  <c r="I48" i="1"/>
  <c r="I136" i="1"/>
  <c r="I150" i="1"/>
  <c r="I47" i="1"/>
  <c r="I33" i="1"/>
  <c r="F146" i="1"/>
  <c r="I15" i="1"/>
  <c r="I25" i="1"/>
  <c r="F138" i="1"/>
  <c r="F97" i="1"/>
  <c r="I72" i="1"/>
  <c r="F33" i="1"/>
  <c r="I108" i="1"/>
  <c r="F137" i="1"/>
  <c r="I114" i="1"/>
  <c r="F25" i="1"/>
  <c r="I148" i="1"/>
  <c r="I32" i="1"/>
  <c r="I61" i="1"/>
  <c r="I84" i="1"/>
  <c r="F38" i="1"/>
  <c r="I16" i="1"/>
  <c r="I77" i="1"/>
  <c r="I130" i="1"/>
  <c r="I105" i="1"/>
  <c r="I76" i="1"/>
  <c r="I70" i="1"/>
  <c r="I64" i="1"/>
  <c r="F47" i="1"/>
  <c r="I122" i="1"/>
  <c r="F84" i="1"/>
  <c r="F48" i="1"/>
  <c r="I50" i="1"/>
  <c r="F76" i="1"/>
  <c r="F69" i="1"/>
  <c r="F136" i="1"/>
  <c r="I92" i="1"/>
  <c r="F16" i="1"/>
  <c r="I116" i="1"/>
  <c r="F116" i="1"/>
  <c r="I86" i="1"/>
  <c r="I13" i="1"/>
  <c r="I10" i="1"/>
  <c r="I132" i="1"/>
  <c r="I68" i="1"/>
  <c r="I11" i="1"/>
  <c r="I42" i="1"/>
  <c r="I45" i="1"/>
  <c r="F43" i="1"/>
  <c r="I7" i="1"/>
  <c r="I75" i="1"/>
  <c r="F32" i="1"/>
  <c r="I100" i="1"/>
  <c r="I35" i="1"/>
  <c r="I104" i="1"/>
  <c r="I113" i="1"/>
  <c r="I4" i="1"/>
  <c r="F68" i="1"/>
  <c r="I88" i="1"/>
  <c r="I110" i="1"/>
  <c r="I87" i="1"/>
  <c r="F87" i="1"/>
  <c r="I49" i="1"/>
  <c r="I22" i="1"/>
  <c r="I117" i="1"/>
  <c r="F132" i="1"/>
  <c r="F92" i="1"/>
  <c r="I67" i="1"/>
  <c r="I158" i="1"/>
  <c r="I60" i="1"/>
  <c r="I21" i="1"/>
  <c r="I12" i="1"/>
  <c r="I129" i="1"/>
  <c r="F83" i="1"/>
  <c r="I30" i="1"/>
  <c r="I20" i="1"/>
  <c r="I24" i="1"/>
  <c r="I29" i="1"/>
  <c r="I65" i="1"/>
  <c r="I85" i="1"/>
  <c r="I126" i="1"/>
  <c r="I94" i="1"/>
  <c r="I6" i="1"/>
  <c r="F6" i="1"/>
  <c r="I36" i="1"/>
  <c r="I52" i="1"/>
  <c r="F150" i="1"/>
  <c r="I156" i="1"/>
  <c r="F37" i="1"/>
  <c r="I44" i="1"/>
  <c r="I80" i="1"/>
  <c r="I128" i="1"/>
  <c r="I152" i="1"/>
  <c r="F128" i="1"/>
  <c r="I121" i="1"/>
  <c r="F42" i="1"/>
  <c r="I19" i="1"/>
  <c r="F86" i="1"/>
  <c r="F126" i="1"/>
  <c r="I154" i="1"/>
  <c r="I149" i="1"/>
  <c r="I14" i="1"/>
  <c r="F15" i="1"/>
  <c r="I53" i="1"/>
  <c r="F104" i="1"/>
  <c r="I96" i="1"/>
  <c r="F96" i="1"/>
  <c r="I27" i="1"/>
  <c r="I103" i="1"/>
  <c r="F103" i="1"/>
  <c r="I127" i="1"/>
  <c r="F127" i="1"/>
  <c r="I99" i="1"/>
  <c r="F99" i="1"/>
  <c r="I115" i="1"/>
  <c r="F115" i="1"/>
  <c r="I159" i="1"/>
  <c r="F159" i="1"/>
  <c r="I74" i="1"/>
  <c r="F74" i="1"/>
  <c r="I89" i="1"/>
  <c r="F89" i="1"/>
  <c r="I142" i="1"/>
  <c r="F142" i="1"/>
  <c r="I58" i="1"/>
  <c r="F58" i="1"/>
  <c r="I134" i="1"/>
  <c r="F134" i="1"/>
  <c r="I162" i="1"/>
  <c r="F162" i="1"/>
  <c r="I109" i="1"/>
  <c r="F109" i="1"/>
  <c r="I135" i="1"/>
  <c r="F135" i="1"/>
  <c r="I31" i="1"/>
  <c r="F31" i="1"/>
  <c r="I161" i="1"/>
  <c r="I55" i="1"/>
  <c r="F55" i="1"/>
  <c r="I143" i="1"/>
  <c r="F143" i="1"/>
  <c r="I51" i="1"/>
  <c r="F51" i="1"/>
  <c r="I9" i="1"/>
  <c r="I163" i="1"/>
  <c r="F163" i="1"/>
  <c r="I34" i="1"/>
  <c r="F34" i="1"/>
  <c r="I71" i="1"/>
  <c r="F71" i="1"/>
  <c r="I118" i="1"/>
  <c r="F118" i="1"/>
  <c r="I56" i="1"/>
  <c r="F56" i="1"/>
  <c r="I91" i="1"/>
  <c r="F91" i="1"/>
  <c r="I119" i="1"/>
  <c r="F119" i="1"/>
  <c r="I82" i="1"/>
  <c r="F82" i="1"/>
  <c r="I66" i="1"/>
  <c r="F66" i="1"/>
  <c r="I73" i="1"/>
  <c r="F73" i="1"/>
  <c r="I111" i="1"/>
  <c r="F111" i="1"/>
  <c r="I26" i="1"/>
  <c r="F26" i="1"/>
  <c r="I131" i="1"/>
  <c r="F131" i="1"/>
  <c r="I46" i="1"/>
  <c r="I18" i="1"/>
  <c r="F18" i="1"/>
  <c r="I90" i="1"/>
  <c r="F90" i="1"/>
  <c r="I95" i="1"/>
  <c r="F95" i="1"/>
  <c r="I93" i="1"/>
  <c r="F3" i="1"/>
  <c r="I3" i="1"/>
  <c r="E167" i="1"/>
  <c r="I140" i="1"/>
  <c r="F140" i="1"/>
  <c r="I98" i="1"/>
  <c r="F98" i="1"/>
  <c r="I125" i="1"/>
  <c r="F125" i="1"/>
  <c r="I160" i="1"/>
  <c r="F160" i="1"/>
  <c r="I153" i="1"/>
  <c r="I63" i="1"/>
  <c r="F63" i="1"/>
  <c r="I17" i="1"/>
  <c r="F17" i="1"/>
  <c r="I40" i="1"/>
  <c r="I107" i="1"/>
  <c r="I155" i="1"/>
  <c r="I23" i="1"/>
  <c r="F23" i="1"/>
  <c r="I147" i="1"/>
  <c r="F147" i="1"/>
  <c r="I39" i="1"/>
  <c r="F39" i="1"/>
  <c r="I144" i="1"/>
  <c r="I41" i="1"/>
  <c r="I145" i="1"/>
  <c r="F145" i="1"/>
  <c r="I81" i="1"/>
  <c r="F81" i="1"/>
  <c r="I79" i="1"/>
  <c r="F79" i="1"/>
  <c r="I124" i="1"/>
  <c r="F124" i="1"/>
  <c r="I57" i="1"/>
  <c r="F57" i="1"/>
  <c r="I139" i="1"/>
  <c r="F139" i="1"/>
  <c r="I28" i="1"/>
  <c r="F28" i="1"/>
  <c r="E165" i="1"/>
  <c r="I62" i="1"/>
  <c r="I78" i="1"/>
  <c r="F78" i="1"/>
  <c r="I151" i="1"/>
  <c r="F151" i="1"/>
  <c r="I8" i="1"/>
  <c r="F8" i="1"/>
  <c r="I120" i="1"/>
  <c r="F120" i="1"/>
  <c r="I112" i="1"/>
  <c r="F112" i="1"/>
  <c r="I101" i="1"/>
  <c r="I141" i="1"/>
  <c r="I157" i="1"/>
  <c r="F157" i="1"/>
  <c r="G165" i="1"/>
  <c r="G167" i="1"/>
  <c r="H2" i="1"/>
  <c r="I123" i="1"/>
  <c r="F123" i="1"/>
  <c r="I59" i="1"/>
  <c r="F59" i="1"/>
  <c r="I102" i="1"/>
  <c r="I133" i="1"/>
  <c r="I5" i="1"/>
  <c r="I167" i="1" l="1"/>
  <c r="I165" i="1"/>
  <c r="F165" i="1"/>
  <c r="F167" i="1"/>
  <c r="H167" i="1"/>
  <c r="H165" i="1"/>
  <c r="A171" i="1" l="1"/>
  <c r="B171" i="1" l="1"/>
  <c r="B207" i="1" l="1"/>
  <c r="J144" i="1"/>
  <c r="K144" i="1" s="1"/>
  <c r="L144" i="1" s="1"/>
  <c r="M144" i="1" s="1"/>
  <c r="J124" i="1"/>
  <c r="K124" i="1" s="1"/>
  <c r="L124" i="1" s="1"/>
  <c r="M124" i="1" s="1"/>
  <c r="J155" i="1"/>
  <c r="K155" i="1" s="1"/>
  <c r="L155" i="1" s="1"/>
  <c r="M155" i="1" s="1"/>
  <c r="J135" i="1"/>
  <c r="K135" i="1" s="1"/>
  <c r="L135" i="1" s="1"/>
  <c r="M135" i="1" s="1"/>
  <c r="J115" i="1"/>
  <c r="K115" i="1" s="1"/>
  <c r="L115" i="1" s="1"/>
  <c r="M115" i="1" s="1"/>
  <c r="J95" i="1"/>
  <c r="K95" i="1" s="1"/>
  <c r="L95" i="1" s="1"/>
  <c r="M95" i="1" s="1"/>
  <c r="J75" i="1"/>
  <c r="K75" i="1" s="1"/>
  <c r="L75" i="1" s="1"/>
  <c r="M75" i="1" s="1"/>
  <c r="J55" i="1"/>
  <c r="K55" i="1" s="1"/>
  <c r="L55" i="1" s="1"/>
  <c r="M55" i="1" s="1"/>
  <c r="J35" i="1"/>
  <c r="K35" i="1" s="1"/>
  <c r="L35" i="1" s="1"/>
  <c r="M35" i="1" s="1"/>
  <c r="J11" i="1"/>
  <c r="K11" i="1" s="1"/>
  <c r="L11" i="1" s="1"/>
  <c r="M11" i="1" s="1"/>
  <c r="J146" i="1"/>
  <c r="K146" i="1" s="1"/>
  <c r="L146" i="1" s="1"/>
  <c r="M146" i="1" s="1"/>
  <c r="J163" i="1"/>
  <c r="K163" i="1" s="1"/>
  <c r="L163" i="1" s="1"/>
  <c r="M163" i="1" s="1"/>
  <c r="J143" i="1"/>
  <c r="K143" i="1" s="1"/>
  <c r="L143" i="1" s="1"/>
  <c r="M143" i="1" s="1"/>
  <c r="J123" i="1"/>
  <c r="K123" i="1" s="1"/>
  <c r="L123" i="1" s="1"/>
  <c r="M123" i="1" s="1"/>
  <c r="J103" i="1"/>
  <c r="K103" i="1" s="1"/>
  <c r="L103" i="1" s="1"/>
  <c r="M103" i="1" s="1"/>
  <c r="J83" i="1"/>
  <c r="K83" i="1" s="1"/>
  <c r="L83" i="1" s="1"/>
  <c r="M83" i="1" s="1"/>
  <c r="J63" i="1"/>
  <c r="K63" i="1" s="1"/>
  <c r="L63" i="1" s="1"/>
  <c r="M63" i="1" s="1"/>
  <c r="J43" i="1"/>
  <c r="K43" i="1" s="1"/>
  <c r="L43" i="1" s="1"/>
  <c r="M43" i="1" s="1"/>
  <c r="J23" i="1"/>
  <c r="K23" i="1" s="1"/>
  <c r="L23" i="1" s="1"/>
  <c r="M23" i="1" s="1"/>
  <c r="J6" i="1"/>
  <c r="K6" i="1" s="1"/>
  <c r="L6" i="1" s="1"/>
  <c r="M6" i="1" s="1"/>
  <c r="J148" i="1"/>
  <c r="K148" i="1" s="1"/>
  <c r="L148" i="1" s="1"/>
  <c r="M148" i="1" s="1"/>
  <c r="J140" i="1"/>
  <c r="K140" i="1" s="1"/>
  <c r="L140" i="1" s="1"/>
  <c r="M140" i="1" s="1"/>
  <c r="J122" i="1"/>
  <c r="K122" i="1" s="1"/>
  <c r="L122" i="1" s="1"/>
  <c r="M122" i="1" s="1"/>
  <c r="J97" i="1"/>
  <c r="K97" i="1" s="1"/>
  <c r="L97" i="1" s="1"/>
  <c r="M97" i="1" s="1"/>
  <c r="J58" i="1"/>
  <c r="K58" i="1" s="1"/>
  <c r="L58" i="1" s="1"/>
  <c r="M58" i="1" s="1"/>
  <c r="J36" i="1"/>
  <c r="K36" i="1" s="1"/>
  <c r="L36" i="1" s="1"/>
  <c r="M36" i="1" s="1"/>
  <c r="J19" i="1"/>
  <c r="K19" i="1" s="1"/>
  <c r="L19" i="1" s="1"/>
  <c r="M19" i="1" s="1"/>
  <c r="J156" i="1"/>
  <c r="K156" i="1" s="1"/>
  <c r="L156" i="1" s="1"/>
  <c r="M156" i="1" s="1"/>
  <c r="J132" i="1"/>
  <c r="K132" i="1" s="1"/>
  <c r="L132" i="1" s="1"/>
  <c r="M132" i="1" s="1"/>
  <c r="J127" i="1"/>
  <c r="K127" i="1" s="1"/>
  <c r="L127" i="1" s="1"/>
  <c r="M127" i="1" s="1"/>
  <c r="J114" i="1"/>
  <c r="K114" i="1" s="1"/>
  <c r="L114" i="1" s="1"/>
  <c r="M114" i="1" s="1"/>
  <c r="J109" i="1"/>
  <c r="K109" i="1" s="1"/>
  <c r="L109" i="1" s="1"/>
  <c r="M109" i="1" s="1"/>
  <c r="J147" i="1"/>
  <c r="K147" i="1" s="1"/>
  <c r="L147" i="1" s="1"/>
  <c r="M147" i="1" s="1"/>
  <c r="J131" i="1"/>
  <c r="K131" i="1" s="1"/>
  <c r="L131" i="1" s="1"/>
  <c r="M131" i="1" s="1"/>
  <c r="J108" i="1"/>
  <c r="K108" i="1" s="1"/>
  <c r="L108" i="1" s="1"/>
  <c r="M108" i="1" s="1"/>
  <c r="J91" i="1"/>
  <c r="K91" i="1" s="1"/>
  <c r="L91" i="1" s="1"/>
  <c r="M91" i="1" s="1"/>
  <c r="J69" i="1"/>
  <c r="K69" i="1" s="1"/>
  <c r="L69" i="1" s="1"/>
  <c r="M69" i="1" s="1"/>
  <c r="J52" i="1"/>
  <c r="K52" i="1" s="1"/>
  <c r="L52" i="1" s="1"/>
  <c r="M52" i="1" s="1"/>
  <c r="J30" i="1"/>
  <c r="K30" i="1" s="1"/>
  <c r="L30" i="1" s="1"/>
  <c r="M30" i="1" s="1"/>
  <c r="J18" i="1"/>
  <c r="K18" i="1" s="1"/>
  <c r="L18" i="1" s="1"/>
  <c r="M18" i="1" s="1"/>
  <c r="B209" i="1"/>
  <c r="J106" i="1"/>
  <c r="K106" i="1" s="1"/>
  <c r="L106" i="1" s="1"/>
  <c r="M106" i="1" s="1"/>
  <c r="J87" i="1"/>
  <c r="K87" i="1" s="1"/>
  <c r="L87" i="1" s="1"/>
  <c r="M87" i="1" s="1"/>
  <c r="J79" i="1"/>
  <c r="K79" i="1" s="1"/>
  <c r="L79" i="1" s="1"/>
  <c r="M79" i="1" s="1"/>
  <c r="J71" i="1"/>
  <c r="K71" i="1" s="1"/>
  <c r="L71" i="1" s="1"/>
  <c r="M71" i="1" s="1"/>
  <c r="J31" i="1"/>
  <c r="K31" i="1" s="1"/>
  <c r="L31" i="1" s="1"/>
  <c r="M31" i="1" s="1"/>
  <c r="J15" i="1"/>
  <c r="K15" i="1" s="1"/>
  <c r="L15" i="1" s="1"/>
  <c r="M15" i="1" s="1"/>
  <c r="J100" i="1"/>
  <c r="K100" i="1" s="1"/>
  <c r="L100" i="1" s="1"/>
  <c r="M100" i="1" s="1"/>
  <c r="J141" i="1"/>
  <c r="K141" i="1" s="1"/>
  <c r="L141" i="1" s="1"/>
  <c r="M141" i="1" s="1"/>
  <c r="J138" i="1"/>
  <c r="K138" i="1" s="1"/>
  <c r="L138" i="1" s="1"/>
  <c r="M138" i="1" s="1"/>
  <c r="J129" i="1"/>
  <c r="K129" i="1" s="1"/>
  <c r="L129" i="1" s="1"/>
  <c r="M129" i="1" s="1"/>
  <c r="J60" i="1"/>
  <c r="K60" i="1" s="1"/>
  <c r="L60" i="1" s="1"/>
  <c r="M60" i="1" s="1"/>
  <c r="J20" i="1"/>
  <c r="K20" i="1" s="1"/>
  <c r="L20" i="1" s="1"/>
  <c r="M20" i="1" s="1"/>
  <c r="J150" i="1"/>
  <c r="K150" i="1" s="1"/>
  <c r="L150" i="1" s="1"/>
  <c r="M150" i="1" s="1"/>
  <c r="J76" i="1"/>
  <c r="K76" i="1" s="1"/>
  <c r="L76" i="1" s="1"/>
  <c r="M76" i="1" s="1"/>
  <c r="J68" i="1"/>
  <c r="K68" i="1" s="1"/>
  <c r="L68" i="1" s="1"/>
  <c r="M68" i="1" s="1"/>
  <c r="J44" i="1"/>
  <c r="K44" i="1" s="1"/>
  <c r="L44" i="1" s="1"/>
  <c r="M44" i="1" s="1"/>
  <c r="J28" i="1"/>
  <c r="K28" i="1" s="1"/>
  <c r="L28" i="1" s="1"/>
  <c r="M28" i="1" s="1"/>
  <c r="J10" i="1"/>
  <c r="K10" i="1" s="1"/>
  <c r="L10" i="1" s="1"/>
  <c r="M10" i="1" s="1"/>
  <c r="J5" i="1"/>
  <c r="K5" i="1" s="1"/>
  <c r="L5" i="1" s="1"/>
  <c r="M5" i="1" s="1"/>
  <c r="J137" i="1"/>
  <c r="K137" i="1" s="1"/>
  <c r="L137" i="1" s="1"/>
  <c r="M137" i="1" s="1"/>
  <c r="J134" i="1"/>
  <c r="K134" i="1" s="1"/>
  <c r="L134" i="1" s="1"/>
  <c r="M134" i="1" s="1"/>
  <c r="J105" i="1"/>
  <c r="K105" i="1" s="1"/>
  <c r="L105" i="1" s="1"/>
  <c r="M105" i="1" s="1"/>
  <c r="J94" i="1"/>
  <c r="K94" i="1" s="1"/>
  <c r="L94" i="1" s="1"/>
  <c r="M94" i="1" s="1"/>
  <c r="J86" i="1"/>
  <c r="K86" i="1" s="1"/>
  <c r="L86" i="1" s="1"/>
  <c r="M86" i="1" s="1"/>
  <c r="J78" i="1"/>
  <c r="K78" i="1" s="1"/>
  <c r="L78" i="1" s="1"/>
  <c r="M78" i="1" s="1"/>
  <c r="J70" i="1"/>
  <c r="K70" i="1" s="1"/>
  <c r="L70" i="1" s="1"/>
  <c r="M70" i="1" s="1"/>
  <c r="J62" i="1"/>
  <c r="K62" i="1" s="1"/>
  <c r="L62" i="1" s="1"/>
  <c r="M62" i="1" s="1"/>
  <c r="J46" i="1"/>
  <c r="K46" i="1" s="1"/>
  <c r="L46" i="1" s="1"/>
  <c r="M46" i="1" s="1"/>
  <c r="J38" i="1"/>
  <c r="K38" i="1" s="1"/>
  <c r="L38" i="1" s="1"/>
  <c r="M38" i="1" s="1"/>
  <c r="J22" i="1"/>
  <c r="K22" i="1" s="1"/>
  <c r="L22" i="1" s="1"/>
  <c r="M22" i="1" s="1"/>
  <c r="J152" i="1"/>
  <c r="K152" i="1" s="1"/>
  <c r="L152" i="1" s="1"/>
  <c r="M152" i="1" s="1"/>
  <c r="J125" i="1"/>
  <c r="K125" i="1" s="1"/>
  <c r="L125" i="1" s="1"/>
  <c r="M125" i="1" s="1"/>
  <c r="J111" i="1"/>
  <c r="K111" i="1" s="1"/>
  <c r="L111" i="1" s="1"/>
  <c r="M111" i="1" s="1"/>
  <c r="J88" i="1"/>
  <c r="K88" i="1" s="1"/>
  <c r="L88" i="1" s="1"/>
  <c r="M88" i="1" s="1"/>
  <c r="J45" i="1"/>
  <c r="K45" i="1" s="1"/>
  <c r="L45" i="1" s="1"/>
  <c r="M45" i="1" s="1"/>
  <c r="J26" i="1"/>
  <c r="K26" i="1" s="1"/>
  <c r="L26" i="1" s="1"/>
  <c r="M26" i="1" s="1"/>
  <c r="B208" i="1"/>
  <c r="J136" i="1"/>
  <c r="K136" i="1" s="1"/>
  <c r="L136" i="1" s="1"/>
  <c r="M136" i="1" s="1"/>
  <c r="J118" i="1"/>
  <c r="K118" i="1" s="1"/>
  <c r="L118" i="1" s="1"/>
  <c r="M118" i="1" s="1"/>
  <c r="J81" i="1"/>
  <c r="K81" i="1" s="1"/>
  <c r="L81" i="1" s="1"/>
  <c r="M81" i="1" s="1"/>
  <c r="J48" i="1"/>
  <c r="K48" i="1" s="1"/>
  <c r="L48" i="1" s="1"/>
  <c r="M48" i="1" s="1"/>
  <c r="J128" i="1"/>
  <c r="K128" i="1" s="1"/>
  <c r="L128" i="1" s="1"/>
  <c r="M128" i="1" s="1"/>
  <c r="J104" i="1"/>
  <c r="K104" i="1" s="1"/>
  <c r="L104" i="1" s="1"/>
  <c r="M104" i="1" s="1"/>
  <c r="J61" i="1"/>
  <c r="K61" i="1" s="1"/>
  <c r="L61" i="1" s="1"/>
  <c r="M61" i="1" s="1"/>
  <c r="J51" i="1"/>
  <c r="K51" i="1" s="1"/>
  <c r="L51" i="1" s="1"/>
  <c r="M51" i="1" s="1"/>
  <c r="J29" i="1"/>
  <c r="K29" i="1" s="1"/>
  <c r="L29" i="1" s="1"/>
  <c r="M29" i="1" s="1"/>
  <c r="J120" i="1"/>
  <c r="K120" i="1" s="1"/>
  <c r="L120" i="1" s="1"/>
  <c r="M120" i="1" s="1"/>
  <c r="J93" i="1"/>
  <c r="K93" i="1" s="1"/>
  <c r="L93" i="1" s="1"/>
  <c r="M93" i="1" s="1"/>
  <c r="J50" i="1"/>
  <c r="K50" i="1" s="1"/>
  <c r="L50" i="1" s="1"/>
  <c r="M50" i="1" s="1"/>
  <c r="J47" i="1"/>
  <c r="K47" i="1" s="1"/>
  <c r="L47" i="1" s="1"/>
  <c r="M47" i="1" s="1"/>
  <c r="J40" i="1"/>
  <c r="K40" i="1" s="1"/>
  <c r="L40" i="1" s="1"/>
  <c r="M40" i="1" s="1"/>
  <c r="J9" i="1"/>
  <c r="K9" i="1" s="1"/>
  <c r="L9" i="1" s="1"/>
  <c r="M9" i="1" s="1"/>
  <c r="B205" i="1"/>
  <c r="J99" i="1"/>
  <c r="K99" i="1" s="1"/>
  <c r="L99" i="1" s="1"/>
  <c r="M99" i="1" s="1"/>
  <c r="J73" i="1"/>
  <c r="K73" i="1" s="1"/>
  <c r="L73" i="1" s="1"/>
  <c r="M73" i="1" s="1"/>
  <c r="J56" i="1"/>
  <c r="K56" i="1" s="1"/>
  <c r="L56" i="1" s="1"/>
  <c r="M56" i="1" s="1"/>
  <c r="J53" i="1"/>
  <c r="K53" i="1" s="1"/>
  <c r="L53" i="1" s="1"/>
  <c r="M53" i="1" s="1"/>
  <c r="J21" i="1"/>
  <c r="K21" i="1" s="1"/>
  <c r="L21" i="1" s="1"/>
  <c r="M21" i="1" s="1"/>
  <c r="J3" i="1"/>
  <c r="K3" i="1" s="1"/>
  <c r="L3" i="1" s="1"/>
  <c r="M3" i="1" s="1"/>
  <c r="J161" i="1"/>
  <c r="K161" i="1" s="1"/>
  <c r="L161" i="1" s="1"/>
  <c r="M161" i="1" s="1"/>
  <c r="J130" i="1"/>
  <c r="K130" i="1" s="1"/>
  <c r="L130" i="1" s="1"/>
  <c r="M130" i="1" s="1"/>
  <c r="J59" i="1"/>
  <c r="K59" i="1" s="1"/>
  <c r="L59" i="1" s="1"/>
  <c r="M59" i="1" s="1"/>
  <c r="J96" i="1"/>
  <c r="K96" i="1" s="1"/>
  <c r="L96" i="1" s="1"/>
  <c r="M96" i="1" s="1"/>
  <c r="J37" i="1"/>
  <c r="K37" i="1" s="1"/>
  <c r="L37" i="1" s="1"/>
  <c r="M37" i="1" s="1"/>
  <c r="J34" i="1"/>
  <c r="K34" i="1" s="1"/>
  <c r="L34" i="1" s="1"/>
  <c r="M34" i="1" s="1"/>
  <c r="J12" i="1"/>
  <c r="K12" i="1" s="1"/>
  <c r="L12" i="1" s="1"/>
  <c r="M12" i="1" s="1"/>
  <c r="J116" i="1"/>
  <c r="K116" i="1" s="1"/>
  <c r="L116" i="1" s="1"/>
  <c r="M116" i="1" s="1"/>
  <c r="J157" i="1"/>
  <c r="K157" i="1" s="1"/>
  <c r="L157" i="1" s="1"/>
  <c r="M157" i="1" s="1"/>
  <c r="J142" i="1"/>
  <c r="K142" i="1" s="1"/>
  <c r="L142" i="1" s="1"/>
  <c r="M142" i="1" s="1"/>
  <c r="J102" i="1"/>
  <c r="K102" i="1" s="1"/>
  <c r="L102" i="1" s="1"/>
  <c r="M102" i="1" s="1"/>
  <c r="J159" i="1"/>
  <c r="K159" i="1" s="1"/>
  <c r="L159" i="1" s="1"/>
  <c r="M159" i="1" s="1"/>
  <c r="J107" i="1"/>
  <c r="K107" i="1" s="1"/>
  <c r="L107" i="1" s="1"/>
  <c r="M107" i="1" s="1"/>
  <c r="J90" i="1"/>
  <c r="K90" i="1" s="1"/>
  <c r="L90" i="1" s="1"/>
  <c r="M90" i="1" s="1"/>
  <c r="J82" i="1"/>
  <c r="K82" i="1" s="1"/>
  <c r="L82" i="1" s="1"/>
  <c r="M82" i="1" s="1"/>
  <c r="J74" i="1"/>
  <c r="K74" i="1" s="1"/>
  <c r="L74" i="1" s="1"/>
  <c r="M74" i="1" s="1"/>
  <c r="J32" i="1"/>
  <c r="K32" i="1" s="1"/>
  <c r="L32" i="1" s="1"/>
  <c r="M32" i="1" s="1"/>
  <c r="J154" i="1"/>
  <c r="K154" i="1" s="1"/>
  <c r="L154" i="1" s="1"/>
  <c r="M154" i="1" s="1"/>
  <c r="J98" i="1"/>
  <c r="K98" i="1" s="1"/>
  <c r="L98" i="1" s="1"/>
  <c r="M98" i="1" s="1"/>
  <c r="J57" i="1"/>
  <c r="K57" i="1" s="1"/>
  <c r="L57" i="1" s="1"/>
  <c r="M57" i="1" s="1"/>
  <c r="J7" i="1"/>
  <c r="K7" i="1" s="1"/>
  <c r="L7" i="1" s="1"/>
  <c r="M7" i="1" s="1"/>
  <c r="J145" i="1"/>
  <c r="K145" i="1" s="1"/>
  <c r="L145" i="1" s="1"/>
  <c r="M145" i="1" s="1"/>
  <c r="J119" i="1"/>
  <c r="K119" i="1" s="1"/>
  <c r="L119" i="1" s="1"/>
  <c r="M119" i="1" s="1"/>
  <c r="J27" i="1"/>
  <c r="K27" i="1" s="1"/>
  <c r="L27" i="1" s="1"/>
  <c r="M27" i="1" s="1"/>
  <c r="J139" i="1"/>
  <c r="K139" i="1" s="1"/>
  <c r="L139" i="1" s="1"/>
  <c r="M139" i="1" s="1"/>
  <c r="J110" i="1"/>
  <c r="K110" i="1" s="1"/>
  <c r="L110" i="1" s="1"/>
  <c r="M110" i="1" s="1"/>
  <c r="J77" i="1"/>
  <c r="K77" i="1" s="1"/>
  <c r="L77" i="1" s="1"/>
  <c r="M77" i="1" s="1"/>
  <c r="J65" i="1"/>
  <c r="K65" i="1" s="1"/>
  <c r="L65" i="1" s="1"/>
  <c r="M65" i="1" s="1"/>
  <c r="B206" i="1"/>
  <c r="J149" i="1"/>
  <c r="K149" i="1" s="1"/>
  <c r="L149" i="1" s="1"/>
  <c r="M149" i="1" s="1"/>
  <c r="J89" i="1"/>
  <c r="K89" i="1" s="1"/>
  <c r="L89" i="1" s="1"/>
  <c r="M89" i="1" s="1"/>
  <c r="J158" i="1"/>
  <c r="K158" i="1" s="1"/>
  <c r="L158" i="1" s="1"/>
  <c r="M158" i="1" s="1"/>
  <c r="J133" i="1"/>
  <c r="K133" i="1" s="1"/>
  <c r="L133" i="1" s="1"/>
  <c r="M133" i="1" s="1"/>
  <c r="J14" i="1"/>
  <c r="K14" i="1" s="1"/>
  <c r="L14" i="1" s="1"/>
  <c r="M14" i="1" s="1"/>
  <c r="J153" i="1"/>
  <c r="K153" i="1" s="1"/>
  <c r="L153" i="1" s="1"/>
  <c r="M153" i="1" s="1"/>
  <c r="J85" i="1"/>
  <c r="K85" i="1" s="1"/>
  <c r="L85" i="1" s="1"/>
  <c r="M85" i="1" s="1"/>
  <c r="J101" i="1"/>
  <c r="K101" i="1" s="1"/>
  <c r="L101" i="1" s="1"/>
  <c r="M101" i="1" s="1"/>
  <c r="J2" i="1"/>
  <c r="J113" i="1"/>
  <c r="K113" i="1" s="1"/>
  <c r="L113" i="1" s="1"/>
  <c r="M113" i="1" s="1"/>
  <c r="J92" i="1"/>
  <c r="K92" i="1" s="1"/>
  <c r="L92" i="1" s="1"/>
  <c r="M92" i="1" s="1"/>
  <c r="J72" i="1"/>
  <c r="K72" i="1" s="1"/>
  <c r="L72" i="1" s="1"/>
  <c r="M72" i="1" s="1"/>
  <c r="J39" i="1"/>
  <c r="K39" i="1" s="1"/>
  <c r="L39" i="1" s="1"/>
  <c r="M39" i="1" s="1"/>
  <c r="J17" i="1"/>
  <c r="K17" i="1" s="1"/>
  <c r="L17" i="1" s="1"/>
  <c r="M17" i="1" s="1"/>
  <c r="J54" i="1"/>
  <c r="K54" i="1" s="1"/>
  <c r="L54" i="1" s="1"/>
  <c r="M54" i="1" s="1"/>
  <c r="J160" i="1"/>
  <c r="K160" i="1" s="1"/>
  <c r="L160" i="1" s="1"/>
  <c r="M160" i="1" s="1"/>
  <c r="J33" i="1"/>
  <c r="K33" i="1" s="1"/>
  <c r="L33" i="1" s="1"/>
  <c r="M33" i="1" s="1"/>
  <c r="J16" i="1"/>
  <c r="K16" i="1" s="1"/>
  <c r="L16" i="1" s="1"/>
  <c r="M16" i="1" s="1"/>
  <c r="J64" i="1"/>
  <c r="K64" i="1" s="1"/>
  <c r="L64" i="1" s="1"/>
  <c r="M64" i="1" s="1"/>
  <c r="J112" i="1"/>
  <c r="K112" i="1" s="1"/>
  <c r="L112" i="1" s="1"/>
  <c r="M112" i="1" s="1"/>
  <c r="J13" i="1"/>
  <c r="K13" i="1" s="1"/>
  <c r="L13" i="1" s="1"/>
  <c r="M13" i="1" s="1"/>
  <c r="J8" i="1"/>
  <c r="K8" i="1" s="1"/>
  <c r="L8" i="1" s="1"/>
  <c r="M8" i="1" s="1"/>
  <c r="J117" i="1"/>
  <c r="K117" i="1" s="1"/>
  <c r="L117" i="1" s="1"/>
  <c r="M117" i="1" s="1"/>
  <c r="J49" i="1"/>
  <c r="K49" i="1" s="1"/>
  <c r="L49" i="1" s="1"/>
  <c r="M49" i="1" s="1"/>
  <c r="J80" i="1"/>
  <c r="K80" i="1" s="1"/>
  <c r="L80" i="1" s="1"/>
  <c r="M80" i="1" s="1"/>
  <c r="J4" i="1"/>
  <c r="K4" i="1" s="1"/>
  <c r="L4" i="1" s="1"/>
  <c r="M4" i="1" s="1"/>
  <c r="J162" i="1"/>
  <c r="K162" i="1" s="1"/>
  <c r="L162" i="1" s="1"/>
  <c r="M162" i="1" s="1"/>
  <c r="J24" i="1"/>
  <c r="K24" i="1" s="1"/>
  <c r="L24" i="1" s="1"/>
  <c r="M24" i="1" s="1"/>
  <c r="J84" i="1"/>
  <c r="K84" i="1" s="1"/>
  <c r="L84" i="1" s="1"/>
  <c r="M84" i="1" s="1"/>
  <c r="J121" i="1"/>
  <c r="K121" i="1" s="1"/>
  <c r="L121" i="1" s="1"/>
  <c r="M121" i="1" s="1"/>
  <c r="J126" i="1"/>
  <c r="K126" i="1" s="1"/>
  <c r="L126" i="1" s="1"/>
  <c r="M126" i="1" s="1"/>
  <c r="J42" i="1"/>
  <c r="K42" i="1" s="1"/>
  <c r="L42" i="1" s="1"/>
  <c r="M42" i="1" s="1"/>
  <c r="J67" i="1"/>
  <c r="K67" i="1" s="1"/>
  <c r="L67" i="1" s="1"/>
  <c r="M67" i="1" s="1"/>
  <c r="J25" i="1"/>
  <c r="K25" i="1" s="1"/>
  <c r="L25" i="1" s="1"/>
  <c r="M25" i="1" s="1"/>
  <c r="J151" i="1"/>
  <c r="K151" i="1" s="1"/>
  <c r="L151" i="1" s="1"/>
  <c r="M151" i="1" s="1"/>
  <c r="J41" i="1"/>
  <c r="K41" i="1" s="1"/>
  <c r="L41" i="1" s="1"/>
  <c r="M41" i="1" s="1"/>
  <c r="J66" i="1"/>
  <c r="K66" i="1" s="1"/>
  <c r="L66" i="1" s="1"/>
  <c r="M66" i="1" s="1"/>
  <c r="J165" i="1" l="1"/>
  <c r="J167" i="1"/>
  <c r="K2" i="1"/>
  <c r="K165" i="1" l="1"/>
  <c r="K167" i="1"/>
  <c r="L2" i="1"/>
  <c r="L167" i="1" l="1"/>
  <c r="L165" i="1"/>
  <c r="A190" i="1" s="1"/>
  <c r="M2" i="1"/>
  <c r="M167" i="1" l="1"/>
  <c r="M165" i="1"/>
  <c r="B200" i="1"/>
  <c r="C189" i="1"/>
  <c r="C193" i="1" l="1"/>
  <c r="C195" i="1"/>
  <c r="C197" i="1"/>
  <c r="C171" i="1"/>
  <c r="F206" i="1"/>
  <c r="G205" i="1"/>
  <c r="E206" i="1"/>
  <c r="H209" i="1"/>
  <c r="D206" i="1"/>
  <c r="G209" i="1"/>
  <c r="H206" i="1"/>
  <c r="F209" i="1"/>
  <c r="G206" i="1"/>
  <c r="E209" i="1"/>
  <c r="C206" i="1"/>
  <c r="D209" i="1"/>
  <c r="C209" i="1"/>
  <c r="G207" i="1"/>
  <c r="F207" i="1"/>
  <c r="E208" i="1"/>
  <c r="E207" i="1"/>
  <c r="C208" i="1"/>
  <c r="F205" i="1"/>
  <c r="C205" i="1"/>
  <c r="E205" i="1"/>
  <c r="D205" i="1"/>
  <c r="H205" i="1"/>
  <c r="D208" i="1"/>
  <c r="H207" i="1"/>
  <c r="H208" i="1"/>
  <c r="D207" i="1"/>
  <c r="G208" i="1"/>
  <c r="C207" i="1"/>
  <c r="F208" i="1"/>
  <c r="D171" i="1" l="1"/>
  <c r="C187" i="1"/>
  <c r="C186" i="1"/>
  <c r="C182" i="1"/>
  <c r="C185" i="1"/>
  <c r="C184" i="1"/>
  <c r="E171" i="1"/>
  <c r="C183" i="1"/>
  <c r="C177" i="1" l="1"/>
  <c r="C178" i="1"/>
  <c r="C176" i="1"/>
  <c r="D187" i="1"/>
  <c r="D186" i="1"/>
  <c r="D182" i="1"/>
  <c r="D184" i="1"/>
  <c r="D185" i="1"/>
  <c r="F171" i="1"/>
  <c r="D183" i="1"/>
  <c r="D177" i="1" l="1"/>
  <c r="D178" i="1"/>
  <c r="D176" i="1"/>
</calcChain>
</file>

<file path=xl/sharedStrings.xml><?xml version="1.0" encoding="utf-8"?>
<sst xmlns="http://schemas.openxmlformats.org/spreadsheetml/2006/main" count="67" uniqueCount="36">
  <si>
    <t>t</t>
  </si>
  <si>
    <t>xt</t>
  </si>
  <si>
    <t>yt</t>
  </si>
  <si>
    <t>xₜ²</t>
  </si>
  <si>
    <t>xₜ−x̄</t>
  </si>
  <si>
    <t>(xₜ−x̄)²</t>
  </si>
  <si>
    <t>yₜ−ȳ</t>
  </si>
  <si>
    <t>(yₜ−ȳ)²</t>
  </si>
  <si>
    <t>(xₜ−x̄)(yₜ−ȳ)</t>
  </si>
  <si>
    <t>ŷₜ</t>
  </si>
  <si>
    <t>eₜ</t>
  </si>
  <si>
    <t>eₜ²</t>
  </si>
  <si>
    <t>sₜ²</t>
  </si>
  <si>
    <t>T</t>
  </si>
  <si>
    <t>Сумма</t>
  </si>
  <si>
    <t>Среднее</t>
  </si>
  <si>
    <t>â₁</t>
  </si>
  <si>
    <t>â₀</t>
  </si>
  <si>
    <t>s²_â₁</t>
  </si>
  <si>
    <t>s²_â₀</t>
  </si>
  <si>
    <t>t_â₁</t>
  </si>
  <si>
    <t>t_â₀</t>
  </si>
  <si>
    <t>γ</t>
  </si>
  <si>
    <t>Квантиль распределения Стьюдента</t>
  </si>
  <si>
    <t>статическая значимость  t_â₁</t>
  </si>
  <si>
    <t>статическаяя и значимость t_â₀</t>
  </si>
  <si>
    <t>гран</t>
  </si>
  <si>
    <t>левая гран.</t>
  </si>
  <si>
    <t>правая гран.</t>
  </si>
  <si>
    <t>Коэффициент детерминации модели</t>
  </si>
  <si>
    <t>Квантиль распределения Фишера</t>
  </si>
  <si>
    <t>Статическая значимость R²</t>
  </si>
  <si>
    <t>FR²</t>
  </si>
  <si>
    <t>xпр</t>
  </si>
  <si>
    <t>ŷпр</t>
  </si>
  <si>
    <t>Остатки распределены случайно вокруг нуля, закономерности не видно;  распределение остатков визуально соответствует случайному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</si>
</sst>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горизонтально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данные</c:v>
          </c:tx>
          <c:spPr>
            <a:ln w="47625">
              <a:noFill/>
            </a:ln>
          </c:spPr>
          <c:marker/>
          <c:dPt>
            <c:idx val="0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2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3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4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5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6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7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8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9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0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1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2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3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4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5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6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7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8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9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20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21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22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23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24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25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26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27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28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29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30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31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32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33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34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35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36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37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38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39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40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41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42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43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44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45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46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47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48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49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50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51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52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53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54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55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56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57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58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59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60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61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62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63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64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65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66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67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68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69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70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71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72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73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74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75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76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77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78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79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80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81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82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83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84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85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86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87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88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89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90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91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92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93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94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95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96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97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98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99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00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01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02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03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04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05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06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07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08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09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10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11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12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13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14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15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16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17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18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19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20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21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22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23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24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25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26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27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28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29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30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31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32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33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34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35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36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37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38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39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40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41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42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43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44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45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46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47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48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49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50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51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52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53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54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55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56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57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58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59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60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dPt>
            <c:idx val="161"/>
            <c:bubble3D val="0"/>
            <c:spPr>
              <a:ln w="47625" cap="rnd" cmpd="sng" algn="ctr">
                <a:noFill/>
                <a:prstDash val="solid"/>
                <a:round/>
              </a:ln>
              <a:effectLst/>
            </c:spPr>
          </c:dPt>
          <c:xVal>
            <c:numRef>
              <c:f>Лист1!$B$2:$B$163</c:f>
              <c:numCache>
                <c:formatCode>#\ ##0.0000</c:formatCode>
                <c:ptCount val="162"/>
                <c:pt idx="0">
                  <c:v>62.98</c:v>
                </c:pt>
                <c:pt idx="1">
                  <c:v>57.354999999999997</c:v>
                </c:pt>
                <c:pt idx="2">
                  <c:v>76.152900000000002</c:v>
                </c:pt>
                <c:pt idx="3">
                  <c:v>75.278099999999995</c:v>
                </c:pt>
                <c:pt idx="4">
                  <c:v>75.301000000000002</c:v>
                </c:pt>
                <c:pt idx="5">
                  <c:v>76.7286</c:v>
                </c:pt>
                <c:pt idx="6">
                  <c:v>72.882400000000004</c:v>
                </c:pt>
                <c:pt idx="7">
                  <c:v>72.150599999999997</c:v>
                </c:pt>
                <c:pt idx="8">
                  <c:v>78.798199999999994</c:v>
                </c:pt>
                <c:pt idx="9">
                  <c:v>71.974199999999996</c:v>
                </c:pt>
                <c:pt idx="10">
                  <c:v>69.6691</c:v>
                </c:pt>
                <c:pt idx="11">
                  <c:v>60.8765</c:v>
                </c:pt>
                <c:pt idx="12">
                  <c:v>64.879300000000001</c:v>
                </c:pt>
                <c:pt idx="13">
                  <c:v>63.478499999999997</c:v>
                </c:pt>
                <c:pt idx="14">
                  <c:v>71.8142</c:v>
                </c:pt>
                <c:pt idx="15">
                  <c:v>71.442300000000003</c:v>
                </c:pt>
                <c:pt idx="16">
                  <c:v>71.744900000000001</c:v>
                </c:pt>
                <c:pt idx="17">
                  <c:v>64.269900000000007</c:v>
                </c:pt>
                <c:pt idx="18">
                  <c:v>62.916200000000003</c:v>
                </c:pt>
                <c:pt idx="19">
                  <c:v>66.007099999999994</c:v>
                </c:pt>
                <c:pt idx="20">
                  <c:v>69.711299999999994</c:v>
                </c:pt>
                <c:pt idx="21">
                  <c:v>76.858999999999995</c:v>
                </c:pt>
                <c:pt idx="22">
                  <c:v>70.775700000000001</c:v>
                </c:pt>
                <c:pt idx="23">
                  <c:v>67.8215</c:v>
                </c:pt>
                <c:pt idx="24">
                  <c:v>67.8215</c:v>
                </c:pt>
                <c:pt idx="25">
                  <c:v>60.703000000000003</c:v>
                </c:pt>
                <c:pt idx="26">
                  <c:v>60.701999999999998</c:v>
                </c:pt>
                <c:pt idx="27">
                  <c:v>60.703000000000003</c:v>
                </c:pt>
                <c:pt idx="28">
                  <c:v>74.418099999999995</c:v>
                </c:pt>
                <c:pt idx="29">
                  <c:v>71.216099999999997</c:v>
                </c:pt>
                <c:pt idx="30">
                  <c:v>76.843999999999994</c:v>
                </c:pt>
                <c:pt idx="31">
                  <c:v>82.331000000000003</c:v>
                </c:pt>
                <c:pt idx="32">
                  <c:v>62.957999999999998</c:v>
                </c:pt>
                <c:pt idx="33">
                  <c:v>73.947999999999993</c:v>
                </c:pt>
                <c:pt idx="34">
                  <c:v>72.278000000000006</c:v>
                </c:pt>
                <c:pt idx="35">
                  <c:v>83.3</c:v>
                </c:pt>
                <c:pt idx="36">
                  <c:v>81.190200000000004</c:v>
                </c:pt>
                <c:pt idx="37">
                  <c:v>70.998999999999995</c:v>
                </c:pt>
                <c:pt idx="38">
                  <c:v>70.751999999999995</c:v>
                </c:pt>
                <c:pt idx="39">
                  <c:v>71.102999999999994</c:v>
                </c:pt>
                <c:pt idx="40">
                  <c:v>76.58</c:v>
                </c:pt>
                <c:pt idx="41">
                  <c:v>72.0715</c:v>
                </c:pt>
                <c:pt idx="42">
                  <c:v>81.790199999999999</c:v>
                </c:pt>
                <c:pt idx="43">
                  <c:v>70.917000000000002</c:v>
                </c:pt>
                <c:pt idx="44">
                  <c:v>59.61</c:v>
                </c:pt>
                <c:pt idx="45">
                  <c:v>72.447999999999993</c:v>
                </c:pt>
                <c:pt idx="46">
                  <c:v>61.427</c:v>
                </c:pt>
                <c:pt idx="47">
                  <c:v>74.566999999999993</c:v>
                </c:pt>
                <c:pt idx="48">
                  <c:v>63.302999999999997</c:v>
                </c:pt>
                <c:pt idx="49">
                  <c:v>73.037999999999997</c:v>
                </c:pt>
                <c:pt idx="50">
                  <c:v>71.212199999999996</c:v>
                </c:pt>
                <c:pt idx="51">
                  <c:v>60.045999999999999</c:v>
                </c:pt>
                <c:pt idx="52">
                  <c:v>74.424000000000007</c:v>
                </c:pt>
                <c:pt idx="53">
                  <c:v>69.301000000000002</c:v>
                </c:pt>
                <c:pt idx="54">
                  <c:v>61.146000000000001</c:v>
                </c:pt>
                <c:pt idx="55">
                  <c:v>81.451499999999996</c:v>
                </c:pt>
                <c:pt idx="56">
                  <c:v>53.136000000000003</c:v>
                </c:pt>
                <c:pt idx="57">
                  <c:v>78.876000000000005</c:v>
                </c:pt>
                <c:pt idx="58">
                  <c:v>72.697999999999993</c:v>
                </c:pt>
                <c:pt idx="59">
                  <c:v>60.043999999999997</c:v>
                </c:pt>
                <c:pt idx="60">
                  <c:v>78.05</c:v>
                </c:pt>
                <c:pt idx="61">
                  <c:v>60.29</c:v>
                </c:pt>
                <c:pt idx="62">
                  <c:v>76.424400000000006</c:v>
                </c:pt>
                <c:pt idx="63">
                  <c:v>73.200999999999993</c:v>
                </c:pt>
                <c:pt idx="64">
                  <c:v>80.572999999999993</c:v>
                </c:pt>
                <c:pt idx="65">
                  <c:v>77.221999999999994</c:v>
                </c:pt>
                <c:pt idx="66">
                  <c:v>81.404899999999998</c:v>
                </c:pt>
                <c:pt idx="67">
                  <c:v>69.831999999999994</c:v>
                </c:pt>
                <c:pt idx="68">
                  <c:v>71.757000000000005</c:v>
                </c:pt>
                <c:pt idx="69">
                  <c:v>72.745999999999995</c:v>
                </c:pt>
                <c:pt idx="70">
                  <c:v>68.975999999999999</c:v>
                </c:pt>
                <c:pt idx="71">
                  <c:v>69.941000000000003</c:v>
                </c:pt>
                <c:pt idx="72">
                  <c:v>76.943899999999999</c:v>
                </c:pt>
                <c:pt idx="73">
                  <c:v>64.903999999999996</c:v>
                </c:pt>
                <c:pt idx="74">
                  <c:v>81.885400000000004</c:v>
                </c:pt>
                <c:pt idx="75">
                  <c:v>82.324399999999997</c:v>
                </c:pt>
                <c:pt idx="76">
                  <c:v>63.847000000000001</c:v>
                </c:pt>
                <c:pt idx="77">
                  <c:v>71.635000000000005</c:v>
                </c:pt>
                <c:pt idx="78">
                  <c:v>80.790199999999999</c:v>
                </c:pt>
                <c:pt idx="79">
                  <c:v>64.286000000000001</c:v>
                </c:pt>
                <c:pt idx="80">
                  <c:v>80.082899999999995</c:v>
                </c:pt>
                <c:pt idx="81">
                  <c:v>74.522000000000006</c:v>
                </c:pt>
                <c:pt idx="82">
                  <c:v>67.858000000000004</c:v>
                </c:pt>
                <c:pt idx="83">
                  <c:v>64.322999999999993</c:v>
                </c:pt>
                <c:pt idx="84">
                  <c:v>69.492000000000004</c:v>
                </c:pt>
                <c:pt idx="85">
                  <c:v>74.065899999999999</c:v>
                </c:pt>
                <c:pt idx="86">
                  <c:v>83.165899999999993</c:v>
                </c:pt>
                <c:pt idx="87">
                  <c:v>67.281999999999996</c:v>
                </c:pt>
                <c:pt idx="88">
                  <c:v>67.451999999999998</c:v>
                </c:pt>
                <c:pt idx="89">
                  <c:v>82.253699999999995</c:v>
                </c:pt>
                <c:pt idx="90">
                  <c:v>82.5</c:v>
                </c:pt>
                <c:pt idx="91">
                  <c:v>82.646299999999997</c:v>
                </c:pt>
                <c:pt idx="92">
                  <c:v>69.084999999999994</c:v>
                </c:pt>
                <c:pt idx="93">
                  <c:v>84.445599999999999</c:v>
                </c:pt>
                <c:pt idx="94">
                  <c:v>74.203999999999994</c:v>
                </c:pt>
                <c:pt idx="95">
                  <c:v>70.131</c:v>
                </c:pt>
                <c:pt idx="96">
                  <c:v>61.225000000000001</c:v>
                </c:pt>
                <c:pt idx="97">
                  <c:v>64.147999999999996</c:v>
                </c:pt>
                <c:pt idx="98">
                  <c:v>83.526799999999994</c:v>
                </c:pt>
                <c:pt idx="99">
                  <c:v>71.900000000000006</c:v>
                </c:pt>
                <c:pt idx="100">
                  <c:v>67.807000000000002</c:v>
                </c:pt>
                <c:pt idx="101">
                  <c:v>72.980500000000006</c:v>
                </c:pt>
                <c:pt idx="102">
                  <c:v>73.650000000000006</c:v>
                </c:pt>
                <c:pt idx="103">
                  <c:v>74.036600000000007</c:v>
                </c:pt>
                <c:pt idx="104">
                  <c:v>82.5976</c:v>
                </c:pt>
                <c:pt idx="105">
                  <c:v>62.515999999999998</c:v>
                </c:pt>
                <c:pt idx="106">
                  <c:v>64.781999999999996</c:v>
                </c:pt>
                <c:pt idx="107">
                  <c:v>73.917000000000002</c:v>
                </c:pt>
                <c:pt idx="108">
                  <c:v>82.258499999999998</c:v>
                </c:pt>
                <c:pt idx="109">
                  <c:v>65.421000000000006</c:v>
                </c:pt>
                <c:pt idx="110">
                  <c:v>69.75</c:v>
                </c:pt>
                <c:pt idx="111">
                  <c:v>68.991</c:v>
                </c:pt>
                <c:pt idx="112">
                  <c:v>71.645099999999999</c:v>
                </c:pt>
                <c:pt idx="113">
                  <c:v>73.824399999999997</c:v>
                </c:pt>
                <c:pt idx="114">
                  <c:v>73.385000000000005</c:v>
                </c:pt>
                <c:pt idx="115">
                  <c:v>60.85</c:v>
                </c:pt>
                <c:pt idx="116">
                  <c:v>68.385000000000005</c:v>
                </c:pt>
                <c:pt idx="117">
                  <c:v>81.309799999999996</c:v>
                </c:pt>
                <c:pt idx="118">
                  <c:v>82.207300000000004</c:v>
                </c:pt>
                <c:pt idx="119">
                  <c:v>53.454999999999998</c:v>
                </c:pt>
                <c:pt idx="120">
                  <c:v>73.246300000000005</c:v>
                </c:pt>
                <c:pt idx="121">
                  <c:v>83.163399999999996</c:v>
                </c:pt>
                <c:pt idx="122">
                  <c:v>75.968999999999994</c:v>
                </c:pt>
                <c:pt idx="123">
                  <c:v>64.358000000000004</c:v>
                </c:pt>
                <c:pt idx="124">
                  <c:v>68.108000000000004</c:v>
                </c:pt>
                <c:pt idx="125">
                  <c:v>71.596000000000004</c:v>
                </c:pt>
                <c:pt idx="126">
                  <c:v>66.674999999999997</c:v>
                </c:pt>
                <c:pt idx="127">
                  <c:v>75.351200000000006</c:v>
                </c:pt>
                <c:pt idx="128">
                  <c:v>81.378</c:v>
                </c:pt>
                <c:pt idx="129">
                  <c:v>81.082999999999998</c:v>
                </c:pt>
                <c:pt idx="130">
                  <c:v>72.809799999999996</c:v>
                </c:pt>
                <c:pt idx="131">
                  <c:v>69.900199999999998</c:v>
                </c:pt>
                <c:pt idx="132">
                  <c:v>66.849999999999994</c:v>
                </c:pt>
                <c:pt idx="133">
                  <c:v>83.539000000000001</c:v>
                </c:pt>
                <c:pt idx="134">
                  <c:v>77.088999999999999</c:v>
                </c:pt>
                <c:pt idx="135">
                  <c:v>66.867999999999995</c:v>
                </c:pt>
                <c:pt idx="136">
                  <c:v>72.780500000000004</c:v>
                </c:pt>
                <c:pt idx="137">
                  <c:v>73.397599999999997</c:v>
                </c:pt>
                <c:pt idx="138">
                  <c:v>60.26</c:v>
                </c:pt>
                <c:pt idx="139">
                  <c:v>83.092699999999994</c:v>
                </c:pt>
                <c:pt idx="140">
                  <c:v>74.614599999999996</c:v>
                </c:pt>
                <c:pt idx="141">
                  <c:v>80.675600000000003</c:v>
                </c:pt>
                <c:pt idx="142">
                  <c:v>62.01</c:v>
                </c:pt>
                <c:pt idx="143">
                  <c:v>83.177999999999997</c:v>
                </c:pt>
                <c:pt idx="144">
                  <c:v>76.278000000000006</c:v>
                </c:pt>
                <c:pt idx="145">
                  <c:v>69.271000000000001</c:v>
                </c:pt>
                <c:pt idx="146">
                  <c:v>69.132000000000005</c:v>
                </c:pt>
                <c:pt idx="147">
                  <c:v>83.056100000000001</c:v>
                </c:pt>
                <c:pt idx="148">
                  <c:v>83.751199999999997</c:v>
                </c:pt>
                <c:pt idx="149">
                  <c:v>69.593999999999994</c:v>
                </c:pt>
                <c:pt idx="150">
                  <c:v>66.131</c:v>
                </c:pt>
                <c:pt idx="151">
                  <c:v>77.605999999999995</c:v>
                </c:pt>
                <c:pt idx="152">
                  <c:v>61.337000000000003</c:v>
                </c:pt>
                <c:pt idx="153">
                  <c:v>72.13</c:v>
                </c:pt>
                <c:pt idx="154">
                  <c:v>75.721999999999994</c:v>
                </c:pt>
                <c:pt idx="155">
                  <c:v>71.631</c:v>
                </c:pt>
                <c:pt idx="156">
                  <c:v>79.082999999999998</c:v>
                </c:pt>
                <c:pt idx="157">
                  <c:v>80.647300000000001</c:v>
                </c:pt>
                <c:pt idx="158">
                  <c:v>76.329300000000003</c:v>
                </c:pt>
                <c:pt idx="159">
                  <c:v>75.433999999999997</c:v>
                </c:pt>
                <c:pt idx="160">
                  <c:v>71.680999999999997</c:v>
                </c:pt>
                <c:pt idx="161">
                  <c:v>74.144999999999996</c:v>
                </c:pt>
              </c:numCache>
            </c:numRef>
          </c:xVal>
          <c:yVal>
            <c:numRef>
              <c:f>Лист1!$C$2:$C$163</c:f>
              <c:numCache>
                <c:formatCode>#\ ##0.0000</c:formatCode>
                <c:ptCount val="162"/>
                <c:pt idx="0">
                  <c:v>1422.6555000000001</c:v>
                </c:pt>
                <c:pt idx="1">
                  <c:v>1725.1712</c:v>
                </c:pt>
                <c:pt idx="2">
                  <c:v>12018.116099999999</c:v>
                </c:pt>
                <c:pt idx="3">
                  <c:v>8905.6807000000008</c:v>
                </c:pt>
                <c:pt idx="4">
                  <c:v>9005.5180999999993</c:v>
                </c:pt>
                <c:pt idx="5">
                  <c:v>24641.425200000001</c:v>
                </c:pt>
                <c:pt idx="6">
                  <c:v>7690.4699000000001</c:v>
                </c:pt>
                <c:pt idx="7">
                  <c:v>9476.6510999999991</c:v>
                </c:pt>
                <c:pt idx="8">
                  <c:v>40005.146999999997</c:v>
                </c:pt>
                <c:pt idx="9">
                  <c:v>6729.3334000000004</c:v>
                </c:pt>
                <c:pt idx="10">
                  <c:v>5288.4875000000002</c:v>
                </c:pt>
                <c:pt idx="11">
                  <c:v>1988.1432</c:v>
                </c:pt>
                <c:pt idx="12">
                  <c:v>1112.5527999999999</c:v>
                </c:pt>
                <c:pt idx="13">
                  <c:v>1418.9722999999999</c:v>
                </c:pt>
                <c:pt idx="14">
                  <c:v>8317.6432999999997</c:v>
                </c:pt>
                <c:pt idx="15">
                  <c:v>7827.4119000000001</c:v>
                </c:pt>
                <c:pt idx="16">
                  <c:v>8194.5107000000007</c:v>
                </c:pt>
                <c:pt idx="17">
                  <c:v>1041.8186000000001</c:v>
                </c:pt>
                <c:pt idx="18">
                  <c:v>700.70219999999995</c:v>
                </c:pt>
                <c:pt idx="19">
                  <c:v>2001.0393999999999</c:v>
                </c:pt>
                <c:pt idx="20">
                  <c:v>5215.4402</c:v>
                </c:pt>
                <c:pt idx="21">
                  <c:v>61198.251199999999</c:v>
                </c:pt>
                <c:pt idx="22">
                  <c:v>10988.315000000001</c:v>
                </c:pt>
                <c:pt idx="23">
                  <c:v>1957.5179000000001</c:v>
                </c:pt>
                <c:pt idx="24">
                  <c:v>1957.5179000000001</c:v>
                </c:pt>
                <c:pt idx="25">
                  <c:v>1545.1139000000001</c:v>
                </c:pt>
                <c:pt idx="26">
                  <c:v>1543.8329000000001</c:v>
                </c:pt>
                <c:pt idx="27">
                  <c:v>1545.1139000000001</c:v>
                </c:pt>
                <c:pt idx="28">
                  <c:v>8773.6893999999993</c:v>
                </c:pt>
                <c:pt idx="29">
                  <c:v>11167.604499999999</c:v>
                </c:pt>
                <c:pt idx="30">
                  <c:v>5511.7574000000004</c:v>
                </c:pt>
                <c:pt idx="31">
                  <c:v>36929.019200000002</c:v>
                </c:pt>
                <c:pt idx="32">
                  <c:v>2788.1673999999998</c:v>
                </c:pt>
                <c:pt idx="33">
                  <c:v>12549.281199999999</c:v>
                </c:pt>
                <c:pt idx="34">
                  <c:v>4264.7996000000003</c:v>
                </c:pt>
                <c:pt idx="35">
                  <c:v>59465.5357</c:v>
                </c:pt>
                <c:pt idx="36">
                  <c:v>45368.643400000001</c:v>
                </c:pt>
                <c:pt idx="37">
                  <c:v>5349.5823</c:v>
                </c:pt>
                <c:pt idx="38">
                  <c:v>29114.059799999999</c:v>
                </c:pt>
                <c:pt idx="39">
                  <c:v>1702.0803000000001</c:v>
                </c:pt>
                <c:pt idx="40">
                  <c:v>18395.615399999999</c:v>
                </c:pt>
                <c:pt idx="41">
                  <c:v>6457.7304999999997</c:v>
                </c:pt>
                <c:pt idx="42">
                  <c:v>43140.967700000001</c:v>
                </c:pt>
                <c:pt idx="43">
                  <c:v>5839.4016000000001</c:v>
                </c:pt>
                <c:pt idx="44">
                  <c:v>1176.3773000000001</c:v>
                </c:pt>
                <c:pt idx="45">
                  <c:v>3206.2037</c:v>
                </c:pt>
                <c:pt idx="46">
                  <c:v>3011.5511000000001</c:v>
                </c:pt>
                <c:pt idx="47">
                  <c:v>5995.5420000000004</c:v>
                </c:pt>
                <c:pt idx="48">
                  <c:v>6895.9117999999999</c:v>
                </c:pt>
                <c:pt idx="49">
                  <c:v>8799.2294999999995</c:v>
                </c:pt>
                <c:pt idx="50">
                  <c:v>9161.9454000000005</c:v>
                </c:pt>
                <c:pt idx="51">
                  <c:v>745.47260000000006</c:v>
                </c:pt>
                <c:pt idx="52">
                  <c:v>3471.6552999999999</c:v>
                </c:pt>
                <c:pt idx="53">
                  <c:v>1938.7644</c:v>
                </c:pt>
                <c:pt idx="54">
                  <c:v>1443.576</c:v>
                </c:pt>
                <c:pt idx="55">
                  <c:v>44639.238100000002</c:v>
                </c:pt>
                <c:pt idx="56">
                  <c:v>857.52760000000001</c:v>
                </c:pt>
                <c:pt idx="57">
                  <c:v>14056.2516</c:v>
                </c:pt>
                <c:pt idx="58">
                  <c:v>6457.1692000000003</c:v>
                </c:pt>
                <c:pt idx="59">
                  <c:v>485.16079999999999</c:v>
                </c:pt>
                <c:pt idx="60">
                  <c:v>13267.254999999999</c:v>
                </c:pt>
                <c:pt idx="61">
                  <c:v>2146.4605000000001</c:v>
                </c:pt>
                <c:pt idx="62">
                  <c:v>15395.2862</c:v>
                </c:pt>
                <c:pt idx="63">
                  <c:v>7379.0428000000002</c:v>
                </c:pt>
                <c:pt idx="64">
                  <c:v>29517.0586</c:v>
                </c:pt>
                <c:pt idx="65">
                  <c:v>20373.8783</c:v>
                </c:pt>
                <c:pt idx="66">
                  <c:v>59312.815799999997</c:v>
                </c:pt>
                <c:pt idx="67">
                  <c:v>7738.3172999999997</c:v>
                </c:pt>
                <c:pt idx="68">
                  <c:v>8344.9050999999999</c:v>
                </c:pt>
                <c:pt idx="69">
                  <c:v>5815.0947999999999</c:v>
                </c:pt>
                <c:pt idx="70">
                  <c:v>3837.3199</c:v>
                </c:pt>
                <c:pt idx="71">
                  <c:v>4247.5474999999997</c:v>
                </c:pt>
                <c:pt idx="72">
                  <c:v>21570.665799999999</c:v>
                </c:pt>
                <c:pt idx="73">
                  <c:v>4507.3334999999997</c:v>
                </c:pt>
                <c:pt idx="74">
                  <c:v>45792.045400000003</c:v>
                </c:pt>
                <c:pt idx="75">
                  <c:v>38030.857199999999</c:v>
                </c:pt>
                <c:pt idx="76">
                  <c:v>689.4932</c:v>
                </c:pt>
                <c:pt idx="77">
                  <c:v>5175.1986999999999</c:v>
                </c:pt>
                <c:pt idx="78">
                  <c:v>44011.019500000002</c:v>
                </c:pt>
                <c:pt idx="79">
                  <c:v>2030.0487000000001</c:v>
                </c:pt>
                <c:pt idx="80">
                  <c:v>19231.2889</c:v>
                </c:pt>
                <c:pt idx="81">
                  <c:v>8782.3219000000008</c:v>
                </c:pt>
                <c:pt idx="82">
                  <c:v>4268.6286</c:v>
                </c:pt>
                <c:pt idx="83">
                  <c:v>10711.997300000001</c:v>
                </c:pt>
                <c:pt idx="84">
                  <c:v>2423.7662999999998</c:v>
                </c:pt>
                <c:pt idx="85">
                  <c:v>15787.9535</c:v>
                </c:pt>
                <c:pt idx="86">
                  <c:v>54285.020900000003</c:v>
                </c:pt>
                <c:pt idx="87">
                  <c:v>1965.3094000000001</c:v>
                </c:pt>
                <c:pt idx="88">
                  <c:v>3850.6887999999999</c:v>
                </c:pt>
                <c:pt idx="89">
                  <c:v>92781.232199999999</c:v>
                </c:pt>
                <c:pt idx="90">
                  <c:v>40788.239200000004</c:v>
                </c:pt>
                <c:pt idx="91">
                  <c:v>32267.7091</c:v>
                </c:pt>
                <c:pt idx="92">
                  <c:v>5607.4538000000002</c:v>
                </c:pt>
                <c:pt idx="93">
                  <c:v>36792.556400000001</c:v>
                </c:pt>
                <c:pt idx="94">
                  <c:v>4266.3789999999999</c:v>
                </c:pt>
                <c:pt idx="95">
                  <c:v>10873.3915</c:v>
                </c:pt>
                <c:pt idx="96">
                  <c:v>1698.8958</c:v>
                </c:pt>
                <c:pt idx="97">
                  <c:v>1895.6135999999999</c:v>
                </c:pt>
                <c:pt idx="98">
                  <c:v>34792.939700000003</c:v>
                </c:pt>
                <c:pt idx="99">
                  <c:v>1132.5546999999999</c:v>
                </c:pt>
                <c:pt idx="100">
                  <c:v>2556.5891000000001</c:v>
                </c:pt>
                <c:pt idx="101">
                  <c:v>16070.168</c:v>
                </c:pt>
                <c:pt idx="102">
                  <c:v>5973.4192999999996</c:v>
                </c:pt>
                <c:pt idx="103">
                  <c:v>18572.289499999999</c:v>
                </c:pt>
                <c:pt idx="104">
                  <c:v>110873.1153</c:v>
                </c:pt>
                <c:pt idx="105">
                  <c:v>431.59910000000002</c:v>
                </c:pt>
                <c:pt idx="106">
                  <c:v>569.96900000000005</c:v>
                </c:pt>
                <c:pt idx="107">
                  <c:v>10388.2667</c:v>
                </c:pt>
                <c:pt idx="108">
                  <c:v>31419.503199999999</c:v>
                </c:pt>
                <c:pt idx="109">
                  <c:v>5455.317</c:v>
                </c:pt>
                <c:pt idx="110">
                  <c:v>9728.0568000000003</c:v>
                </c:pt>
                <c:pt idx="111">
                  <c:v>3688.1673000000001</c:v>
                </c:pt>
                <c:pt idx="112">
                  <c:v>4063.5367000000001</c:v>
                </c:pt>
                <c:pt idx="113">
                  <c:v>7198.3011999999999</c:v>
                </c:pt>
                <c:pt idx="114">
                  <c:v>3309.1309000000001</c:v>
                </c:pt>
                <c:pt idx="115">
                  <c:v>3809.8074999999999</c:v>
                </c:pt>
                <c:pt idx="116">
                  <c:v>1062.7888</c:v>
                </c:pt>
                <c:pt idx="117">
                  <c:v>49780.832799999996</c:v>
                </c:pt>
                <c:pt idx="118">
                  <c:v>41309.819799999997</c:v>
                </c:pt>
                <c:pt idx="119">
                  <c:v>2206.6641</c:v>
                </c:pt>
                <c:pt idx="120">
                  <c:v>6064.9232000000002</c:v>
                </c:pt>
                <c:pt idx="121">
                  <c:v>81199.339099999997</c:v>
                </c:pt>
                <c:pt idx="122">
                  <c:v>18291.338800000001</c:v>
                </c:pt>
                <c:pt idx="123">
                  <c:v>2378.3894</c:v>
                </c:pt>
                <c:pt idx="124">
                  <c:v>6276.7748000000001</c:v>
                </c:pt>
                <c:pt idx="125">
                  <c:v>6550.9674999999997</c:v>
                </c:pt>
                <c:pt idx="126">
                  <c:v>3350.9758999999999</c:v>
                </c:pt>
                <c:pt idx="127">
                  <c:v>16368.624</c:v>
                </c:pt>
                <c:pt idx="128">
                  <c:v>20747.699100000002</c:v>
                </c:pt>
                <c:pt idx="129">
                  <c:v>65488.5118</c:v>
                </c:pt>
                <c:pt idx="130">
                  <c:v>11546.3225</c:v>
                </c:pt>
                <c:pt idx="131">
                  <c:v>10231.3184</c:v>
                </c:pt>
                <c:pt idx="132">
                  <c:v>871.04179999999997</c:v>
                </c:pt>
                <c:pt idx="133">
                  <c:v>46834.117200000001</c:v>
                </c:pt>
                <c:pt idx="134">
                  <c:v>24922.671699999999</c:v>
                </c:pt>
                <c:pt idx="135">
                  <c:v>1414.5395000000001</c:v>
                </c:pt>
                <c:pt idx="136">
                  <c:v>7465.6760000000004</c:v>
                </c:pt>
                <c:pt idx="137">
                  <c:v>17005.0422</c:v>
                </c:pt>
                <c:pt idx="138">
                  <c:v>1045.7662</c:v>
                </c:pt>
                <c:pt idx="139">
                  <c:v>67846.856499999994</c:v>
                </c:pt>
                <c:pt idx="140">
                  <c:v>18808.454000000002</c:v>
                </c:pt>
                <c:pt idx="141">
                  <c:v>24665.440999999999</c:v>
                </c:pt>
                <c:pt idx="142">
                  <c:v>5750.9093999999996</c:v>
                </c:pt>
                <c:pt idx="143">
                  <c:v>26705.3629</c:v>
                </c:pt>
                <c:pt idx="144">
                  <c:v>4357.9722000000002</c:v>
                </c:pt>
                <c:pt idx="145">
                  <c:v>19031.821199999998</c:v>
                </c:pt>
                <c:pt idx="146">
                  <c:v>8211.3359</c:v>
                </c:pt>
                <c:pt idx="147">
                  <c:v>53997.133699999998</c:v>
                </c:pt>
                <c:pt idx="148">
                  <c:v>90924.925700000007</c:v>
                </c:pt>
                <c:pt idx="149">
                  <c:v>1254.07</c:v>
                </c:pt>
                <c:pt idx="150">
                  <c:v>1054.3172999999999</c:v>
                </c:pt>
                <c:pt idx="151">
                  <c:v>6119.1102000000001</c:v>
                </c:pt>
                <c:pt idx="152">
                  <c:v>928.30110000000002</c:v>
                </c:pt>
                <c:pt idx="153">
                  <c:v>4612.9008999999996</c:v>
                </c:pt>
                <c:pt idx="154">
                  <c:v>13670.938</c:v>
                </c:pt>
                <c:pt idx="155">
                  <c:v>2426.6122999999998</c:v>
                </c:pt>
                <c:pt idx="156">
                  <c:v>40935.891499999998</c:v>
                </c:pt>
                <c:pt idx="157">
                  <c:v>46491.5069</c:v>
                </c:pt>
                <c:pt idx="158">
                  <c:v>63096.785600000003</c:v>
                </c:pt>
                <c:pt idx="159">
                  <c:v>17416.0052</c:v>
                </c:pt>
                <c:pt idx="160">
                  <c:v>3951.9965999999999</c:v>
                </c:pt>
                <c:pt idx="161">
                  <c:v>3358.2172999999998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15-4AF5-B0A5-168785C0C1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#\ ##0.00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#\ ##0.0000" sourceLinked="1"/>
        <c:majorTickMark val="none"/>
        <c:minorTickMark val="none"/>
        <c:tickLblPos val="nextTo"/>
        <c:crossAx val="10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cy-GB"/>
              <a:t>график для ŷ = 0,9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y пр.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Лист1!$A$205:$A$209</c:f>
              <c:numCache>
                <c:formatCode>General</c:formatCode>
                <c:ptCount val="5"/>
                <c:pt idx="0">
                  <c:v>65</c:v>
                </c:pt>
                <c:pt idx="1">
                  <c:v>70</c:v>
                </c:pt>
                <c:pt idx="2">
                  <c:v>75</c:v>
                </c:pt>
                <c:pt idx="3">
                  <c:v>80</c:v>
                </c:pt>
                <c:pt idx="4">
                  <c:v>85</c:v>
                </c:pt>
              </c:numCache>
            </c:numRef>
          </c:cat>
          <c:val>
            <c:numRef>
              <c:f>Лист1!$B$205:$B$209</c:f>
              <c:numCache>
                <c:formatCode>General</c:formatCode>
                <c:ptCount val="5"/>
                <c:pt idx="0">
                  <c:v>1134.9047822958673</c:v>
                </c:pt>
                <c:pt idx="1">
                  <c:v>11670.066009438713</c:v>
                </c:pt>
                <c:pt idx="2">
                  <c:v>22205.227236581559</c:v>
                </c:pt>
                <c:pt idx="3">
                  <c:v>32740.388463724375</c:v>
                </c:pt>
                <c:pt idx="4">
                  <c:v>43275.549690867221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20F-43F8-9ED6-A90E2B03DF84}"/>
            </c:ext>
          </c:extLst>
        </c:ser>
        <c:ser>
          <c:idx val="1"/>
          <c:order val="1"/>
          <c:tx>
            <c:v>ниж.гран.знач.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Лист1!$A$205:$A$209</c:f>
              <c:numCache>
                <c:formatCode>General</c:formatCode>
                <c:ptCount val="5"/>
                <c:pt idx="0">
                  <c:v>65</c:v>
                </c:pt>
                <c:pt idx="1">
                  <c:v>70</c:v>
                </c:pt>
                <c:pt idx="2">
                  <c:v>75</c:v>
                </c:pt>
                <c:pt idx="3">
                  <c:v>80</c:v>
                </c:pt>
                <c:pt idx="4">
                  <c:v>85</c:v>
                </c:pt>
              </c:numCache>
            </c:numRef>
          </c:cat>
          <c:val>
            <c:numRef>
              <c:f>Лист1!$C$205:$C$209</c:f>
              <c:numCache>
                <c:formatCode>General</c:formatCode>
                <c:ptCount val="5"/>
                <c:pt idx="0">
                  <c:v>-1469.9218451997799</c:v>
                </c:pt>
                <c:pt idx="1">
                  <c:v>9747.0365556517281</c:v>
                </c:pt>
                <c:pt idx="2">
                  <c:v>20198.818852674129</c:v>
                </c:pt>
                <c:pt idx="3">
                  <c:v>29953.271902122473</c:v>
                </c:pt>
                <c:pt idx="4">
                  <c:v>39412.251274363902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20F-43F8-9ED6-A90E2B03DF84}"/>
            </c:ext>
          </c:extLst>
        </c:ser>
        <c:ser>
          <c:idx val="2"/>
          <c:order val="2"/>
          <c:tx>
            <c:v>верх.гран.знач.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Лист1!$A$205:$A$209</c:f>
              <c:numCache>
                <c:formatCode>General</c:formatCode>
                <c:ptCount val="5"/>
                <c:pt idx="0">
                  <c:v>65</c:v>
                </c:pt>
                <c:pt idx="1">
                  <c:v>70</c:v>
                </c:pt>
                <c:pt idx="2">
                  <c:v>75</c:v>
                </c:pt>
                <c:pt idx="3">
                  <c:v>80</c:v>
                </c:pt>
                <c:pt idx="4">
                  <c:v>85</c:v>
                </c:pt>
              </c:numCache>
            </c:numRef>
          </c:cat>
          <c:val>
            <c:numRef>
              <c:f>Лист1!$D$205:$D$209</c:f>
              <c:numCache>
                <c:formatCode>General</c:formatCode>
                <c:ptCount val="5"/>
                <c:pt idx="0">
                  <c:v>3739.7314097915146</c:v>
                </c:pt>
                <c:pt idx="1">
                  <c:v>13593.095463225698</c:v>
                </c:pt>
                <c:pt idx="2">
                  <c:v>24211.635620488989</c:v>
                </c:pt>
                <c:pt idx="3">
                  <c:v>35527.505025326282</c:v>
                </c:pt>
                <c:pt idx="4">
                  <c:v>47138.848107370541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20F-43F8-9ED6-A90E2B03D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cy-GB"/>
              <a:t>график для ŷ = 0,95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y пр.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Лист1!$A$205:$A$209</c:f>
              <c:numCache>
                <c:formatCode>General</c:formatCode>
                <c:ptCount val="5"/>
                <c:pt idx="0">
                  <c:v>65</c:v>
                </c:pt>
                <c:pt idx="1">
                  <c:v>70</c:v>
                </c:pt>
                <c:pt idx="2">
                  <c:v>75</c:v>
                </c:pt>
                <c:pt idx="3">
                  <c:v>80</c:v>
                </c:pt>
                <c:pt idx="4">
                  <c:v>85</c:v>
                </c:pt>
              </c:numCache>
            </c:numRef>
          </c:cat>
          <c:val>
            <c:numRef>
              <c:f>Лист1!$B$205:$B$209</c:f>
              <c:numCache>
                <c:formatCode>General</c:formatCode>
                <c:ptCount val="5"/>
                <c:pt idx="0">
                  <c:v>1134.9047822958673</c:v>
                </c:pt>
                <c:pt idx="1">
                  <c:v>11670.066009438713</c:v>
                </c:pt>
                <c:pt idx="2">
                  <c:v>22205.227236581559</c:v>
                </c:pt>
                <c:pt idx="3">
                  <c:v>32740.388463724375</c:v>
                </c:pt>
                <c:pt idx="4">
                  <c:v>43275.549690867221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959-41F9-8A97-B41F2ADE9868}"/>
            </c:ext>
          </c:extLst>
        </c:ser>
        <c:ser>
          <c:idx val="1"/>
          <c:order val="1"/>
          <c:tx>
            <c:v>ниж.гран.знач.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Лист1!$A$205:$A$209</c:f>
              <c:numCache>
                <c:formatCode>General</c:formatCode>
                <c:ptCount val="5"/>
                <c:pt idx="0">
                  <c:v>65</c:v>
                </c:pt>
                <c:pt idx="1">
                  <c:v>70</c:v>
                </c:pt>
                <c:pt idx="2">
                  <c:v>75</c:v>
                </c:pt>
                <c:pt idx="3">
                  <c:v>80</c:v>
                </c:pt>
                <c:pt idx="4">
                  <c:v>85</c:v>
                </c:pt>
              </c:numCache>
            </c:numRef>
          </c:cat>
          <c:val>
            <c:numRef>
              <c:f>Лист1!$E$205:$E$209</c:f>
              <c:numCache>
                <c:formatCode>General</c:formatCode>
                <c:ptCount val="5"/>
                <c:pt idx="0">
                  <c:v>-1974.4846439186367</c:v>
                </c:pt>
                <c:pt idx="1">
                  <c:v>9374.5399322759076</c:v>
                </c:pt>
                <c:pt idx="2">
                  <c:v>19810.171478268785</c:v>
                </c:pt>
                <c:pt idx="3">
                  <c:v>29413.398991644139</c:v>
                </c:pt>
                <c:pt idx="4">
                  <c:v>38663.918682574047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959-41F9-8A97-B41F2ADE9868}"/>
            </c:ext>
          </c:extLst>
        </c:ser>
        <c:ser>
          <c:idx val="2"/>
          <c:order val="2"/>
          <c:tx>
            <c:v>верх.гран.знач.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Лист1!$A$205:$A$209</c:f>
              <c:numCache>
                <c:formatCode>General</c:formatCode>
                <c:ptCount val="5"/>
                <c:pt idx="0">
                  <c:v>65</c:v>
                </c:pt>
                <c:pt idx="1">
                  <c:v>70</c:v>
                </c:pt>
                <c:pt idx="2">
                  <c:v>75</c:v>
                </c:pt>
                <c:pt idx="3">
                  <c:v>80</c:v>
                </c:pt>
                <c:pt idx="4">
                  <c:v>85</c:v>
                </c:pt>
              </c:numCache>
            </c:numRef>
          </c:cat>
          <c:val>
            <c:numRef>
              <c:f>Лист1!$F$205:$F$209</c:f>
              <c:numCache>
                <c:formatCode>General</c:formatCode>
                <c:ptCount val="5"/>
                <c:pt idx="0">
                  <c:v>4244.2942085103714</c:v>
                </c:pt>
                <c:pt idx="1">
                  <c:v>13965.592086601519</c:v>
                </c:pt>
                <c:pt idx="2">
                  <c:v>24600.282994894333</c:v>
                </c:pt>
                <c:pt idx="3">
                  <c:v>36067.377935804609</c:v>
                </c:pt>
                <c:pt idx="4">
                  <c:v>47887.180699160395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959-41F9-8A97-B41F2ADE9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cy-GB"/>
              <a:t>график для ŷ = 0,99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y пр.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Лист1!$A$205:$A$209</c:f>
              <c:numCache>
                <c:formatCode>General</c:formatCode>
                <c:ptCount val="5"/>
                <c:pt idx="0">
                  <c:v>65</c:v>
                </c:pt>
                <c:pt idx="1">
                  <c:v>70</c:v>
                </c:pt>
                <c:pt idx="2">
                  <c:v>75</c:v>
                </c:pt>
                <c:pt idx="3">
                  <c:v>80</c:v>
                </c:pt>
                <c:pt idx="4">
                  <c:v>85</c:v>
                </c:pt>
              </c:numCache>
            </c:numRef>
          </c:cat>
          <c:val>
            <c:numRef>
              <c:f>Лист1!$B$205:$B$209</c:f>
              <c:numCache>
                <c:formatCode>General</c:formatCode>
                <c:ptCount val="5"/>
                <c:pt idx="0">
                  <c:v>1134.9047822958673</c:v>
                </c:pt>
                <c:pt idx="1">
                  <c:v>11670.066009438713</c:v>
                </c:pt>
                <c:pt idx="2">
                  <c:v>22205.227236581559</c:v>
                </c:pt>
                <c:pt idx="3">
                  <c:v>32740.388463724375</c:v>
                </c:pt>
                <c:pt idx="4">
                  <c:v>43275.549690867221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F2B-43BA-91AD-06AFEBB3504A}"/>
            </c:ext>
          </c:extLst>
        </c:ser>
        <c:ser>
          <c:idx val="1"/>
          <c:order val="1"/>
          <c:tx>
            <c:v>ниж.гран.знач.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Лист1!$A$205:$A$209</c:f>
              <c:numCache>
                <c:formatCode>General</c:formatCode>
                <c:ptCount val="5"/>
                <c:pt idx="0">
                  <c:v>65</c:v>
                </c:pt>
                <c:pt idx="1">
                  <c:v>70</c:v>
                </c:pt>
                <c:pt idx="2">
                  <c:v>75</c:v>
                </c:pt>
                <c:pt idx="3">
                  <c:v>80</c:v>
                </c:pt>
                <c:pt idx="4">
                  <c:v>85</c:v>
                </c:pt>
              </c:numCache>
            </c:numRef>
          </c:cat>
          <c:val>
            <c:numRef>
              <c:f>Лист1!$G$205:$G$209</c:f>
              <c:numCache>
                <c:formatCode>General</c:formatCode>
                <c:ptCount val="5"/>
                <c:pt idx="0">
                  <c:v>-2969.5455597879154</c:v>
                </c:pt>
                <c:pt idx="1">
                  <c:v>8639.930024142177</c:v>
                </c:pt>
                <c:pt idx="2">
                  <c:v>19043.710270054627</c:v>
                </c:pt>
                <c:pt idx="3">
                  <c:v>28348.702121170114</c:v>
                </c:pt>
                <c:pt idx="4">
                  <c:v>37188.113260430444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F2B-43BA-91AD-06AFEBB3504A}"/>
            </c:ext>
          </c:extLst>
        </c:ser>
        <c:ser>
          <c:idx val="2"/>
          <c:order val="2"/>
          <c:tx>
            <c:v>верх.гран.знач.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Лист1!$A$205:$A$209</c:f>
              <c:numCache>
                <c:formatCode>General</c:formatCode>
                <c:ptCount val="5"/>
                <c:pt idx="0">
                  <c:v>65</c:v>
                </c:pt>
                <c:pt idx="1">
                  <c:v>70</c:v>
                </c:pt>
                <c:pt idx="2">
                  <c:v>75</c:v>
                </c:pt>
                <c:pt idx="3">
                  <c:v>80</c:v>
                </c:pt>
                <c:pt idx="4">
                  <c:v>85</c:v>
                </c:pt>
              </c:numCache>
            </c:numRef>
          </c:cat>
          <c:val>
            <c:numRef>
              <c:f>Лист1!$H$205:$H$209</c:f>
              <c:numCache>
                <c:formatCode>General</c:formatCode>
                <c:ptCount val="5"/>
                <c:pt idx="0">
                  <c:v>5239.3551243796501</c:v>
                </c:pt>
                <c:pt idx="1">
                  <c:v>14700.201994735249</c:v>
                </c:pt>
                <c:pt idx="2">
                  <c:v>25366.74420310849</c:v>
                </c:pt>
                <c:pt idx="3">
                  <c:v>37132.074806278637</c:v>
                </c:pt>
                <c:pt idx="4">
                  <c:v>49362.986121303999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F2B-43BA-91AD-06AFEBB35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ru-RU"/>
              <a:t>график ошибки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ошибки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Лист1!$A$2:$A$163</c:f>
              <c:numCache>
                <c:formatCode>General</c:formatCode>
                <c:ptCount val="16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</c:numCache>
            </c:numRef>
          </c:xVal>
          <c:yVal>
            <c:numRef>
              <c:f>Лист1!$K$2:$K$163</c:f>
              <c:numCache>
                <c:formatCode>General</c:formatCode>
                <c:ptCount val="162"/>
                <c:pt idx="0">
                  <c:v>4543.9558534698508</c:v>
                </c:pt>
                <c:pt idx="1">
                  <c:v>16698.527934005531</c:v>
                </c:pt>
                <c:pt idx="2">
                  <c:v>-12616.308612336157</c:v>
                </c:pt>
                <c:pt idx="3">
                  <c:v>-13885.512204035211</c:v>
                </c:pt>
                <c:pt idx="4">
                  <c:v>-13833.925842455546</c:v>
                </c:pt>
                <c:pt idx="5">
                  <c:v>-1206.0179760293649</c:v>
                </c:pt>
                <c:pt idx="6">
                  <c:v>-10052.905853662025</c:v>
                </c:pt>
                <c:pt idx="7">
                  <c:v>-6724.7984564573744</c:v>
                </c:pt>
                <c:pt idx="8">
                  <c:v>9796.989888831682</c:v>
                </c:pt>
                <c:pt idx="9">
                  <c:v>-9100.4356683637925</c:v>
                </c:pt>
                <c:pt idx="10">
                  <c:v>-5684.3615394263934</c:v>
                </c:pt>
                <c:pt idx="11">
                  <c:v>9541.5858817288336</c:v>
                </c:pt>
                <c:pt idx="12">
                  <c:v>231.96680972736294</c:v>
                </c:pt>
                <c:pt idx="13">
                  <c:v>3489.9170791237034</c:v>
                </c:pt>
                <c:pt idx="14">
                  <c:v>-7175.0006090952047</c:v>
                </c:pt>
                <c:pt idx="15">
                  <c:v>-6881.6267170203273</c:v>
                </c:pt>
                <c:pt idx="16">
                  <c:v>-7152.1158744870172</c:v>
                </c:pt>
                <c:pt idx="17">
                  <c:v>1445.2580600914966</c:v>
                </c:pt>
                <c:pt idx="18">
                  <c:v>3956.4312107281585</c:v>
                </c:pt>
                <c:pt idx="19">
                  <c:v>-1255.857556666984</c:v>
                </c:pt>
                <c:pt idx="20">
                  <c:v>-5846.3256001834643</c:v>
                </c:pt>
                <c:pt idx="21">
                  <c:v>35076.051019166742</c:v>
                </c:pt>
                <c:pt idx="22">
                  <c:v>-2316.1759222176643</c:v>
                </c:pt>
                <c:pt idx="23">
                  <c:v>-5122.3783627725852</c:v>
                </c:pt>
                <c:pt idx="24">
                  <c:v>-5122.3783627725852</c:v>
                </c:pt>
                <c:pt idx="25">
                  <c:v>9464.1266763106723</c:v>
                </c:pt>
                <c:pt idx="26">
                  <c:v>9464.9527085561185</c:v>
                </c:pt>
                <c:pt idx="27">
                  <c:v>9464.1266763106723</c:v>
                </c:pt>
                <c:pt idx="28">
                  <c:v>-12205.455772966645</c:v>
                </c:pt>
                <c:pt idx="29">
                  <c:v>-3064.8234231043771</c:v>
                </c:pt>
                <c:pt idx="30">
                  <c:v>-20578.837297151826</c:v>
                </c:pt>
                <c:pt idx="31">
                  <c:v>-722.86142781837407</c:v>
                </c:pt>
                <c:pt idx="32">
                  <c:v>5955.8224628692788</c:v>
                </c:pt>
                <c:pt idx="33">
                  <c:v>-7439.3481143906811</c:v>
                </c:pt>
                <c:pt idx="34">
                  <c:v>-12205.085864524995</c:v>
                </c:pt>
                <c:pt idx="35">
                  <c:v>19771.940826361351</c:v>
                </c:pt>
                <c:pt idx="36">
                  <c:v>10120.465157766506</c:v>
                </c:pt>
                <c:pt idx="37">
                  <c:v>-8425.4089226218439</c:v>
                </c:pt>
                <c:pt idx="38">
                  <c:v>15859.50554199902</c:v>
                </c:pt>
                <c:pt idx="39">
                  <c:v>-12292.042276146416</c:v>
                </c:pt>
                <c:pt idx="40">
                  <c:v>-7138.7227843586988</c:v>
                </c:pt>
                <c:pt idx="41">
                  <c:v>-9577.0528058440013</c:v>
                </c:pt>
                <c:pt idx="42">
                  <c:v>6628.5701105093976</c:v>
                </c:pt>
                <c:pt idx="43">
                  <c:v>-7762.8129784966995</c:v>
                </c:pt>
                <c:pt idx="44">
                  <c:v>11398.376320564108</c:v>
                </c:pt>
                <c:pt idx="45">
                  <c:v>-13621.877246247821</c:v>
                </c:pt>
                <c:pt idx="46">
                  <c:v>9405.0725306204004</c:v>
                </c:pt>
                <c:pt idx="47">
                  <c:v>-15297.340274310976</c:v>
                </c:pt>
                <c:pt idx="48">
                  <c:v>9336.6407381964073</c:v>
                </c:pt>
                <c:pt idx="49">
                  <c:v>-9272.0004710506928</c:v>
                </c:pt>
                <c:pt idx="50">
                  <c:v>-5062.2650973472009</c:v>
                </c:pt>
                <c:pt idx="51">
                  <c:v>10048.805561557259</c:v>
                </c:pt>
                <c:pt idx="52">
                  <c:v>-17519.921363214715</c:v>
                </c:pt>
                <c:pt idx="53">
                  <c:v>-8258.4860698841367</c:v>
                </c:pt>
                <c:pt idx="54">
                  <c:v>8429.1734915858251</c:v>
                </c:pt>
                <c:pt idx="55">
                  <c:v>8840.4923320360685</c:v>
                </c:pt>
                <c:pt idx="56">
                  <c:v>24720.453377468657</c:v>
                </c:pt>
                <c:pt idx="57">
                  <c:v>-16315.832619862678</c:v>
                </c:pt>
                <c:pt idx="58">
                  <c:v>-10897.669807604983</c:v>
                </c:pt>
                <c:pt idx="59">
                  <c:v>9792.707826048123</c:v>
                </c:pt>
                <c:pt idx="60">
                  <c:v>-15364.420585138671</c:v>
                </c:pt>
                <c:pt idx="61">
                  <c:v>10935.677593672692</c:v>
                </c:pt>
                <c:pt idx="62">
                  <c:v>-9811.1977669700009</c:v>
                </c:pt>
                <c:pt idx="63">
                  <c:v>-11035.633427055549</c:v>
                </c:pt>
                <c:pt idx="64">
                  <c:v>-4430.6593403549523</c:v>
                </c:pt>
                <c:pt idx="65">
                  <c:v>-6513.1745859238254</c:v>
                </c:pt>
                <c:pt idx="66">
                  <c:v>23612.257734673025</c:v>
                </c:pt>
                <c:pt idx="67">
                  <c:v>-3577.7672922066949</c:v>
                </c:pt>
                <c:pt idx="68">
                  <c:v>-7027.2165646567046</c:v>
                </c:pt>
                <c:pt idx="69">
                  <c:v>-11640.881755385541</c:v>
                </c:pt>
                <c:pt idx="70">
                  <c:v>-5675.1450901198568</c:v>
                </c:pt>
                <c:pt idx="71">
                  <c:v>-7298.2036069584292</c:v>
                </c:pt>
                <c:pt idx="72">
                  <c:v>-4730.421418470145</c:v>
                </c:pt>
                <c:pt idx="73">
                  <c:v>3574.7038132652733</c:v>
                </c:pt>
                <c:pt idx="74">
                  <c:v>9079.0583407445811</c:v>
                </c:pt>
                <c:pt idx="75">
                  <c:v>392.88298500145902</c:v>
                </c:pt>
                <c:pt idx="76">
                  <c:v>1983.996596683256</c:v>
                </c:pt>
                <c:pt idx="77">
                  <c:v>-9939.8650307144344</c:v>
                </c:pt>
                <c:pt idx="78">
                  <c:v>9605.6541559379621</c:v>
                </c:pt>
                <c:pt idx="79">
                  <c:v>2399.5649409401094</c:v>
                </c:pt>
                <c:pt idx="80">
                  <c:v>-13683.772536870398</c:v>
                </c:pt>
                <c:pt idx="81">
                  <c:v>-12415.743923266718</c:v>
                </c:pt>
                <c:pt idx="82">
                  <c:v>-2888.1743397307255</c:v>
                </c:pt>
                <c:pt idx="83">
                  <c:v>11003.553347859282</c:v>
                </c:pt>
                <c:pt idx="84">
                  <c:v>-8175.9273287610158</c:v>
                </c:pt>
                <c:pt idx="85">
                  <c:v>-4449.0949161267235</c:v>
                </c:pt>
                <c:pt idx="86">
                  <c:v>14873.97905047331</c:v>
                </c:pt>
                <c:pt idx="87">
                  <c:v>-3977.8429663638508</c:v>
                </c:pt>
                <c:pt idx="88">
                  <c:v>-2450.6590480867053</c:v>
                </c:pt>
                <c:pt idx="89">
                  <c:v>55292.225164753268</c:v>
                </c:pt>
                <c:pt idx="90">
                  <c:v>2780.2701227042053</c:v>
                </c:pt>
                <c:pt idx="91">
                  <c:v>-6048.5187948019957</c:v>
                </c:pt>
                <c:pt idx="92">
                  <c:v>-4134.6777048715621</c:v>
                </c:pt>
                <c:pt idx="93">
                  <c:v>-5314.8546140016406</c:v>
                </c:pt>
                <c:pt idx="94">
                  <c:v>-16261.650569220408</c:v>
                </c:pt>
                <c:pt idx="95">
                  <c:v>-1072.695733589846</c:v>
                </c:pt>
                <c:pt idx="96">
                  <c:v>8518.0377441969631</c:v>
                </c:pt>
                <c:pt idx="97">
                  <c:v>2555.9002908092689</c:v>
                </c:pt>
                <c:pt idx="98">
                  <c:v>-5378.5300869018392</c:v>
                </c:pt>
                <c:pt idx="99">
                  <c:v>-14540.872575752997</c:v>
                </c:pt>
                <c:pt idx="100">
                  <c:v>-4492.755195213872</c:v>
                </c:pt>
                <c:pt idx="101">
                  <c:v>-1879.9076169385571</c:v>
                </c:pt>
                <c:pt idx="102">
                  <c:v>-13387.314405252991</c:v>
                </c:pt>
                <c:pt idx="103">
                  <c:v>-1603.0228713356919</c:v>
                </c:pt>
                <c:pt idx="104">
                  <c:v>72659.499875550362</c:v>
                </c:pt>
                <c:pt idx="105">
                  <c:v>4530.5624153486942</c:v>
                </c:pt>
                <c:pt idx="106">
                  <c:v>-105.60275279242796</c:v>
                </c:pt>
                <c:pt idx="107">
                  <c:v>-9535.0446147824186</c:v>
                </c:pt>
                <c:pt idx="108">
                  <c:v>-6079.6175900248127</c:v>
                </c:pt>
                <c:pt idx="109">
                  <c:v>3433.3516423786832</c:v>
                </c:pt>
                <c:pt idx="110">
                  <c:v>-1415.2511480815792</c:v>
                </c:pt>
                <c:pt idx="111">
                  <c:v>-5855.9031738012864</c:v>
                </c:pt>
                <c:pt idx="112">
                  <c:v>-11072.808056393256</c:v>
                </c:pt>
                <c:pt idx="113">
                  <c:v>-12529.898928855708</c:v>
                </c:pt>
                <c:pt idx="114">
                  <c:v>-15493.239260214428</c:v>
                </c:pt>
                <c:pt idx="115">
                  <c:v>11419.086536232677</c:v>
                </c:pt>
                <c:pt idx="116">
                  <c:v>-7204.4201330715823</c:v>
                </c:pt>
                <c:pt idx="117">
                  <c:v>14280.653501213288</c:v>
                </c:pt>
                <c:pt idx="118">
                  <c:v>3918.5790609411197</c:v>
                </c:pt>
                <c:pt idx="119">
                  <c:v>25397.446591176944</c:v>
                </c:pt>
                <c:pt idx="120">
                  <c:v>-12445.20158777347</c:v>
                </c:pt>
                <c:pt idx="121">
                  <c:v>41793.564831086886</c:v>
                </c:pt>
                <c:pt idx="122">
                  <c:v>-5955.60268240183</c:v>
                </c:pt>
                <c:pt idx="123">
                  <c:v>2596.1993192692607</c:v>
                </c:pt>
                <c:pt idx="124">
                  <c:v>-1406.7862010878589</c:v>
                </c:pt>
                <c:pt idx="125">
                  <c:v>-8481.9219731427147</c:v>
                </c:pt>
                <c:pt idx="126">
                  <c:v>-1313.2078933887146</c:v>
                </c:pt>
                <c:pt idx="127">
                  <c:v>-6576.5929611760766</c:v>
                </c:pt>
                <c:pt idx="128">
                  <c:v>-14896.179797924964</c:v>
                </c:pt>
                <c:pt idx="129">
                  <c:v>30466.207414476485</c:v>
                </c:pt>
                <c:pt idx="130">
                  <c:v>-6044.0827126439053</c:v>
                </c:pt>
                <c:pt idx="131">
                  <c:v>-1228.4657913449228</c:v>
                </c:pt>
                <c:pt idx="132">
                  <c:v>-4161.8726363387023</c:v>
                </c:pt>
                <c:pt idx="133">
                  <c:v>6636.9416197039172</c:v>
                </c:pt>
                <c:pt idx="134">
                  <c:v>-1684.1458972818291</c:v>
                </c:pt>
                <c:pt idx="135">
                  <c:v>-3656.301516756429</c:v>
                </c:pt>
                <c:pt idx="136">
                  <c:v>-10062.993167852845</c:v>
                </c:pt>
                <c:pt idx="137">
                  <c:v>-1823.8765665068022</c:v>
                </c:pt>
                <c:pt idx="138">
                  <c:v>9898.1942610355491</c:v>
                </c:pt>
                <c:pt idx="139">
                  <c:v>28590.049410838692</c:v>
                </c:pt>
                <c:pt idx="140">
                  <c:v>-2584.7230091933707</c:v>
                </c:pt>
                <c:pt idx="141">
                  <c:v>-9498.4584487359316</c:v>
                </c:pt>
                <c:pt idx="142">
                  <c:v>10916.031031535556</c:v>
                </c:pt>
                <c:pt idx="143">
                  <c:v>-12731.17403969638</c:v>
                </c:pt>
                <c:pt idx="144">
                  <c:v>-20540.042246239278</c:v>
                </c:pt>
                <c:pt idx="145">
                  <c:v>8897.7816974787202</c:v>
                </c:pt>
                <c:pt idx="146">
                  <c:v>-1629.8261204067148</c:v>
                </c:pt>
                <c:pt idx="147">
                  <c:v>14817.443991021362</c:v>
                </c:pt>
                <c:pt idx="148">
                  <c:v>50280.63787722397</c:v>
                </c:pt>
                <c:pt idx="149">
                  <c:v>-9560.5409177946931</c:v>
                </c:pt>
                <c:pt idx="150">
                  <c:v>-2463.6409518755927</c:v>
                </c:pt>
                <c:pt idx="151">
                  <c:v>-21577.04306816839</c:v>
                </c:pt>
                <c:pt idx="152">
                  <c:v>7511.45543270896</c:v>
                </c:pt>
                <c:pt idx="153">
                  <c:v>-11545.143792201539</c:v>
                </c:pt>
                <c:pt idx="154">
                  <c:v>-10055.566517780966</c:v>
                </c:pt>
                <c:pt idx="155">
                  <c:v>-12680.023301732705</c:v>
                </c:pt>
                <c:pt idx="156">
                  <c:v>10127.651605333609</c:v>
                </c:pt>
                <c:pt idx="157">
                  <c:v>12387.236463809699</c:v>
                </c:pt>
                <c:pt idx="158">
                  <c:v>38090.680399570236</c:v>
                </c:pt>
                <c:pt idx="159">
                  <c:v>-5703.6740310975438</c:v>
                </c:pt>
                <c:pt idx="160">
                  <c:v>-11259.990614004126</c:v>
                </c:pt>
                <c:pt idx="161">
                  <c:v>-17045.497366740125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6C5-4078-B300-B8A7C31EEE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13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1">
      <a:schemeClr val="lt1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>
  <cs:dataPoint3D>
    <cs:lnRef idx="1">
      <a:schemeClr val="lt1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3D>
  <cs:dataPointLine>
    <cs:lnRef idx="1">
      <cs:styleClr val="auto"/>
    </cs:lnRef>
    <cs:lineWidthScale>5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 mods="ignoreCSTransforms">
      <cs:styleClr val="0">
        <a:shade val="25000"/>
      </cs:styleClr>
    </cs:fillRef>
    <cs:effectRef idx="1">
      <a:schemeClr val="dk1"/>
    </cs:effectRef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 mods="ignoreCSTransforms">
      <cs:styleClr val="0">
        <a:tint val="25000"/>
      </cs:styleClr>
    </cs:fillRef>
    <cs:effectRef idx="1">
      <a:schemeClr val="dk1"/>
    </cs:effectRef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211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0</xdr:colOff>
      <xdr:row>211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10</xdr:col>
      <xdr:colOff>0</xdr:colOff>
      <xdr:row>211</xdr:row>
      <xdr:rowOff>0</xdr:rowOff>
    </xdr:from>
    <xdr:ext cx="54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227</xdr:row>
      <xdr:rowOff>0</xdr:rowOff>
    </xdr:from>
    <xdr:ext cx="5400000" cy="27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48"/>
  <sheetViews>
    <sheetView tabSelected="1" topLeftCell="A132" zoomScale="49" workbookViewId="0">
      <selection activeCell="E10" sqref="E10"/>
    </sheetView>
  </sheetViews>
  <sheetFormatPr defaultRowHeight="14.6" x14ac:dyDescent="0.4"/>
  <cols>
    <col min="1" max="1" width="14" customWidth="1"/>
    <col min="2" max="2" width="16" customWidth="1"/>
    <col min="3" max="3" width="16.4609375" customWidth="1"/>
    <col min="4" max="4" width="18" customWidth="1"/>
    <col min="5" max="5" width="15" customWidth="1"/>
    <col min="6" max="6" width="18" customWidth="1"/>
    <col min="7" max="7" width="16.4609375" customWidth="1"/>
    <col min="8" max="8" width="22" customWidth="1"/>
    <col min="10" max="10" width="16.4609375" customWidth="1"/>
    <col min="12" max="12" width="22" customWidth="1"/>
  </cols>
  <sheetData>
    <row r="1" spans="1:13" ht="29.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">
      <c r="A2" s="2">
        <v>1</v>
      </c>
      <c r="B2" s="3">
        <v>62.98</v>
      </c>
      <c r="C2" s="3">
        <v>1422.6555000000001</v>
      </c>
      <c r="D2" s="4">
        <f t="shared" ref="D2:D33" si="0">B2^2</f>
        <v>3966.4803999999995</v>
      </c>
      <c r="E2" s="4">
        <f t="shared" ref="E2:E33" si="1">B2-$B$167</f>
        <v>-9.040263580246922</v>
      </c>
      <c r="F2" s="4">
        <f t="shared" ref="F2:F33" si="2">E2^2</f>
        <v>81.726365600338895</v>
      </c>
      <c r="G2" s="4">
        <f t="shared" ref="G2:G33" si="3">C2-$C$167</f>
        <v>-14504.17101728395</v>
      </c>
      <c r="H2" s="4">
        <f t="shared" ref="H2:H33" si="4">G2^2</f>
        <v>210370976.89861974</v>
      </c>
      <c r="I2" s="4">
        <f t="shared" ref="I2:I33" si="5">E2*G2</f>
        <v>131121.52900922505</v>
      </c>
      <c r="J2" s="4">
        <f t="shared" ref="J2:J33" si="6">$B$171+$A$171*B2</f>
        <v>-3121.300353469851</v>
      </c>
      <c r="K2" s="4">
        <f t="shared" ref="K2:K33" si="7">C2-J2</f>
        <v>4543.9558534698508</v>
      </c>
      <c r="L2" s="4">
        <f t="shared" ref="L2:L33" si="8">K2^2</f>
        <v>20647534.798282921</v>
      </c>
      <c r="M2" s="4">
        <f t="shared" ref="M2:M33" si="9">L2/($A$165-2)</f>
        <v>129047.09248926825</v>
      </c>
    </row>
    <row r="3" spans="1:13" x14ac:dyDescent="0.4">
      <c r="A3" s="2">
        <v>2</v>
      </c>
      <c r="B3" s="3">
        <v>57.354999999999997</v>
      </c>
      <c r="C3" s="3">
        <v>1725.1712</v>
      </c>
      <c r="D3" s="4">
        <f t="shared" si="0"/>
        <v>3289.5960249999998</v>
      </c>
      <c r="E3" s="4">
        <f t="shared" si="1"/>
        <v>-14.665263580246922</v>
      </c>
      <c r="F3" s="4">
        <f t="shared" si="2"/>
        <v>215.06995587811676</v>
      </c>
      <c r="G3" s="4">
        <f t="shared" si="3"/>
        <v>-14201.65531728395</v>
      </c>
      <c r="H3" s="4">
        <f t="shared" si="4"/>
        <v>201687013.75093949</v>
      </c>
      <c r="I3" s="4">
        <f t="shared" si="5"/>
        <v>208271.01850378438</v>
      </c>
      <c r="J3" s="4">
        <f t="shared" si="6"/>
        <v>-14973.356734005531</v>
      </c>
      <c r="K3" s="4">
        <f t="shared" si="7"/>
        <v>16698.527934005531</v>
      </c>
      <c r="L3" s="4">
        <f t="shared" si="8"/>
        <v>278840835.16276306</v>
      </c>
      <c r="M3" s="4">
        <f t="shared" si="9"/>
        <v>1742755.2197672692</v>
      </c>
    </row>
    <row r="4" spans="1:13" x14ac:dyDescent="0.4">
      <c r="A4" s="2">
        <v>3</v>
      </c>
      <c r="B4" s="3">
        <v>76.152900000000002</v>
      </c>
      <c r="C4" s="3">
        <v>12018.116099999999</v>
      </c>
      <c r="D4" s="4">
        <f t="shared" si="0"/>
        <v>5799.2641784100006</v>
      </c>
      <c r="E4" s="4">
        <f t="shared" si="1"/>
        <v>4.1326364197530836</v>
      </c>
      <c r="F4" s="4">
        <f t="shared" si="2"/>
        <v>17.078683777869585</v>
      </c>
      <c r="G4" s="4">
        <f t="shared" si="3"/>
        <v>-3908.7104172839518</v>
      </c>
      <c r="H4" s="4">
        <f t="shared" si="4"/>
        <v>15278017.126184084</v>
      </c>
      <c r="I4" s="4">
        <f t="shared" si="5"/>
        <v>-16153.279024735932</v>
      </c>
      <c r="J4" s="4">
        <f t="shared" si="6"/>
        <v>24634.424712336157</v>
      </c>
      <c r="K4" s="4">
        <f t="shared" si="7"/>
        <v>-12616.308612336157</v>
      </c>
      <c r="L4" s="4">
        <f t="shared" si="8"/>
        <v>159171243.00170749</v>
      </c>
      <c r="M4" s="4">
        <f t="shared" si="9"/>
        <v>994820.26876067184</v>
      </c>
    </row>
    <row r="5" spans="1:13" x14ac:dyDescent="0.4">
      <c r="A5" s="2">
        <v>4</v>
      </c>
      <c r="B5" s="3">
        <v>75.278099999999995</v>
      </c>
      <c r="C5" s="3">
        <v>8905.6807000000008</v>
      </c>
      <c r="D5" s="4">
        <f t="shared" si="0"/>
        <v>5666.7923396099995</v>
      </c>
      <c r="E5" s="4">
        <f t="shared" si="1"/>
        <v>3.257836419753076</v>
      </c>
      <c r="F5" s="4">
        <f t="shared" si="2"/>
        <v>10.613498137869541</v>
      </c>
      <c r="G5" s="4">
        <f t="shared" si="3"/>
        <v>-7021.1458172839502</v>
      </c>
      <c r="H5" s="4">
        <f t="shared" si="4"/>
        <v>49296488.58756391</v>
      </c>
      <c r="I5" s="4">
        <f t="shared" si="5"/>
        <v>-22873.74455194463</v>
      </c>
      <c r="J5" s="4">
        <f t="shared" si="6"/>
        <v>22791.192904035212</v>
      </c>
      <c r="K5" s="4">
        <f t="shared" si="7"/>
        <v>-13885.512204035211</v>
      </c>
      <c r="L5" s="4">
        <f t="shared" si="8"/>
        <v>192807449.16841078</v>
      </c>
      <c r="M5" s="4">
        <f t="shared" si="9"/>
        <v>1205046.5573025674</v>
      </c>
    </row>
    <row r="6" spans="1:13" x14ac:dyDescent="0.4">
      <c r="A6" s="2">
        <v>5</v>
      </c>
      <c r="B6" s="3">
        <v>75.301000000000002</v>
      </c>
      <c r="C6" s="3">
        <v>9005.5180999999993</v>
      </c>
      <c r="D6" s="4">
        <f t="shared" si="0"/>
        <v>5670.2406010000004</v>
      </c>
      <c r="E6" s="4">
        <f t="shared" si="1"/>
        <v>3.2807364197530831</v>
      </c>
      <c r="F6" s="4">
        <f t="shared" si="2"/>
        <v>10.763231455894278</v>
      </c>
      <c r="G6" s="4">
        <f t="shared" si="3"/>
        <v>-6921.3084172839517</v>
      </c>
      <c r="H6" s="4">
        <f t="shared" si="4"/>
        <v>47904510.207165681</v>
      </c>
      <c r="I6" s="4">
        <f t="shared" si="5"/>
        <v>-22706.988596927029</v>
      </c>
      <c r="J6" s="4">
        <f t="shared" si="6"/>
        <v>22839.443942455546</v>
      </c>
      <c r="K6" s="4">
        <f t="shared" si="7"/>
        <v>-13833.925842455546</v>
      </c>
      <c r="L6" s="4">
        <f t="shared" si="8"/>
        <v>191377504.21455941</v>
      </c>
      <c r="M6" s="4">
        <f t="shared" si="9"/>
        <v>1196109.4013409964</v>
      </c>
    </row>
    <row r="7" spans="1:13" x14ac:dyDescent="0.4">
      <c r="A7" s="2">
        <v>6</v>
      </c>
      <c r="B7" s="3">
        <v>76.7286</v>
      </c>
      <c r="C7" s="3">
        <v>24641.425200000001</v>
      </c>
      <c r="D7" s="4">
        <f t="shared" si="0"/>
        <v>5887.2780579600003</v>
      </c>
      <c r="E7" s="4">
        <f t="shared" si="1"/>
        <v>4.7083364197530813</v>
      </c>
      <c r="F7" s="4">
        <f t="shared" si="2"/>
        <v>22.168431841573263</v>
      </c>
      <c r="G7" s="4">
        <f t="shared" si="3"/>
        <v>8714.5986827160505</v>
      </c>
      <c r="H7" s="4">
        <f t="shared" si="4"/>
        <v>75944230.200796321</v>
      </c>
      <c r="I7" s="4">
        <f t="shared" si="5"/>
        <v>41031.262361364206</v>
      </c>
      <c r="J7" s="4">
        <f t="shared" si="6"/>
        <v>25847.443176029366</v>
      </c>
      <c r="K7" s="4">
        <f t="shared" si="7"/>
        <v>-1206.0179760293649</v>
      </c>
      <c r="L7" s="4">
        <f t="shared" si="8"/>
        <v>1454479.3585059659</v>
      </c>
      <c r="M7" s="4">
        <f t="shared" si="9"/>
        <v>9090.4959906622862</v>
      </c>
    </row>
    <row r="8" spans="1:13" x14ac:dyDescent="0.4">
      <c r="A8" s="2">
        <v>7</v>
      </c>
      <c r="B8" s="3">
        <v>72.882400000000004</v>
      </c>
      <c r="C8" s="3">
        <v>7690.4699000000001</v>
      </c>
      <c r="D8" s="4">
        <f t="shared" si="0"/>
        <v>5311.8442297600004</v>
      </c>
      <c r="E8" s="4">
        <f t="shared" si="1"/>
        <v>0.86213641975308519</v>
      </c>
      <c r="F8" s="4">
        <f t="shared" si="2"/>
        <v>0.74327920626466792</v>
      </c>
      <c r="G8" s="4">
        <f t="shared" si="3"/>
        <v>-8236.356617283951</v>
      </c>
      <c r="H8" s="4">
        <f t="shared" si="4"/>
        <v>67837570.327077121</v>
      </c>
      <c r="I8" s="4">
        <f t="shared" si="5"/>
        <v>-7100.8630058348172</v>
      </c>
      <c r="J8" s="4">
        <f t="shared" si="6"/>
        <v>17743.375753662025</v>
      </c>
      <c r="K8" s="4">
        <f t="shared" si="7"/>
        <v>-10052.905853662025</v>
      </c>
      <c r="L8" s="4">
        <f t="shared" si="8"/>
        <v>101060916.10259221</v>
      </c>
      <c r="M8" s="4">
        <f t="shared" si="9"/>
        <v>631630.72564120137</v>
      </c>
    </row>
    <row r="9" spans="1:13" x14ac:dyDescent="0.4">
      <c r="A9" s="2">
        <v>8</v>
      </c>
      <c r="B9" s="3">
        <v>72.150599999999997</v>
      </c>
      <c r="C9" s="3">
        <v>9476.6510999999991</v>
      </c>
      <c r="D9" s="4">
        <f t="shared" si="0"/>
        <v>5205.7090803599995</v>
      </c>
      <c r="E9" s="4">
        <f t="shared" si="1"/>
        <v>0.1303364197530783</v>
      </c>
      <c r="F9" s="4">
        <f t="shared" si="2"/>
        <v>1.698758231405062E-2</v>
      </c>
      <c r="G9" s="4">
        <f t="shared" si="3"/>
        <v>-6450.1754172839519</v>
      </c>
      <c r="H9" s="4">
        <f t="shared" si="4"/>
        <v>41604762.913734205</v>
      </c>
      <c r="I9" s="4">
        <f t="shared" si="5"/>
        <v>-840.69277066810821</v>
      </c>
      <c r="J9" s="4">
        <f t="shared" si="6"/>
        <v>16201.449556457374</v>
      </c>
      <c r="K9" s="4">
        <f t="shared" si="7"/>
        <v>-6724.7984564573744</v>
      </c>
      <c r="L9" s="4">
        <f t="shared" si="8"/>
        <v>45222914.279971488</v>
      </c>
      <c r="M9" s="4">
        <f t="shared" si="9"/>
        <v>282643.21424982179</v>
      </c>
    </row>
    <row r="10" spans="1:13" x14ac:dyDescent="0.4">
      <c r="A10" s="2">
        <v>9</v>
      </c>
      <c r="B10" s="3">
        <v>78.798199999999994</v>
      </c>
      <c r="C10" s="3">
        <v>40005.146999999997</v>
      </c>
      <c r="D10" s="4">
        <f t="shared" si="0"/>
        <v>6209.1563232399994</v>
      </c>
      <c r="E10" s="4">
        <f t="shared" si="1"/>
        <v>6.7779364197530754</v>
      </c>
      <c r="F10" s="4">
        <f t="shared" si="2"/>
        <v>45.940422110215138</v>
      </c>
      <c r="G10" s="4">
        <f t="shared" si="3"/>
        <v>24078.320482716044</v>
      </c>
      <c r="H10" s="4">
        <f t="shared" si="4"/>
        <v>579765517.26838303</v>
      </c>
      <c r="I10" s="4">
        <f t="shared" si="5"/>
        <v>163201.32532628754</v>
      </c>
      <c r="J10" s="4">
        <f t="shared" si="6"/>
        <v>30208.157111168315</v>
      </c>
      <c r="K10" s="4">
        <f t="shared" si="7"/>
        <v>9796.989888831682</v>
      </c>
      <c r="L10" s="4">
        <f t="shared" si="8"/>
        <v>95981010.88187021</v>
      </c>
      <c r="M10" s="4">
        <f t="shared" si="9"/>
        <v>599881.31801168877</v>
      </c>
    </row>
    <row r="11" spans="1:13" x14ac:dyDescent="0.4">
      <c r="A11" s="2">
        <v>10</v>
      </c>
      <c r="B11" s="3">
        <v>71.974199999999996</v>
      </c>
      <c r="C11" s="3">
        <v>6729.3334000000004</v>
      </c>
      <c r="D11" s="4">
        <f t="shared" si="0"/>
        <v>5180.2854656399995</v>
      </c>
      <c r="E11" s="4">
        <f t="shared" si="1"/>
        <v>-4.6063580246922697E-2</v>
      </c>
      <c r="F11" s="4">
        <f t="shared" si="2"/>
        <v>2.1218534251646868E-3</v>
      </c>
      <c r="G11" s="4">
        <f t="shared" si="3"/>
        <v>-9197.4931172839497</v>
      </c>
      <c r="H11" s="4">
        <f t="shared" si="4"/>
        <v>84593879.642485633</v>
      </c>
      <c r="I11" s="4">
        <f t="shared" si="5"/>
        <v>423.66946227852839</v>
      </c>
      <c r="J11" s="4">
        <f t="shared" si="6"/>
        <v>15829.769068363792</v>
      </c>
      <c r="K11" s="4">
        <f t="shared" si="7"/>
        <v>-9100.4356683637925</v>
      </c>
      <c r="L11" s="4">
        <f t="shared" si="8"/>
        <v>82817929.354027942</v>
      </c>
      <c r="M11" s="4">
        <f t="shared" si="9"/>
        <v>517612.05846267461</v>
      </c>
    </row>
    <row r="12" spans="1:13" x14ac:dyDescent="0.4">
      <c r="A12" s="2">
        <v>11</v>
      </c>
      <c r="B12" s="3">
        <v>69.6691</v>
      </c>
      <c r="C12" s="3">
        <v>5288.4875000000002</v>
      </c>
      <c r="D12" s="4">
        <f t="shared" si="0"/>
        <v>4853.7834948099999</v>
      </c>
      <c r="E12" s="4">
        <f t="shared" si="1"/>
        <v>-2.3511635802469186</v>
      </c>
      <c r="F12" s="4">
        <f t="shared" si="2"/>
        <v>5.5279701810795085</v>
      </c>
      <c r="G12" s="4">
        <f t="shared" si="3"/>
        <v>-10638.33901728395</v>
      </c>
      <c r="H12" s="4">
        <f t="shared" si="4"/>
        <v>113174257.04666604</v>
      </c>
      <c r="I12" s="4">
        <f t="shared" si="5"/>
        <v>25012.475251757816</v>
      </c>
      <c r="J12" s="4">
        <f t="shared" si="6"/>
        <v>10972.849039426394</v>
      </c>
      <c r="K12" s="4">
        <f t="shared" si="7"/>
        <v>-5684.3615394263934</v>
      </c>
      <c r="L12" s="4">
        <f t="shared" si="8"/>
        <v>32311966.110909998</v>
      </c>
      <c r="M12" s="4">
        <f t="shared" si="9"/>
        <v>201949.7881931875</v>
      </c>
    </row>
    <row r="13" spans="1:13" x14ac:dyDescent="0.4">
      <c r="A13" s="2">
        <v>12</v>
      </c>
      <c r="B13" s="3">
        <v>60.8765</v>
      </c>
      <c r="C13" s="3">
        <v>1988.1432</v>
      </c>
      <c r="D13" s="4">
        <f t="shared" si="0"/>
        <v>3705.9482522500002</v>
      </c>
      <c r="E13" s="4">
        <f t="shared" si="1"/>
        <v>-11.143763580246919</v>
      </c>
      <c r="F13" s="4">
        <f t="shared" si="2"/>
        <v>124.18346673243762</v>
      </c>
      <c r="G13" s="4">
        <f t="shared" si="3"/>
        <v>-13938.683317283951</v>
      </c>
      <c r="H13" s="4">
        <f t="shared" si="4"/>
        <v>194286892.6195299</v>
      </c>
      <c r="I13" s="4">
        <f t="shared" si="5"/>
        <v>155329.39150774421</v>
      </c>
      <c r="J13" s="4">
        <f t="shared" si="6"/>
        <v>-7553.4426817288331</v>
      </c>
      <c r="K13" s="4">
        <f t="shared" si="7"/>
        <v>9541.5858817288336</v>
      </c>
      <c r="L13" s="4">
        <f t="shared" si="8"/>
        <v>91041861.138407007</v>
      </c>
      <c r="M13" s="4">
        <f t="shared" si="9"/>
        <v>569011.63211504382</v>
      </c>
    </row>
    <row r="14" spans="1:13" x14ac:dyDescent="0.4">
      <c r="A14" s="2">
        <v>13</v>
      </c>
      <c r="B14" s="3">
        <v>64.879300000000001</v>
      </c>
      <c r="C14" s="3">
        <v>1112.5527999999999</v>
      </c>
      <c r="D14" s="4">
        <f t="shared" si="0"/>
        <v>4209.3235684900001</v>
      </c>
      <c r="E14" s="4">
        <f t="shared" si="1"/>
        <v>-7.1409635802469182</v>
      </c>
      <c r="F14" s="4">
        <f t="shared" si="2"/>
        <v>50.993360854412884</v>
      </c>
      <c r="G14" s="4">
        <f t="shared" si="3"/>
        <v>-14814.273717283952</v>
      </c>
      <c r="H14" s="4">
        <f t="shared" si="4"/>
        <v>219462705.77061006</v>
      </c>
      <c r="I14" s="4">
        <f t="shared" si="5"/>
        <v>105788.18908293382</v>
      </c>
      <c r="J14" s="4">
        <f t="shared" si="6"/>
        <v>880.58599027263699</v>
      </c>
      <c r="K14" s="4">
        <f t="shared" si="7"/>
        <v>231.96680972736294</v>
      </c>
      <c r="L14" s="4">
        <f t="shared" si="8"/>
        <v>53808.600815090605</v>
      </c>
      <c r="M14" s="4">
        <f t="shared" si="9"/>
        <v>336.30375509431627</v>
      </c>
    </row>
    <row r="15" spans="1:13" x14ac:dyDescent="0.4">
      <c r="A15" s="2">
        <v>14</v>
      </c>
      <c r="B15" s="3">
        <v>63.478499999999997</v>
      </c>
      <c r="C15" s="3">
        <v>1418.9722999999999</v>
      </c>
      <c r="D15" s="4">
        <f t="shared" si="0"/>
        <v>4029.5199622499995</v>
      </c>
      <c r="E15" s="4">
        <f t="shared" si="1"/>
        <v>-8.5417635802469221</v>
      </c>
      <c r="F15" s="4">
        <f t="shared" si="2"/>
        <v>72.96172506083272</v>
      </c>
      <c r="G15" s="4">
        <f t="shared" si="3"/>
        <v>-14507.854217283952</v>
      </c>
      <c r="H15" s="4">
        <f t="shared" si="4"/>
        <v>210477833.98996374</v>
      </c>
      <c r="I15" s="4">
        <f t="shared" si="5"/>
        <v>123922.66078072778</v>
      </c>
      <c r="J15" s="4">
        <f t="shared" si="6"/>
        <v>-2070.9447791237035</v>
      </c>
      <c r="K15" s="4">
        <f t="shared" si="7"/>
        <v>3489.9170791237034</v>
      </c>
      <c r="L15" s="4">
        <f t="shared" si="8"/>
        <v>12179521.219159322</v>
      </c>
      <c r="M15" s="4">
        <f t="shared" si="9"/>
        <v>76122.007619745767</v>
      </c>
    </row>
    <row r="16" spans="1:13" x14ac:dyDescent="0.4">
      <c r="A16" s="2">
        <v>15</v>
      </c>
      <c r="B16" s="3">
        <v>71.8142</v>
      </c>
      <c r="C16" s="3">
        <v>8317.6432999999997</v>
      </c>
      <c r="D16" s="4">
        <f t="shared" si="0"/>
        <v>5157.2793216399996</v>
      </c>
      <c r="E16" s="4">
        <f t="shared" si="1"/>
        <v>-0.20606358024691929</v>
      </c>
      <c r="F16" s="4">
        <f t="shared" si="2"/>
        <v>4.2462199104178547E-2</v>
      </c>
      <c r="G16" s="4">
        <f t="shared" si="3"/>
        <v>-7609.1832172839513</v>
      </c>
      <c r="H16" s="4">
        <f t="shared" si="4"/>
        <v>57899669.234195746</v>
      </c>
      <c r="I16" s="4">
        <f t="shared" si="5"/>
        <v>1567.9755365083029</v>
      </c>
      <c r="J16" s="4">
        <f t="shared" si="6"/>
        <v>15492.643909095204</v>
      </c>
      <c r="K16" s="4">
        <f t="shared" si="7"/>
        <v>-7175.0006090952047</v>
      </c>
      <c r="L16" s="4">
        <f t="shared" si="8"/>
        <v>51480633.740516558</v>
      </c>
      <c r="M16" s="4">
        <f t="shared" si="9"/>
        <v>321753.96087822848</v>
      </c>
    </row>
    <row r="17" spans="1:13" x14ac:dyDescent="0.4">
      <c r="A17" s="2">
        <v>16</v>
      </c>
      <c r="B17" s="3">
        <v>71.442300000000003</v>
      </c>
      <c r="C17" s="3">
        <v>7827.4119000000001</v>
      </c>
      <c r="D17" s="4">
        <f t="shared" si="0"/>
        <v>5104.0022292900003</v>
      </c>
      <c r="E17" s="4">
        <f t="shared" si="1"/>
        <v>-0.57796358024691585</v>
      </c>
      <c r="F17" s="4">
        <f t="shared" si="2"/>
        <v>0.33404190009183315</v>
      </c>
      <c r="G17" s="4">
        <f t="shared" si="3"/>
        <v>-8099.414617283951</v>
      </c>
      <c r="H17" s="4">
        <f t="shared" si="4"/>
        <v>65600517.142672934</v>
      </c>
      <c r="I17" s="4">
        <f t="shared" si="5"/>
        <v>4681.1666701096365</v>
      </c>
      <c r="J17" s="4">
        <f t="shared" si="6"/>
        <v>14709.038617020327</v>
      </c>
      <c r="K17" s="4">
        <f t="shared" si="7"/>
        <v>-6881.6267170203273</v>
      </c>
      <c r="L17" s="4">
        <f t="shared" si="8"/>
        <v>47356786.272407971</v>
      </c>
      <c r="M17" s="4">
        <f t="shared" si="9"/>
        <v>295979.91420254984</v>
      </c>
    </row>
    <row r="18" spans="1:13" x14ac:dyDescent="0.4">
      <c r="A18" s="2">
        <v>17</v>
      </c>
      <c r="B18" s="3">
        <v>71.744900000000001</v>
      </c>
      <c r="C18" s="3">
        <v>8194.5107000000007</v>
      </c>
      <c r="D18" s="4">
        <f t="shared" si="0"/>
        <v>5147.3306760100004</v>
      </c>
      <c r="E18" s="4">
        <f t="shared" si="1"/>
        <v>-0.27536358024691765</v>
      </c>
      <c r="F18" s="4">
        <f t="shared" si="2"/>
        <v>7.5825101326400662E-2</v>
      </c>
      <c r="G18" s="4">
        <f t="shared" si="3"/>
        <v>-7732.3158172839503</v>
      </c>
      <c r="H18" s="4">
        <f t="shared" si="4"/>
        <v>59788707.898219563</v>
      </c>
      <c r="I18" s="4">
        <f t="shared" si="5"/>
        <v>2129.1981670471796</v>
      </c>
      <c r="J18" s="4">
        <f t="shared" si="6"/>
        <v>15346.626574487018</v>
      </c>
      <c r="K18" s="4">
        <f t="shared" si="7"/>
        <v>-7152.1158744870172</v>
      </c>
      <c r="L18" s="4">
        <f t="shared" si="8"/>
        <v>51152761.482089192</v>
      </c>
      <c r="M18" s="4">
        <f t="shared" si="9"/>
        <v>319704.75926305744</v>
      </c>
    </row>
    <row r="19" spans="1:13" x14ac:dyDescent="0.4">
      <c r="A19" s="2">
        <v>18</v>
      </c>
      <c r="B19" s="3">
        <v>64.269900000000007</v>
      </c>
      <c r="C19" s="3">
        <v>1041.8186000000001</v>
      </c>
      <c r="D19" s="4">
        <f t="shared" si="0"/>
        <v>4130.6200460100008</v>
      </c>
      <c r="E19" s="4">
        <f t="shared" si="1"/>
        <v>-7.750363580246912</v>
      </c>
      <c r="F19" s="4">
        <f t="shared" si="2"/>
        <v>60.068135626017728</v>
      </c>
      <c r="G19" s="4">
        <f t="shared" si="3"/>
        <v>-14885.007917283951</v>
      </c>
      <c r="H19" s="4">
        <f t="shared" si="4"/>
        <v>221563460.69760588</v>
      </c>
      <c r="I19" s="4">
        <f t="shared" si="5"/>
        <v>115364.22325380446</v>
      </c>
      <c r="J19" s="4">
        <f t="shared" si="6"/>
        <v>-403.43946009149658</v>
      </c>
      <c r="K19" s="4">
        <f t="shared" si="7"/>
        <v>1445.2580600914966</v>
      </c>
      <c r="L19" s="4">
        <f t="shared" si="8"/>
        <v>2088770.8602594361</v>
      </c>
      <c r="M19" s="4">
        <f t="shared" si="9"/>
        <v>13054.817876621475</v>
      </c>
    </row>
    <row r="20" spans="1:13" x14ac:dyDescent="0.4">
      <c r="A20" s="2">
        <v>19</v>
      </c>
      <c r="B20" s="3">
        <v>62.916200000000003</v>
      </c>
      <c r="C20" s="3">
        <v>700.70219999999995</v>
      </c>
      <c r="D20" s="4">
        <f t="shared" si="0"/>
        <v>3958.4482224400003</v>
      </c>
      <c r="E20" s="4">
        <f t="shared" si="1"/>
        <v>-9.1040635802469154</v>
      </c>
      <c r="F20" s="4">
        <f t="shared" si="2"/>
        <v>82.883973673178289</v>
      </c>
      <c r="G20" s="4">
        <f t="shared" si="3"/>
        <v>-15226.124317283951</v>
      </c>
      <c r="H20" s="4">
        <f t="shared" si="4"/>
        <v>231834861.72538567</v>
      </c>
      <c r="I20" s="4">
        <f t="shared" si="5"/>
        <v>138619.60386529675</v>
      </c>
      <c r="J20" s="4">
        <f t="shared" si="6"/>
        <v>-3255.7290107281588</v>
      </c>
      <c r="K20" s="4">
        <f t="shared" si="7"/>
        <v>3956.4312107281585</v>
      </c>
      <c r="L20" s="4">
        <f t="shared" si="8"/>
        <v>15653347.925223881</v>
      </c>
      <c r="M20" s="4">
        <f t="shared" si="9"/>
        <v>97833.424532649253</v>
      </c>
    </row>
    <row r="21" spans="1:13" x14ac:dyDescent="0.4">
      <c r="A21" s="2">
        <v>20</v>
      </c>
      <c r="B21" s="3">
        <v>66.007099999999994</v>
      </c>
      <c r="C21" s="3">
        <v>2001.0393999999999</v>
      </c>
      <c r="D21" s="4">
        <f t="shared" si="0"/>
        <v>4356.9372504099993</v>
      </c>
      <c r="E21" s="4">
        <f t="shared" si="1"/>
        <v>-6.0131635802469248</v>
      </c>
      <c r="F21" s="4">
        <f t="shared" si="2"/>
        <v>36.158136242808013</v>
      </c>
      <c r="G21" s="4">
        <f t="shared" si="3"/>
        <v>-13925.787117283951</v>
      </c>
      <c r="H21" s="4">
        <f t="shared" si="4"/>
        <v>193927546.83591166</v>
      </c>
      <c r="I21" s="4">
        <f t="shared" si="5"/>
        <v>83738.03591992367</v>
      </c>
      <c r="J21" s="4">
        <f t="shared" si="6"/>
        <v>3256.8969566669839</v>
      </c>
      <c r="K21" s="4">
        <f t="shared" si="7"/>
        <v>-1255.857556666984</v>
      </c>
      <c r="L21" s="4">
        <f t="shared" si="8"/>
        <v>1577178.202637567</v>
      </c>
      <c r="M21" s="4">
        <f t="shared" si="9"/>
        <v>9857.3637664847938</v>
      </c>
    </row>
    <row r="22" spans="1:13" x14ac:dyDescent="0.4">
      <c r="A22" s="2">
        <v>21</v>
      </c>
      <c r="B22" s="3">
        <v>69.711299999999994</v>
      </c>
      <c r="C22" s="3">
        <v>5215.4402</v>
      </c>
      <c r="D22" s="4">
        <f t="shared" si="0"/>
        <v>4859.6653476899992</v>
      </c>
      <c r="E22" s="4">
        <f t="shared" si="1"/>
        <v>-2.3089635802469246</v>
      </c>
      <c r="F22" s="4">
        <f t="shared" si="2"/>
        <v>5.3313128149066964</v>
      </c>
      <c r="G22" s="4">
        <f t="shared" si="3"/>
        <v>-10711.386317283952</v>
      </c>
      <c r="H22" s="4">
        <f t="shared" si="4"/>
        <v>114733796.83809786</v>
      </c>
      <c r="I22" s="4">
        <f t="shared" si="5"/>
        <v>24732.200900563876</v>
      </c>
      <c r="J22" s="4">
        <f t="shared" si="6"/>
        <v>11061.765800183464</v>
      </c>
      <c r="K22" s="4">
        <f t="shared" si="7"/>
        <v>-5846.3256001834643</v>
      </c>
      <c r="L22" s="4">
        <f t="shared" si="8"/>
        <v>34179523.023360543</v>
      </c>
      <c r="M22" s="4">
        <f t="shared" si="9"/>
        <v>213622.0188960034</v>
      </c>
    </row>
    <row r="23" spans="1:13" x14ac:dyDescent="0.4">
      <c r="A23" s="2">
        <v>22</v>
      </c>
      <c r="B23" s="3">
        <v>76.858999999999995</v>
      </c>
      <c r="C23" s="3">
        <v>61198.251199999999</v>
      </c>
      <c r="D23" s="4">
        <f t="shared" si="0"/>
        <v>5907.3058809999993</v>
      </c>
      <c r="E23" s="4">
        <f t="shared" si="1"/>
        <v>4.8387364197530758</v>
      </c>
      <c r="F23" s="4">
        <f t="shared" si="2"/>
        <v>23.413370139844815</v>
      </c>
      <c r="G23" s="4">
        <f t="shared" si="3"/>
        <v>45271.424682716046</v>
      </c>
      <c r="H23" s="4">
        <f t="shared" si="4"/>
        <v>2049501892.8028316</v>
      </c>
      <c r="I23" s="4">
        <f t="shared" si="5"/>
        <v>219056.49138636646</v>
      </c>
      <c r="J23" s="4">
        <f t="shared" si="6"/>
        <v>26122.200180833257</v>
      </c>
      <c r="K23" s="4">
        <f t="shared" si="7"/>
        <v>35076.051019166742</v>
      </c>
      <c r="L23" s="4">
        <f t="shared" si="8"/>
        <v>1230329355.0991883</v>
      </c>
      <c r="M23" s="4">
        <f t="shared" si="9"/>
        <v>7689558.4693699274</v>
      </c>
    </row>
    <row r="24" spans="1:13" x14ac:dyDescent="0.4">
      <c r="A24" s="2">
        <v>23</v>
      </c>
      <c r="B24" s="3">
        <v>70.775700000000001</v>
      </c>
      <c r="C24" s="3">
        <v>10988.315000000001</v>
      </c>
      <c r="D24" s="4">
        <f t="shared" si="0"/>
        <v>5009.1997104900001</v>
      </c>
      <c r="E24" s="4">
        <f t="shared" si="1"/>
        <v>-1.2445635802469184</v>
      </c>
      <c r="F24" s="4">
        <f t="shared" si="2"/>
        <v>1.5489385052770277</v>
      </c>
      <c r="G24" s="4">
        <f t="shared" si="3"/>
        <v>-4938.5115172839505</v>
      </c>
      <c r="H24" s="4">
        <f t="shared" si="4"/>
        <v>24388896.006346226</v>
      </c>
      <c r="I24" s="4">
        <f t="shared" si="5"/>
        <v>6146.291575041555</v>
      </c>
      <c r="J24" s="4">
        <f t="shared" si="6"/>
        <v>13304.490922217665</v>
      </c>
      <c r="K24" s="4">
        <f t="shared" si="7"/>
        <v>-2316.1759222176643</v>
      </c>
      <c r="L24" s="4">
        <f t="shared" si="8"/>
        <v>5364670.9026608476</v>
      </c>
      <c r="M24" s="4">
        <f t="shared" si="9"/>
        <v>33529.193141630298</v>
      </c>
    </row>
    <row r="25" spans="1:13" x14ac:dyDescent="0.4">
      <c r="A25" s="2">
        <v>24</v>
      </c>
      <c r="B25" s="3">
        <v>67.8215</v>
      </c>
      <c r="C25" s="3">
        <v>1957.5179000000001</v>
      </c>
      <c r="D25" s="4">
        <f t="shared" si="0"/>
        <v>4599.7558622500001</v>
      </c>
      <c r="E25" s="4">
        <f t="shared" si="1"/>
        <v>-4.1987635802469185</v>
      </c>
      <c r="F25" s="4">
        <f t="shared" si="2"/>
        <v>17.62961560280792</v>
      </c>
      <c r="G25" s="4">
        <f t="shared" si="3"/>
        <v>-13969.30861728395</v>
      </c>
      <c r="H25" s="4">
        <f t="shared" si="4"/>
        <v>195141583.24492362</v>
      </c>
      <c r="I25" s="4">
        <f t="shared" si="5"/>
        <v>58653.824263481292</v>
      </c>
      <c r="J25" s="4">
        <f t="shared" si="6"/>
        <v>7079.896262772585</v>
      </c>
      <c r="K25" s="4">
        <f t="shared" si="7"/>
        <v>-5122.3783627725852</v>
      </c>
      <c r="L25" s="4">
        <f t="shared" si="8"/>
        <v>26238760.09140075</v>
      </c>
      <c r="M25" s="4">
        <f t="shared" si="9"/>
        <v>163992.2505712547</v>
      </c>
    </row>
    <row r="26" spans="1:13" x14ac:dyDescent="0.4">
      <c r="A26" s="2">
        <v>25</v>
      </c>
      <c r="B26" s="3">
        <v>67.8215</v>
      </c>
      <c r="C26" s="3">
        <v>1957.5179000000001</v>
      </c>
      <c r="D26" s="4">
        <f t="shared" si="0"/>
        <v>4599.7558622500001</v>
      </c>
      <c r="E26" s="4">
        <f t="shared" si="1"/>
        <v>-4.1987635802469185</v>
      </c>
      <c r="F26" s="4">
        <f t="shared" si="2"/>
        <v>17.62961560280792</v>
      </c>
      <c r="G26" s="4">
        <f t="shared" si="3"/>
        <v>-13969.30861728395</v>
      </c>
      <c r="H26" s="4">
        <f t="shared" si="4"/>
        <v>195141583.24492362</v>
      </c>
      <c r="I26" s="4">
        <f t="shared" si="5"/>
        <v>58653.824263481292</v>
      </c>
      <c r="J26" s="4">
        <f t="shared" si="6"/>
        <v>7079.896262772585</v>
      </c>
      <c r="K26" s="4">
        <f t="shared" si="7"/>
        <v>-5122.3783627725852</v>
      </c>
      <c r="L26" s="4">
        <f t="shared" si="8"/>
        <v>26238760.09140075</v>
      </c>
      <c r="M26" s="4">
        <f t="shared" si="9"/>
        <v>163992.2505712547</v>
      </c>
    </row>
    <row r="27" spans="1:13" x14ac:dyDescent="0.4">
      <c r="A27" s="2">
        <v>26</v>
      </c>
      <c r="B27" s="3">
        <v>60.703000000000003</v>
      </c>
      <c r="C27" s="3">
        <v>1545.1139000000001</v>
      </c>
      <c r="D27" s="4">
        <f t="shared" si="0"/>
        <v>3684.8542090000005</v>
      </c>
      <c r="E27" s="4">
        <f t="shared" si="1"/>
        <v>-11.317263580246916</v>
      </c>
      <c r="F27" s="4">
        <f t="shared" si="2"/>
        <v>128.08045494478324</v>
      </c>
      <c r="G27" s="4">
        <f t="shared" si="3"/>
        <v>-14381.712617283951</v>
      </c>
      <c r="H27" s="4">
        <f t="shared" si="4"/>
        <v>206833657.80614439</v>
      </c>
      <c r="I27" s="4">
        <f t="shared" si="5"/>
        <v>162761.63242516521</v>
      </c>
      <c r="J27" s="4">
        <f t="shared" si="6"/>
        <v>-7919.0127763106721</v>
      </c>
      <c r="K27" s="4">
        <f t="shared" si="7"/>
        <v>9464.1266763106723</v>
      </c>
      <c r="L27" s="4">
        <f t="shared" si="8"/>
        <v>89569693.745255291</v>
      </c>
      <c r="M27" s="4">
        <f t="shared" si="9"/>
        <v>559810.58590784553</v>
      </c>
    </row>
    <row r="28" spans="1:13" x14ac:dyDescent="0.4">
      <c r="A28" s="2">
        <v>27</v>
      </c>
      <c r="B28" s="3">
        <v>60.701999999999998</v>
      </c>
      <c r="C28" s="3">
        <v>1543.8329000000001</v>
      </c>
      <c r="D28" s="4">
        <f t="shared" si="0"/>
        <v>3684.7328039999998</v>
      </c>
      <c r="E28" s="4">
        <f t="shared" si="1"/>
        <v>-11.318263580246921</v>
      </c>
      <c r="F28" s="4">
        <f t="shared" si="2"/>
        <v>128.10309047194383</v>
      </c>
      <c r="G28" s="4">
        <f t="shared" si="3"/>
        <v>-14382.993617283952</v>
      </c>
      <c r="H28" s="4">
        <f t="shared" si="4"/>
        <v>206870505.39483088</v>
      </c>
      <c r="I28" s="4">
        <f t="shared" si="5"/>
        <v>162790.51283342886</v>
      </c>
      <c r="J28" s="4">
        <f t="shared" si="6"/>
        <v>-7921.1198085561191</v>
      </c>
      <c r="K28" s="4">
        <f t="shared" si="7"/>
        <v>9464.9527085561185</v>
      </c>
      <c r="L28" s="4">
        <f t="shared" si="8"/>
        <v>89585329.775203809</v>
      </c>
      <c r="M28" s="4">
        <f t="shared" si="9"/>
        <v>559908.31109502376</v>
      </c>
    </row>
    <row r="29" spans="1:13" x14ac:dyDescent="0.4">
      <c r="A29" s="2">
        <v>28</v>
      </c>
      <c r="B29" s="3">
        <v>60.703000000000003</v>
      </c>
      <c r="C29" s="3">
        <v>1545.1139000000001</v>
      </c>
      <c r="D29" s="4">
        <f t="shared" si="0"/>
        <v>3684.8542090000005</v>
      </c>
      <c r="E29" s="4">
        <f t="shared" si="1"/>
        <v>-11.317263580246916</v>
      </c>
      <c r="F29" s="4">
        <f t="shared" si="2"/>
        <v>128.08045494478324</v>
      </c>
      <c r="G29" s="4">
        <f t="shared" si="3"/>
        <v>-14381.712617283951</v>
      </c>
      <c r="H29" s="4">
        <f t="shared" si="4"/>
        <v>206833657.80614439</v>
      </c>
      <c r="I29" s="4">
        <f t="shared" si="5"/>
        <v>162761.63242516521</v>
      </c>
      <c r="J29" s="4">
        <f t="shared" si="6"/>
        <v>-7919.0127763106721</v>
      </c>
      <c r="K29" s="4">
        <f t="shared" si="7"/>
        <v>9464.1266763106723</v>
      </c>
      <c r="L29" s="4">
        <f t="shared" si="8"/>
        <v>89569693.745255291</v>
      </c>
      <c r="M29" s="4">
        <f t="shared" si="9"/>
        <v>559810.58590784553</v>
      </c>
    </row>
    <row r="30" spans="1:13" x14ac:dyDescent="0.4">
      <c r="A30" s="2">
        <v>29</v>
      </c>
      <c r="B30" s="3">
        <v>74.418099999999995</v>
      </c>
      <c r="C30" s="3">
        <v>8773.6893999999993</v>
      </c>
      <c r="D30" s="4">
        <f t="shared" si="0"/>
        <v>5538.0536076099997</v>
      </c>
      <c r="E30" s="4">
        <f t="shared" si="1"/>
        <v>2.3978364197530766</v>
      </c>
      <c r="F30" s="4">
        <f t="shared" si="2"/>
        <v>5.7496194958942528</v>
      </c>
      <c r="G30" s="4">
        <f t="shared" si="3"/>
        <v>-7153.1371172839517</v>
      </c>
      <c r="H30" s="4">
        <f t="shared" si="4"/>
        <v>51167370.61866536</v>
      </c>
      <c r="I30" s="4">
        <f t="shared" si="5"/>
        <v>-17152.052695310995</v>
      </c>
      <c r="J30" s="4">
        <f t="shared" si="6"/>
        <v>20979.145172966644</v>
      </c>
      <c r="K30" s="4">
        <f t="shared" si="7"/>
        <v>-12205.455772966645</v>
      </c>
      <c r="L30" s="4">
        <f t="shared" si="8"/>
        <v>148973150.62584481</v>
      </c>
      <c r="M30" s="4">
        <f t="shared" si="9"/>
        <v>931082.19141153002</v>
      </c>
    </row>
    <row r="31" spans="1:13" x14ac:dyDescent="0.4">
      <c r="A31" s="2">
        <v>30</v>
      </c>
      <c r="B31" s="3">
        <v>71.216099999999997</v>
      </c>
      <c r="C31" s="3">
        <v>11167.604499999999</v>
      </c>
      <c r="D31" s="4">
        <f t="shared" si="0"/>
        <v>5071.7328992099992</v>
      </c>
      <c r="E31" s="4">
        <f t="shared" si="1"/>
        <v>-0.80416358024692158</v>
      </c>
      <c r="F31" s="4">
        <f t="shared" si="2"/>
        <v>0.64667906379554707</v>
      </c>
      <c r="G31" s="4">
        <f t="shared" si="3"/>
        <v>-4759.2220172839516</v>
      </c>
      <c r="H31" s="4">
        <f t="shared" si="4"/>
        <v>22650194.209800325</v>
      </c>
      <c r="I31" s="4">
        <f t="shared" si="5"/>
        <v>3827.1930166090392</v>
      </c>
      <c r="J31" s="4">
        <f t="shared" si="6"/>
        <v>14232.427923104377</v>
      </c>
      <c r="K31" s="4">
        <f t="shared" si="7"/>
        <v>-3064.8234231043771</v>
      </c>
      <c r="L31" s="4">
        <f t="shared" si="8"/>
        <v>9393142.6148092318</v>
      </c>
      <c r="M31" s="4">
        <f t="shared" si="9"/>
        <v>58707.141342557697</v>
      </c>
    </row>
    <row r="32" spans="1:13" x14ac:dyDescent="0.4">
      <c r="A32" s="2">
        <v>31</v>
      </c>
      <c r="B32" s="3">
        <v>76.843999999999994</v>
      </c>
      <c r="C32" s="3">
        <v>5511.7574000000004</v>
      </c>
      <c r="D32" s="4">
        <f t="shared" si="0"/>
        <v>5905.0003359999992</v>
      </c>
      <c r="E32" s="4">
        <f t="shared" si="1"/>
        <v>4.8237364197530752</v>
      </c>
      <c r="F32" s="4">
        <f t="shared" si="2"/>
        <v>23.268433047252216</v>
      </c>
      <c r="G32" s="4">
        <f t="shared" si="3"/>
        <v>-10415.069117283951</v>
      </c>
      <c r="H32" s="4">
        <f t="shared" si="4"/>
        <v>108473664.71780188</v>
      </c>
      <c r="I32" s="4">
        <f t="shared" si="5"/>
        <v>-50239.548215288109</v>
      </c>
      <c r="J32" s="4">
        <f t="shared" si="6"/>
        <v>26090.594697151828</v>
      </c>
      <c r="K32" s="4">
        <f t="shared" si="7"/>
        <v>-20578.837297151826</v>
      </c>
      <c r="L32" s="4">
        <f t="shared" si="8"/>
        <v>423488544.50264704</v>
      </c>
      <c r="M32" s="4">
        <f t="shared" si="9"/>
        <v>2646803.4031415442</v>
      </c>
    </row>
    <row r="33" spans="1:13" x14ac:dyDescent="0.4">
      <c r="A33" s="2">
        <v>32</v>
      </c>
      <c r="B33" s="3">
        <v>82.331000000000003</v>
      </c>
      <c r="C33" s="3">
        <v>36929.019200000002</v>
      </c>
      <c r="D33" s="4">
        <f t="shared" si="0"/>
        <v>6778.3935610000008</v>
      </c>
      <c r="E33" s="4">
        <f t="shared" si="1"/>
        <v>10.310736419753084</v>
      </c>
      <c r="F33" s="4">
        <f t="shared" si="2"/>
        <v>106.31128551762265</v>
      </c>
      <c r="G33" s="4">
        <f t="shared" si="3"/>
        <v>21002.19268271605</v>
      </c>
      <c r="H33" s="4">
        <f t="shared" si="4"/>
        <v>441092097.48193157</v>
      </c>
      <c r="I33" s="4">
        <f t="shared" si="5"/>
        <v>216548.0729883521</v>
      </c>
      <c r="J33" s="4">
        <f t="shared" si="6"/>
        <v>37651.880627818377</v>
      </c>
      <c r="K33" s="4">
        <f t="shared" si="7"/>
        <v>-722.86142781837407</v>
      </c>
      <c r="L33" s="4">
        <f t="shared" si="8"/>
        <v>522528.64382761845</v>
      </c>
      <c r="M33" s="4">
        <f t="shared" si="9"/>
        <v>3265.8040239226152</v>
      </c>
    </row>
    <row r="34" spans="1:13" x14ac:dyDescent="0.4">
      <c r="A34" s="2">
        <v>33</v>
      </c>
      <c r="B34" s="3">
        <v>62.957999999999998</v>
      </c>
      <c r="C34" s="3">
        <v>2788.1673999999998</v>
      </c>
      <c r="D34" s="4">
        <f t="shared" ref="D34:D65" si="10">B34^2</f>
        <v>3963.7097639999997</v>
      </c>
      <c r="E34" s="4">
        <f t="shared" ref="E34:E65" si="11">B34-$B$167</f>
        <v>-9.0622635802469205</v>
      </c>
      <c r="F34" s="4">
        <f t="shared" ref="F34:F65" si="12">E34^2</f>
        <v>82.124621197869729</v>
      </c>
      <c r="G34" s="4">
        <f t="shared" ref="G34:G65" si="13">C34-$C$167</f>
        <v>-13138.659117283951</v>
      </c>
      <c r="H34" s="4">
        <f t="shared" ref="H34:H65" si="14">G34^2</f>
        <v>172624363.40018868</v>
      </c>
      <c r="I34" s="4">
        <f t="shared" ref="I34:I65" si="15">E34*G34</f>
        <v>119065.9920118415</v>
      </c>
      <c r="J34" s="4">
        <f t="shared" ref="J34:J65" si="16">$B$171+$A$171*B34</f>
        <v>-3167.6550628692785</v>
      </c>
      <c r="K34" s="4">
        <f t="shared" ref="K34:K65" si="17">C34-J34</f>
        <v>5955.8224628692788</v>
      </c>
      <c r="L34" s="4">
        <f t="shared" ref="L34:L65" si="18">K34^2</f>
        <v>35471821.209218279</v>
      </c>
      <c r="M34" s="4">
        <f t="shared" ref="M34:M65" si="19">L34/($A$165-2)</f>
        <v>221698.88255761424</v>
      </c>
    </row>
    <row r="35" spans="1:13" x14ac:dyDescent="0.4">
      <c r="A35" s="2">
        <v>34</v>
      </c>
      <c r="B35" s="3">
        <v>73.947999999999993</v>
      </c>
      <c r="C35" s="3">
        <v>12549.281199999999</v>
      </c>
      <c r="D35" s="4">
        <f t="shared" si="10"/>
        <v>5468.3067039999987</v>
      </c>
      <c r="E35" s="4">
        <f t="shared" si="11"/>
        <v>1.9277364197530744</v>
      </c>
      <c r="F35" s="4">
        <f t="shared" si="12"/>
        <v>3.7161677040424017</v>
      </c>
      <c r="G35" s="4">
        <f t="shared" si="13"/>
        <v>-3377.5453172839516</v>
      </c>
      <c r="H35" s="4">
        <f t="shared" si="14"/>
        <v>11407812.370306749</v>
      </c>
      <c r="I35" s="4">
        <f t="shared" si="15"/>
        <v>-6511.0171174947263</v>
      </c>
      <c r="J35" s="4">
        <f t="shared" si="16"/>
        <v>19988.629314390681</v>
      </c>
      <c r="K35" s="4">
        <f t="shared" si="17"/>
        <v>-7439.3481143906811</v>
      </c>
      <c r="L35" s="4">
        <f t="shared" si="18"/>
        <v>55343900.367088184</v>
      </c>
      <c r="M35" s="4">
        <f t="shared" si="19"/>
        <v>345899.37729430117</v>
      </c>
    </row>
    <row r="36" spans="1:13" x14ac:dyDescent="0.4">
      <c r="A36" s="2">
        <v>35</v>
      </c>
      <c r="B36" s="3">
        <v>72.278000000000006</v>
      </c>
      <c r="C36" s="3">
        <v>4264.7996000000003</v>
      </c>
      <c r="D36" s="4">
        <f t="shared" si="10"/>
        <v>5224.109284000001</v>
      </c>
      <c r="E36" s="4">
        <f t="shared" si="11"/>
        <v>0.25773641975308692</v>
      </c>
      <c r="F36" s="4">
        <f t="shared" si="12"/>
        <v>6.6428062067139415E-2</v>
      </c>
      <c r="G36" s="4">
        <f t="shared" si="13"/>
        <v>-11662.026917283951</v>
      </c>
      <c r="H36" s="4">
        <f t="shared" si="14"/>
        <v>136002871.81945542</v>
      </c>
      <c r="I36" s="4">
        <f t="shared" si="15"/>
        <v>-3005.7290647248947</v>
      </c>
      <c r="J36" s="4">
        <f t="shared" si="16"/>
        <v>16469.885464524996</v>
      </c>
      <c r="K36" s="4">
        <f t="shared" si="17"/>
        <v>-12205.085864524995</v>
      </c>
      <c r="L36" s="4">
        <f t="shared" si="18"/>
        <v>148964120.96042785</v>
      </c>
      <c r="M36" s="4">
        <f t="shared" si="19"/>
        <v>931025.75600267411</v>
      </c>
    </row>
    <row r="37" spans="1:13" x14ac:dyDescent="0.4">
      <c r="A37" s="2">
        <v>36</v>
      </c>
      <c r="B37" s="3">
        <v>83.3</v>
      </c>
      <c r="C37" s="3">
        <v>59465.5357</v>
      </c>
      <c r="D37" s="4">
        <f t="shared" si="10"/>
        <v>6938.8899999999994</v>
      </c>
      <c r="E37" s="4">
        <f t="shared" si="11"/>
        <v>11.279736419753078</v>
      </c>
      <c r="F37" s="4">
        <f t="shared" si="12"/>
        <v>127.232453699104</v>
      </c>
      <c r="G37" s="4">
        <f t="shared" si="13"/>
        <v>43538.709182716048</v>
      </c>
      <c r="H37" s="4">
        <f t="shared" si="14"/>
        <v>1895619197.2971227</v>
      </c>
      <c r="I37" s="4">
        <f t="shared" si="15"/>
        <v>491105.16363731999</v>
      </c>
      <c r="J37" s="4">
        <f t="shared" si="16"/>
        <v>39693.594873638649</v>
      </c>
      <c r="K37" s="4">
        <f t="shared" si="17"/>
        <v>19771.940826361351</v>
      </c>
      <c r="L37" s="4">
        <f t="shared" si="18"/>
        <v>390929644.04113477</v>
      </c>
      <c r="M37" s="4">
        <f t="shared" si="19"/>
        <v>2443310.2752570924</v>
      </c>
    </row>
    <row r="38" spans="1:13" x14ac:dyDescent="0.4">
      <c r="A38" s="2">
        <v>37</v>
      </c>
      <c r="B38" s="3">
        <v>81.190200000000004</v>
      </c>
      <c r="C38" s="3">
        <v>45368.643400000001</v>
      </c>
      <c r="D38" s="4">
        <f t="shared" si="10"/>
        <v>6591.8485760400008</v>
      </c>
      <c r="E38" s="4">
        <f t="shared" si="11"/>
        <v>9.1699364197530855</v>
      </c>
      <c r="F38" s="4">
        <f t="shared" si="12"/>
        <v>84.087733942314031</v>
      </c>
      <c r="G38" s="4">
        <f t="shared" si="13"/>
        <v>29441.816882716048</v>
      </c>
      <c r="H38" s="4">
        <f t="shared" si="14"/>
        <v>866820581.35538375</v>
      </c>
      <c r="I38" s="4">
        <f t="shared" si="15"/>
        <v>269979.58889651916</v>
      </c>
      <c r="J38" s="4">
        <f t="shared" si="16"/>
        <v>35248.178242233495</v>
      </c>
      <c r="K38" s="4">
        <f t="shared" si="17"/>
        <v>10120.465157766506</v>
      </c>
      <c r="L38" s="4">
        <f t="shared" si="18"/>
        <v>102423815.00956583</v>
      </c>
      <c r="M38" s="4">
        <f t="shared" si="19"/>
        <v>640148.84380978649</v>
      </c>
    </row>
    <row r="39" spans="1:13" x14ac:dyDescent="0.4">
      <c r="A39" s="2">
        <v>38</v>
      </c>
      <c r="B39" s="3">
        <v>70.998999999999995</v>
      </c>
      <c r="C39" s="3">
        <v>5349.5823</v>
      </c>
      <c r="D39" s="4">
        <f t="shared" si="10"/>
        <v>5040.8580009999996</v>
      </c>
      <c r="E39" s="4">
        <f t="shared" si="11"/>
        <v>-1.0212635802469237</v>
      </c>
      <c r="F39" s="4">
        <f t="shared" si="12"/>
        <v>1.0429793003387646</v>
      </c>
      <c r="G39" s="4">
        <f t="shared" si="13"/>
        <v>-10577.244217283951</v>
      </c>
      <c r="H39" s="4">
        <f t="shared" si="14"/>
        <v>111878095.23206678</v>
      </c>
      <c r="I39" s="4">
        <f t="shared" si="15"/>
        <v>10802.154298489477</v>
      </c>
      <c r="J39" s="4">
        <f t="shared" si="16"/>
        <v>13774.991222621844</v>
      </c>
      <c r="K39" s="4">
        <f t="shared" si="17"/>
        <v>-8425.4089226218439</v>
      </c>
      <c r="L39" s="4">
        <f t="shared" si="18"/>
        <v>70987515.513395786</v>
      </c>
      <c r="M39" s="4">
        <f t="shared" si="19"/>
        <v>443671.97195872368</v>
      </c>
    </row>
    <row r="40" spans="1:13" x14ac:dyDescent="0.4">
      <c r="A40" s="2">
        <v>39</v>
      </c>
      <c r="B40" s="3">
        <v>70.751999999999995</v>
      </c>
      <c r="C40" s="3">
        <v>29114.059799999999</v>
      </c>
      <c r="D40" s="4">
        <f t="shared" si="10"/>
        <v>5005.845503999999</v>
      </c>
      <c r="E40" s="4">
        <f t="shared" si="11"/>
        <v>-1.2682635802469235</v>
      </c>
      <c r="F40" s="4">
        <f t="shared" si="12"/>
        <v>1.6084925089807447</v>
      </c>
      <c r="G40" s="4">
        <f t="shared" si="13"/>
        <v>13187.233282716048</v>
      </c>
      <c r="H40" s="4">
        <f t="shared" si="14"/>
        <v>173903121.65277389</v>
      </c>
      <c r="I40" s="4">
        <f t="shared" si="15"/>
        <v>-16724.887696688846</v>
      </c>
      <c r="J40" s="4">
        <f t="shared" si="16"/>
        <v>13254.554258000979</v>
      </c>
      <c r="K40" s="4">
        <f t="shared" si="17"/>
        <v>15859.50554199902</v>
      </c>
      <c r="L40" s="4">
        <f t="shared" si="18"/>
        <v>251523916.03669763</v>
      </c>
      <c r="M40" s="4">
        <f t="shared" si="19"/>
        <v>1572024.4752293602</v>
      </c>
    </row>
    <row r="41" spans="1:13" x14ac:dyDescent="0.4">
      <c r="A41" s="2">
        <v>40</v>
      </c>
      <c r="B41" s="3">
        <v>71.102999999999994</v>
      </c>
      <c r="C41" s="3">
        <v>1702.0803000000001</v>
      </c>
      <c r="D41" s="4">
        <f t="shared" si="10"/>
        <v>5055.6366089999992</v>
      </c>
      <c r="E41" s="4">
        <f t="shared" si="11"/>
        <v>-0.91726358024692445</v>
      </c>
      <c r="F41" s="4">
        <f t="shared" si="12"/>
        <v>0.84137247564740603</v>
      </c>
      <c r="G41" s="4">
        <f t="shared" si="13"/>
        <v>-14224.746217283951</v>
      </c>
      <c r="H41" s="4">
        <f t="shared" si="14"/>
        <v>202343404.94613409</v>
      </c>
      <c r="I41" s="4">
        <f t="shared" si="15"/>
        <v>13047.841643369773</v>
      </c>
      <c r="J41" s="4">
        <f t="shared" si="16"/>
        <v>13994.122576146416</v>
      </c>
      <c r="K41" s="4">
        <f t="shared" si="17"/>
        <v>-12292.042276146416</v>
      </c>
      <c r="L41" s="4">
        <f t="shared" si="18"/>
        <v>151094303.31857076</v>
      </c>
      <c r="M41" s="4">
        <f t="shared" si="19"/>
        <v>944339.39574106724</v>
      </c>
    </row>
    <row r="42" spans="1:13" x14ac:dyDescent="0.4">
      <c r="A42" s="2">
        <v>41</v>
      </c>
      <c r="B42" s="3">
        <v>76.58</v>
      </c>
      <c r="C42" s="3">
        <v>18395.615399999999</v>
      </c>
      <c r="D42" s="4">
        <f t="shared" si="10"/>
        <v>5864.4964</v>
      </c>
      <c r="E42" s="4">
        <f t="shared" si="11"/>
        <v>4.5597364197530794</v>
      </c>
      <c r="F42" s="4">
        <f t="shared" si="12"/>
        <v>20.79119621762263</v>
      </c>
      <c r="G42" s="4">
        <f t="shared" si="13"/>
        <v>2468.7888827160477</v>
      </c>
      <c r="H42" s="4">
        <f t="shared" si="14"/>
        <v>6094918.5474223513</v>
      </c>
      <c r="I42" s="4">
        <f t="shared" si="15"/>
        <v>11257.026581201877</v>
      </c>
      <c r="J42" s="4">
        <f t="shared" si="16"/>
        <v>25534.338184358698</v>
      </c>
      <c r="K42" s="4">
        <f t="shared" si="17"/>
        <v>-7138.7227843586988</v>
      </c>
      <c r="L42" s="4">
        <f t="shared" si="18"/>
        <v>50961362.991922013</v>
      </c>
      <c r="M42" s="4">
        <f t="shared" si="19"/>
        <v>318508.51869951258</v>
      </c>
    </row>
    <row r="43" spans="1:13" x14ac:dyDescent="0.4">
      <c r="A43" s="2">
        <v>42</v>
      </c>
      <c r="B43" s="3">
        <v>72.0715</v>
      </c>
      <c r="C43" s="3">
        <v>6457.7304999999997</v>
      </c>
      <c r="D43" s="4">
        <f t="shared" si="10"/>
        <v>5194.3011122500002</v>
      </c>
      <c r="E43" s="4">
        <f t="shared" si="11"/>
        <v>5.1236419753081464E-2</v>
      </c>
      <c r="F43" s="4">
        <f t="shared" si="12"/>
        <v>2.6251707091139564E-3</v>
      </c>
      <c r="G43" s="4">
        <f t="shared" si="13"/>
        <v>-9469.0960172839514</v>
      </c>
      <c r="H43" s="4">
        <f t="shared" si="14"/>
        <v>89663779.384542793</v>
      </c>
      <c r="I43" s="4">
        <f t="shared" si="15"/>
        <v>-485.16257822379248</v>
      </c>
      <c r="J43" s="4">
        <f t="shared" si="16"/>
        <v>16034.783305844001</v>
      </c>
      <c r="K43" s="4">
        <f t="shared" si="17"/>
        <v>-9577.0528058440013</v>
      </c>
      <c r="L43" s="4">
        <f t="shared" si="18"/>
        <v>91719940.445924461</v>
      </c>
      <c r="M43" s="4">
        <f t="shared" si="19"/>
        <v>573249.62778702786</v>
      </c>
    </row>
    <row r="44" spans="1:13" x14ac:dyDescent="0.4">
      <c r="A44" s="2">
        <v>43</v>
      </c>
      <c r="B44" s="3">
        <v>81.790199999999999</v>
      </c>
      <c r="C44" s="3">
        <v>43140.967700000001</v>
      </c>
      <c r="D44" s="4">
        <f t="shared" si="10"/>
        <v>6689.6368160399998</v>
      </c>
      <c r="E44" s="4">
        <f t="shared" si="11"/>
        <v>9.7699364197530798</v>
      </c>
      <c r="F44" s="4">
        <f t="shared" si="12"/>
        <v>95.451657646017622</v>
      </c>
      <c r="G44" s="4">
        <f t="shared" si="13"/>
        <v>27214.141182716048</v>
      </c>
      <c r="H44" s="4">
        <f t="shared" si="14"/>
        <v>740609480.3128016</v>
      </c>
      <c r="I44" s="4">
        <f t="shared" si="15"/>
        <v>265880.42907331965</v>
      </c>
      <c r="J44" s="4">
        <f t="shared" si="16"/>
        <v>36512.397589490603</v>
      </c>
      <c r="K44" s="4">
        <f t="shared" si="17"/>
        <v>6628.5701105093976</v>
      </c>
      <c r="L44" s="4">
        <f t="shared" si="18"/>
        <v>43937941.709938571</v>
      </c>
      <c r="M44" s="4">
        <f t="shared" si="19"/>
        <v>274612.13568711607</v>
      </c>
    </row>
    <row r="45" spans="1:13" x14ac:dyDescent="0.4">
      <c r="A45" s="2">
        <v>44</v>
      </c>
      <c r="B45" s="3">
        <v>70.917000000000002</v>
      </c>
      <c r="C45" s="3">
        <v>5839.4016000000001</v>
      </c>
      <c r="D45" s="4">
        <f t="shared" si="10"/>
        <v>5029.2208890000002</v>
      </c>
      <c r="E45" s="4">
        <f t="shared" si="11"/>
        <v>-1.1032635802469173</v>
      </c>
      <c r="F45" s="4">
        <f t="shared" si="12"/>
        <v>1.2171905274992461</v>
      </c>
      <c r="G45" s="4">
        <f t="shared" si="13"/>
        <v>-10087.424917283952</v>
      </c>
      <c r="H45" s="4">
        <f t="shared" si="14"/>
        <v>101756141.46184114</v>
      </c>
      <c r="I45" s="4">
        <f t="shared" si="15"/>
        <v>11129.088529714656</v>
      </c>
      <c r="J45" s="4">
        <f t="shared" si="16"/>
        <v>13602.2145784967</v>
      </c>
      <c r="K45" s="4">
        <f t="shared" si="17"/>
        <v>-7762.8129784966995</v>
      </c>
      <c r="L45" s="4">
        <f t="shared" si="18"/>
        <v>60261265.339116797</v>
      </c>
      <c r="M45" s="4">
        <f t="shared" si="19"/>
        <v>376632.90836947999</v>
      </c>
    </row>
    <row r="46" spans="1:13" x14ac:dyDescent="0.4">
      <c r="A46" s="2">
        <v>45</v>
      </c>
      <c r="B46" s="3">
        <v>59.61</v>
      </c>
      <c r="C46" s="3">
        <v>1176.3773000000001</v>
      </c>
      <c r="D46" s="4">
        <f t="shared" si="10"/>
        <v>3553.3521000000001</v>
      </c>
      <c r="E46" s="4">
        <f t="shared" si="11"/>
        <v>-12.410263580246919</v>
      </c>
      <c r="F46" s="4">
        <f t="shared" si="12"/>
        <v>154.01464213120309</v>
      </c>
      <c r="G46" s="4">
        <f t="shared" si="13"/>
        <v>-14750.449217283951</v>
      </c>
      <c r="H46" s="4">
        <f t="shared" si="14"/>
        <v>217575752.11167273</v>
      </c>
      <c r="I46" s="4">
        <f t="shared" si="15"/>
        <v>183056.96271354071</v>
      </c>
      <c r="J46" s="4">
        <f t="shared" si="16"/>
        <v>-10221.999020564108</v>
      </c>
      <c r="K46" s="4">
        <f t="shared" si="17"/>
        <v>11398.376320564108</v>
      </c>
      <c r="L46" s="4">
        <f t="shared" si="18"/>
        <v>129922982.74519658</v>
      </c>
      <c r="M46" s="4">
        <f t="shared" si="19"/>
        <v>812018.64215747861</v>
      </c>
    </row>
    <row r="47" spans="1:13" x14ac:dyDescent="0.4">
      <c r="A47" s="2">
        <v>46</v>
      </c>
      <c r="B47" s="3">
        <v>72.447999999999993</v>
      </c>
      <c r="C47" s="3">
        <v>3206.2037</v>
      </c>
      <c r="D47" s="4">
        <f t="shared" si="10"/>
        <v>5248.7127039999987</v>
      </c>
      <c r="E47" s="4">
        <f t="shared" si="11"/>
        <v>0.42773641975307441</v>
      </c>
      <c r="F47" s="4">
        <f t="shared" si="12"/>
        <v>0.18295844478317827</v>
      </c>
      <c r="G47" s="4">
        <f t="shared" si="13"/>
        <v>-12720.622817283951</v>
      </c>
      <c r="H47" s="4">
        <f t="shared" si="14"/>
        <v>161814244.85960507</v>
      </c>
      <c r="I47" s="4">
        <f t="shared" si="15"/>
        <v>-5441.0736608943043</v>
      </c>
      <c r="J47" s="4">
        <f t="shared" si="16"/>
        <v>16828.080946247821</v>
      </c>
      <c r="K47" s="4">
        <f t="shared" si="17"/>
        <v>-13621.877246247821</v>
      </c>
      <c r="L47" s="4">
        <f t="shared" si="18"/>
        <v>185555539.71184412</v>
      </c>
      <c r="M47" s="4">
        <f t="shared" si="19"/>
        <v>1159722.1231990256</v>
      </c>
    </row>
    <row r="48" spans="1:13" x14ac:dyDescent="0.4">
      <c r="A48" s="2">
        <v>47</v>
      </c>
      <c r="B48" s="3">
        <v>61.427</v>
      </c>
      <c r="C48" s="3">
        <v>3011.5511000000001</v>
      </c>
      <c r="D48" s="4">
        <f t="shared" si="10"/>
        <v>3773.2763289999998</v>
      </c>
      <c r="E48" s="4">
        <f t="shared" si="11"/>
        <v>-10.593263580246919</v>
      </c>
      <c r="F48" s="4">
        <f t="shared" si="12"/>
        <v>112.21723328058577</v>
      </c>
      <c r="G48" s="4">
        <f t="shared" si="13"/>
        <v>-12915.27541728395</v>
      </c>
      <c r="H48" s="4">
        <f t="shared" si="14"/>
        <v>166804339.10429913</v>
      </c>
      <c r="I48" s="4">
        <f t="shared" si="15"/>
        <v>136814.9167067724</v>
      </c>
      <c r="J48" s="4">
        <f t="shared" si="16"/>
        <v>-6393.5214306203998</v>
      </c>
      <c r="K48" s="4">
        <f t="shared" si="17"/>
        <v>9405.0725306204004</v>
      </c>
      <c r="L48" s="4">
        <f t="shared" si="18"/>
        <v>88455389.306230426</v>
      </c>
      <c r="M48" s="4">
        <f t="shared" si="19"/>
        <v>552846.18316394021</v>
      </c>
    </row>
    <row r="49" spans="1:13" x14ac:dyDescent="0.4">
      <c r="A49" s="2">
        <v>48</v>
      </c>
      <c r="B49" s="3">
        <v>74.566999999999993</v>
      </c>
      <c r="C49" s="3">
        <v>5995.5420000000004</v>
      </c>
      <c r="D49" s="4">
        <f t="shared" si="10"/>
        <v>5560.2374889999992</v>
      </c>
      <c r="E49" s="4">
        <f t="shared" si="11"/>
        <v>2.5467364197530742</v>
      </c>
      <c r="F49" s="4">
        <f t="shared" si="12"/>
        <v>6.4858663916967068</v>
      </c>
      <c r="G49" s="4">
        <f t="shared" si="13"/>
        <v>-9931.2845172839516</v>
      </c>
      <c r="H49" s="4">
        <f t="shared" si="14"/>
        <v>98630412.163243935</v>
      </c>
      <c r="I49" s="4">
        <f t="shared" si="15"/>
        <v>-25292.363975096869</v>
      </c>
      <c r="J49" s="4">
        <f t="shared" si="16"/>
        <v>21292.882274310978</v>
      </c>
      <c r="K49" s="4">
        <f t="shared" si="17"/>
        <v>-15297.340274310976</v>
      </c>
      <c r="L49" s="4">
        <f t="shared" si="18"/>
        <v>234008619.46805662</v>
      </c>
      <c r="M49" s="4">
        <f t="shared" si="19"/>
        <v>1462553.871675354</v>
      </c>
    </row>
    <row r="50" spans="1:13" x14ac:dyDescent="0.4">
      <c r="A50" s="2">
        <v>49</v>
      </c>
      <c r="B50" s="3">
        <v>63.302999999999997</v>
      </c>
      <c r="C50" s="3">
        <v>6895.9117999999999</v>
      </c>
      <c r="D50" s="4">
        <f t="shared" si="10"/>
        <v>4007.2698089999994</v>
      </c>
      <c r="E50" s="4">
        <f t="shared" si="11"/>
        <v>-8.7172635802469216</v>
      </c>
      <c r="F50" s="4">
        <f t="shared" si="12"/>
        <v>75.99068432749938</v>
      </c>
      <c r="G50" s="4">
        <f t="shared" si="13"/>
        <v>-9030.9147172839512</v>
      </c>
      <c r="H50" s="4">
        <f t="shared" si="14"/>
        <v>81557420.630855873</v>
      </c>
      <c r="I50" s="4">
        <f t="shared" si="15"/>
        <v>78724.863961295312</v>
      </c>
      <c r="J50" s="4">
        <f t="shared" si="16"/>
        <v>-2440.7289381964074</v>
      </c>
      <c r="K50" s="4">
        <f t="shared" si="17"/>
        <v>9336.6407381964073</v>
      </c>
      <c r="L50" s="4">
        <f t="shared" si="18"/>
        <v>87172860.274148747</v>
      </c>
      <c r="M50" s="4">
        <f t="shared" si="19"/>
        <v>544830.37671342969</v>
      </c>
    </row>
    <row r="51" spans="1:13" x14ac:dyDescent="0.4">
      <c r="A51" s="2">
        <v>50</v>
      </c>
      <c r="B51" s="3">
        <v>73.037999999999997</v>
      </c>
      <c r="C51" s="3">
        <v>8799.2294999999995</v>
      </c>
      <c r="D51" s="4">
        <f t="shared" si="10"/>
        <v>5334.5494439999993</v>
      </c>
      <c r="E51" s="4">
        <f t="shared" si="11"/>
        <v>1.0177364197530778</v>
      </c>
      <c r="F51" s="4">
        <f t="shared" si="12"/>
        <v>1.0357874200918131</v>
      </c>
      <c r="G51" s="4">
        <f t="shared" si="13"/>
        <v>-7127.5970172839516</v>
      </c>
      <c r="H51" s="4">
        <f t="shared" si="14"/>
        <v>50802639.240795083</v>
      </c>
      <c r="I51" s="4">
        <f t="shared" si="15"/>
        <v>-7254.0150698132857</v>
      </c>
      <c r="J51" s="4">
        <f t="shared" si="16"/>
        <v>18071.229971050692</v>
      </c>
      <c r="K51" s="4">
        <f t="shared" si="17"/>
        <v>-9272.0004710506928</v>
      </c>
      <c r="L51" s="4">
        <f t="shared" si="18"/>
        <v>85969992.73516427</v>
      </c>
      <c r="M51" s="4">
        <f t="shared" si="19"/>
        <v>537312.45459477673</v>
      </c>
    </row>
    <row r="52" spans="1:13" x14ac:dyDescent="0.4">
      <c r="A52" s="2">
        <v>51</v>
      </c>
      <c r="B52" s="3">
        <v>71.212199999999996</v>
      </c>
      <c r="C52" s="3">
        <v>9161.9454000000005</v>
      </c>
      <c r="D52" s="4">
        <f t="shared" si="10"/>
        <v>5071.1774288399993</v>
      </c>
      <c r="E52" s="4">
        <f t="shared" si="11"/>
        <v>-0.80806358024692315</v>
      </c>
      <c r="F52" s="4">
        <f t="shared" si="12"/>
        <v>0.65296674972147561</v>
      </c>
      <c r="G52" s="4">
        <f t="shared" si="13"/>
        <v>-6764.8811172839505</v>
      </c>
      <c r="H52" s="4">
        <f t="shared" si="14"/>
        <v>45763616.530984953</v>
      </c>
      <c r="I52" s="4">
        <f t="shared" si="15"/>
        <v>5466.4540555772746</v>
      </c>
      <c r="J52" s="4">
        <f t="shared" si="16"/>
        <v>14224.210497347201</v>
      </c>
      <c r="K52" s="4">
        <f t="shared" si="17"/>
        <v>-5062.2650973472009</v>
      </c>
      <c r="L52" s="4">
        <f t="shared" si="18"/>
        <v>25626527.915819667</v>
      </c>
      <c r="M52" s="4">
        <f t="shared" si="19"/>
        <v>160165.79947387293</v>
      </c>
    </row>
    <row r="53" spans="1:13" x14ac:dyDescent="0.4">
      <c r="A53" s="2">
        <v>52</v>
      </c>
      <c r="B53" s="3">
        <v>60.045999999999999</v>
      </c>
      <c r="C53" s="3">
        <v>745.47260000000006</v>
      </c>
      <c r="D53" s="4">
        <f t="shared" si="10"/>
        <v>3605.5221160000001</v>
      </c>
      <c r="E53" s="4">
        <f t="shared" si="11"/>
        <v>-11.97426358024692</v>
      </c>
      <c r="F53" s="4">
        <f t="shared" si="12"/>
        <v>143.38298828922777</v>
      </c>
      <c r="G53" s="4">
        <f t="shared" si="13"/>
        <v>-15181.353917283952</v>
      </c>
      <c r="H53" s="4">
        <f t="shared" si="14"/>
        <v>230473506.7618328</v>
      </c>
      <c r="I53" s="4">
        <f t="shared" si="15"/>
        <v>181785.53331057212</v>
      </c>
      <c r="J53" s="4">
        <f t="shared" si="16"/>
        <v>-9303.3329615572584</v>
      </c>
      <c r="K53" s="4">
        <f t="shared" si="17"/>
        <v>10048.805561557259</v>
      </c>
      <c r="L53" s="4">
        <f t="shared" si="18"/>
        <v>100978493.2139841</v>
      </c>
      <c r="M53" s="4">
        <f t="shared" si="19"/>
        <v>631115.58258740068</v>
      </c>
    </row>
    <row r="54" spans="1:13" x14ac:dyDescent="0.4">
      <c r="A54" s="2">
        <v>53</v>
      </c>
      <c r="B54" s="3">
        <v>74.424000000000007</v>
      </c>
      <c r="C54" s="3">
        <v>3471.6552999999999</v>
      </c>
      <c r="D54" s="4">
        <f t="shared" si="10"/>
        <v>5538.9317760000013</v>
      </c>
      <c r="E54" s="4">
        <f t="shared" si="11"/>
        <v>2.4037364197530877</v>
      </c>
      <c r="F54" s="4">
        <f t="shared" si="12"/>
        <v>5.777948775647392</v>
      </c>
      <c r="G54" s="4">
        <f t="shared" si="13"/>
        <v>-12455.171217283951</v>
      </c>
      <c r="H54" s="4">
        <f t="shared" si="14"/>
        <v>155131290.05185857</v>
      </c>
      <c r="I54" s="4">
        <f t="shared" si="15"/>
        <v>-29938.94866924583</v>
      </c>
      <c r="J54" s="4">
        <f t="shared" si="16"/>
        <v>20991.576663214713</v>
      </c>
      <c r="K54" s="4">
        <f t="shared" si="17"/>
        <v>-17519.921363214715</v>
      </c>
      <c r="L54" s="4">
        <f t="shared" si="18"/>
        <v>306947644.57322735</v>
      </c>
      <c r="M54" s="4">
        <f t="shared" si="19"/>
        <v>1918422.778582671</v>
      </c>
    </row>
    <row r="55" spans="1:13" x14ac:dyDescent="0.4">
      <c r="A55" s="2">
        <v>54</v>
      </c>
      <c r="B55" s="3">
        <v>69.301000000000002</v>
      </c>
      <c r="C55" s="3">
        <v>1938.7644</v>
      </c>
      <c r="D55" s="4">
        <f t="shared" si="10"/>
        <v>4802.6286010000003</v>
      </c>
      <c r="E55" s="4">
        <f t="shared" si="11"/>
        <v>-2.7192635802469169</v>
      </c>
      <c r="F55" s="4">
        <f t="shared" si="12"/>
        <v>7.3943944188572805</v>
      </c>
      <c r="G55" s="4">
        <f t="shared" si="13"/>
        <v>-13988.062117283951</v>
      </c>
      <c r="H55" s="4">
        <f t="shared" si="14"/>
        <v>195665881.79699436</v>
      </c>
      <c r="I55" s="4">
        <f t="shared" si="15"/>
        <v>38037.227873761825</v>
      </c>
      <c r="J55" s="4">
        <f t="shared" si="16"/>
        <v>10197.250469884137</v>
      </c>
      <c r="K55" s="4">
        <f t="shared" si="17"/>
        <v>-8258.4860698841367</v>
      </c>
      <c r="L55" s="4">
        <f t="shared" si="18"/>
        <v>68202592.166470334</v>
      </c>
      <c r="M55" s="4">
        <f t="shared" si="19"/>
        <v>426266.2010404396</v>
      </c>
    </row>
    <row r="56" spans="1:13" x14ac:dyDescent="0.4">
      <c r="A56" s="2">
        <v>55</v>
      </c>
      <c r="B56" s="3">
        <v>61.146000000000001</v>
      </c>
      <c r="C56" s="3">
        <v>1443.576</v>
      </c>
      <c r="D56" s="4">
        <f t="shared" si="10"/>
        <v>3738.8333160000002</v>
      </c>
      <c r="E56" s="4">
        <f t="shared" si="11"/>
        <v>-10.874263580246918</v>
      </c>
      <c r="F56" s="4">
        <f t="shared" si="12"/>
        <v>118.24960841268452</v>
      </c>
      <c r="G56" s="4">
        <f t="shared" si="13"/>
        <v>-14483.250517283952</v>
      </c>
      <c r="H56" s="4">
        <f t="shared" si="14"/>
        <v>209764545.54640585</v>
      </c>
      <c r="I56" s="4">
        <f t="shared" si="15"/>
        <v>157494.68362369321</v>
      </c>
      <c r="J56" s="4">
        <f t="shared" si="16"/>
        <v>-6985.5974915858242</v>
      </c>
      <c r="K56" s="4">
        <f t="shared" si="17"/>
        <v>8429.1734915858251</v>
      </c>
      <c r="L56" s="4">
        <f t="shared" si="18"/>
        <v>71050965.751253173</v>
      </c>
      <c r="M56" s="4">
        <f t="shared" si="19"/>
        <v>444068.53594533232</v>
      </c>
    </row>
    <row r="57" spans="1:13" x14ac:dyDescent="0.4">
      <c r="A57" s="2">
        <v>56</v>
      </c>
      <c r="B57" s="3">
        <v>81.451499999999996</v>
      </c>
      <c r="C57" s="3">
        <v>44639.238100000002</v>
      </c>
      <c r="D57" s="4">
        <f t="shared" si="10"/>
        <v>6634.3468522499998</v>
      </c>
      <c r="E57" s="4">
        <f t="shared" si="11"/>
        <v>9.4312364197530769</v>
      </c>
      <c r="F57" s="4">
        <f t="shared" si="12"/>
        <v>88.948220405276842</v>
      </c>
      <c r="G57" s="4">
        <f t="shared" si="13"/>
        <v>28712.411582716049</v>
      </c>
      <c r="H57" s="4">
        <f t="shared" si="14"/>
        <v>824402578.8952868</v>
      </c>
      <c r="I57" s="4">
        <f t="shared" si="15"/>
        <v>270793.54181785171</v>
      </c>
      <c r="J57" s="4">
        <f t="shared" si="16"/>
        <v>35798.745767963934</v>
      </c>
      <c r="K57" s="4">
        <f t="shared" si="17"/>
        <v>8840.4923320360685</v>
      </c>
      <c r="L57" s="4">
        <f t="shared" si="18"/>
        <v>78154304.672788531</v>
      </c>
      <c r="M57" s="4">
        <f t="shared" si="19"/>
        <v>488464.40420492832</v>
      </c>
    </row>
    <row r="58" spans="1:13" x14ac:dyDescent="0.4">
      <c r="A58" s="2">
        <v>57</v>
      </c>
      <c r="B58" s="3">
        <v>53.136000000000003</v>
      </c>
      <c r="C58" s="3">
        <v>857.52760000000001</v>
      </c>
      <c r="D58" s="4">
        <f t="shared" si="10"/>
        <v>2823.4344960000003</v>
      </c>
      <c r="E58" s="4">
        <f t="shared" si="11"/>
        <v>-18.884263580246916</v>
      </c>
      <c r="F58" s="4">
        <f t="shared" si="12"/>
        <v>356.6154109682401</v>
      </c>
      <c r="G58" s="4">
        <f t="shared" si="13"/>
        <v>-15069.298917283952</v>
      </c>
      <c r="H58" s="4">
        <f t="shared" si="14"/>
        <v>227083769.85845527</v>
      </c>
      <c r="I58" s="4">
        <f t="shared" si="15"/>
        <v>284572.61272351962</v>
      </c>
      <c r="J58" s="4">
        <f t="shared" si="16"/>
        <v>-23862.925777468656</v>
      </c>
      <c r="K58" s="4">
        <f t="shared" si="17"/>
        <v>24720.453377468657</v>
      </c>
      <c r="L58" s="4">
        <f t="shared" si="18"/>
        <v>611100815.18760157</v>
      </c>
      <c r="M58" s="4">
        <f t="shared" si="19"/>
        <v>3819380.09492251</v>
      </c>
    </row>
    <row r="59" spans="1:13" x14ac:dyDescent="0.4">
      <c r="A59" s="2">
        <v>58</v>
      </c>
      <c r="B59" s="3">
        <v>78.876000000000005</v>
      </c>
      <c r="C59" s="3">
        <v>14056.2516</v>
      </c>
      <c r="D59" s="4">
        <f t="shared" si="10"/>
        <v>6221.4233760000006</v>
      </c>
      <c r="E59" s="4">
        <f t="shared" si="11"/>
        <v>6.8557364197530859</v>
      </c>
      <c r="F59" s="4">
        <f t="shared" si="12"/>
        <v>47.001121857128858</v>
      </c>
      <c r="G59" s="4">
        <f t="shared" si="13"/>
        <v>-1870.5749172839514</v>
      </c>
      <c r="H59" s="4">
        <f t="shared" si="14"/>
        <v>3499050.5211718618</v>
      </c>
      <c r="I59" s="4">
        <f t="shared" si="15"/>
        <v>-12824.168586300202</v>
      </c>
      <c r="J59" s="4">
        <f t="shared" si="16"/>
        <v>30372.084219862678</v>
      </c>
      <c r="K59" s="4">
        <f t="shared" si="17"/>
        <v>-16315.832619862678</v>
      </c>
      <c r="L59" s="4">
        <f t="shared" si="18"/>
        <v>266206394.07937503</v>
      </c>
      <c r="M59" s="4">
        <f t="shared" si="19"/>
        <v>1663789.962996094</v>
      </c>
    </row>
    <row r="60" spans="1:13" x14ac:dyDescent="0.4">
      <c r="A60" s="2">
        <v>59</v>
      </c>
      <c r="B60" s="3">
        <v>72.697999999999993</v>
      </c>
      <c r="C60" s="3">
        <v>6457.1692000000003</v>
      </c>
      <c r="D60" s="4">
        <f t="shared" si="10"/>
        <v>5284.9992039999988</v>
      </c>
      <c r="E60" s="4">
        <f t="shared" si="11"/>
        <v>0.67773641975307441</v>
      </c>
      <c r="F60" s="4">
        <f t="shared" si="12"/>
        <v>0.45932665465971545</v>
      </c>
      <c r="G60" s="4">
        <f t="shared" si="13"/>
        <v>-9469.6573172839508</v>
      </c>
      <c r="H60" s="4">
        <f t="shared" si="14"/>
        <v>89674409.706789479</v>
      </c>
      <c r="I60" s="4">
        <f t="shared" si="15"/>
        <v>-6417.9316465045285</v>
      </c>
      <c r="J60" s="4">
        <f t="shared" si="16"/>
        <v>17354.839007604984</v>
      </c>
      <c r="K60" s="4">
        <f t="shared" si="17"/>
        <v>-10897.669807604983</v>
      </c>
      <c r="L60" s="4">
        <f t="shared" si="18"/>
        <v>118759207.23558524</v>
      </c>
      <c r="M60" s="4">
        <f t="shared" si="19"/>
        <v>742245.04522240779</v>
      </c>
    </row>
    <row r="61" spans="1:13" x14ac:dyDescent="0.4">
      <c r="A61" s="2">
        <v>60</v>
      </c>
      <c r="B61" s="3">
        <v>60.043999999999997</v>
      </c>
      <c r="C61" s="3">
        <v>485.16079999999999</v>
      </c>
      <c r="D61" s="4">
        <f t="shared" si="10"/>
        <v>3605.2819359999994</v>
      </c>
      <c r="E61" s="4">
        <f t="shared" si="11"/>
        <v>-11.976263580246922</v>
      </c>
      <c r="F61" s="4">
        <f t="shared" si="12"/>
        <v>143.43088934354881</v>
      </c>
      <c r="G61" s="4">
        <f t="shared" si="13"/>
        <v>-15441.665717283951</v>
      </c>
      <c r="H61" s="4">
        <f t="shared" si="14"/>
        <v>238445040.1243425</v>
      </c>
      <c r="I61" s="4">
        <f t="shared" si="15"/>
        <v>184933.45874825525</v>
      </c>
      <c r="J61" s="4">
        <f t="shared" si="16"/>
        <v>-9307.5470260481234</v>
      </c>
      <c r="K61" s="4">
        <f t="shared" si="17"/>
        <v>9792.707826048123</v>
      </c>
      <c r="L61" s="4">
        <f t="shared" si="18"/>
        <v>95897126.566344157</v>
      </c>
      <c r="M61" s="4">
        <f t="shared" si="19"/>
        <v>599357.04103965103</v>
      </c>
    </row>
    <row r="62" spans="1:13" x14ac:dyDescent="0.4">
      <c r="A62" s="2">
        <v>61</v>
      </c>
      <c r="B62" s="3">
        <v>78.05</v>
      </c>
      <c r="C62" s="3">
        <v>13267.254999999999</v>
      </c>
      <c r="D62" s="4">
        <f t="shared" si="10"/>
        <v>6091.8024999999998</v>
      </c>
      <c r="E62" s="4">
        <f t="shared" si="11"/>
        <v>6.0297364197530783</v>
      </c>
      <c r="F62" s="4">
        <f t="shared" si="12"/>
        <v>36.35772129169667</v>
      </c>
      <c r="G62" s="4">
        <f t="shared" si="13"/>
        <v>-2659.5715172839518</v>
      </c>
      <c r="H62" s="4">
        <f t="shared" si="14"/>
        <v>7073320.6555480622</v>
      </c>
      <c r="I62" s="4">
        <f t="shared" si="15"/>
        <v>-16036.515238704998</v>
      </c>
      <c r="J62" s="4">
        <f t="shared" si="16"/>
        <v>28631.67558513867</v>
      </c>
      <c r="K62" s="4">
        <f t="shared" si="17"/>
        <v>-15364.420585138671</v>
      </c>
      <c r="L62" s="4">
        <f t="shared" si="18"/>
        <v>236065419.91703293</v>
      </c>
      <c r="M62" s="4">
        <f t="shared" si="19"/>
        <v>1475408.8744814559</v>
      </c>
    </row>
    <row r="63" spans="1:13" x14ac:dyDescent="0.4">
      <c r="A63" s="2">
        <v>62</v>
      </c>
      <c r="B63" s="3">
        <v>60.29</v>
      </c>
      <c r="C63" s="3">
        <v>2146.4605000000001</v>
      </c>
      <c r="D63" s="4">
        <f t="shared" si="10"/>
        <v>3634.8840999999998</v>
      </c>
      <c r="E63" s="4">
        <f t="shared" si="11"/>
        <v>-11.73026358024692</v>
      </c>
      <c r="F63" s="4">
        <f t="shared" si="12"/>
        <v>137.59908366206727</v>
      </c>
      <c r="G63" s="4">
        <f t="shared" si="13"/>
        <v>-13780.366017283952</v>
      </c>
      <c r="H63" s="4">
        <f t="shared" si="14"/>
        <v>189898487.57031438</v>
      </c>
      <c r="I63" s="4">
        <f t="shared" si="15"/>
        <v>161647.32561501823</v>
      </c>
      <c r="J63" s="4">
        <f t="shared" si="16"/>
        <v>-8789.2170936726907</v>
      </c>
      <c r="K63" s="4">
        <f t="shared" si="17"/>
        <v>10935.677593672692</v>
      </c>
      <c r="L63" s="4">
        <f t="shared" si="18"/>
        <v>119589044.43275495</v>
      </c>
      <c r="M63" s="4">
        <f t="shared" si="19"/>
        <v>747431.52770471841</v>
      </c>
    </row>
    <row r="64" spans="1:13" x14ac:dyDescent="0.4">
      <c r="A64" s="2">
        <v>63</v>
      </c>
      <c r="B64" s="3">
        <v>76.424400000000006</v>
      </c>
      <c r="C64" s="3">
        <v>15395.2862</v>
      </c>
      <c r="D64" s="4">
        <f t="shared" si="10"/>
        <v>5840.6889153600005</v>
      </c>
      <c r="E64" s="4">
        <f t="shared" si="11"/>
        <v>4.4041364197530868</v>
      </c>
      <c r="F64" s="4">
        <f t="shared" si="12"/>
        <v>19.396417603795538</v>
      </c>
      <c r="G64" s="4">
        <f t="shared" si="13"/>
        <v>-531.54031728395057</v>
      </c>
      <c r="H64" s="4">
        <f t="shared" si="14"/>
        <v>282535.10889832285</v>
      </c>
      <c r="I64" s="4">
        <f t="shared" si="15"/>
        <v>-2340.976069917358</v>
      </c>
      <c r="J64" s="4">
        <f t="shared" si="16"/>
        <v>25206.483966970001</v>
      </c>
      <c r="K64" s="4">
        <f t="shared" si="17"/>
        <v>-9811.1977669700009</v>
      </c>
      <c r="L64" s="4">
        <f t="shared" si="18"/>
        <v>96259601.622597128</v>
      </c>
      <c r="M64" s="4">
        <f t="shared" si="19"/>
        <v>601622.51014123205</v>
      </c>
    </row>
    <row r="65" spans="1:13" x14ac:dyDescent="0.4">
      <c r="A65" s="2">
        <v>64</v>
      </c>
      <c r="B65" s="3">
        <v>73.200999999999993</v>
      </c>
      <c r="C65" s="3">
        <v>7379.0428000000002</v>
      </c>
      <c r="D65" s="4">
        <f t="shared" si="10"/>
        <v>5358.3864009999988</v>
      </c>
      <c r="E65" s="4">
        <f t="shared" si="11"/>
        <v>1.1807364197530745</v>
      </c>
      <c r="F65" s="4">
        <f t="shared" si="12"/>
        <v>1.3941384929313085</v>
      </c>
      <c r="G65" s="4">
        <f t="shared" si="13"/>
        <v>-8547.78371728395</v>
      </c>
      <c r="H65" s="4">
        <f t="shared" si="14"/>
        <v>73064606.477464616</v>
      </c>
      <c r="I65" s="4">
        <f t="shared" si="15"/>
        <v>-10092.679543169477</v>
      </c>
      <c r="J65" s="4">
        <f t="shared" si="16"/>
        <v>18414.676227055548</v>
      </c>
      <c r="K65" s="4">
        <f t="shared" si="17"/>
        <v>-11035.633427055549</v>
      </c>
      <c r="L65" s="4">
        <f t="shared" si="18"/>
        <v>121785205.1363458</v>
      </c>
      <c r="M65" s="4">
        <f t="shared" si="19"/>
        <v>761157.53210216132</v>
      </c>
    </row>
    <row r="66" spans="1:13" x14ac:dyDescent="0.4">
      <c r="A66" s="2">
        <v>65</v>
      </c>
      <c r="B66" s="3">
        <v>80.572999999999993</v>
      </c>
      <c r="C66" s="3">
        <v>29517.0586</v>
      </c>
      <c r="D66" s="4">
        <f t="shared" ref="D66:D97" si="20">B66^2</f>
        <v>6492.0083289999993</v>
      </c>
      <c r="E66" s="4">
        <f t="shared" ref="E66:E97" si="21">B66-$B$167</f>
        <v>8.5527364197530744</v>
      </c>
      <c r="F66" s="4">
        <f t="shared" ref="F66:F97" si="22">E66^2</f>
        <v>73.149300265770634</v>
      </c>
      <c r="G66" s="4">
        <f t="shared" ref="G66:G97" si="23">C66-$C$167</f>
        <v>13590.232082716049</v>
      </c>
      <c r="H66" s="4">
        <f t="shared" ref="H66:H97" si="24">G66^2</f>
        <v>184694408.06208462</v>
      </c>
      <c r="I66" s="4">
        <f t="shared" ref="I66:I97" si="25">E66*G66</f>
        <v>116233.67288674224</v>
      </c>
      <c r="J66" s="4">
        <f t="shared" ref="J66:J97" si="26">$B$171+$A$171*B66</f>
        <v>33947.717940354953</v>
      </c>
      <c r="K66" s="4">
        <f t="shared" ref="K66:K97" si="27">C66-J66</f>
        <v>-4430.6593403549523</v>
      </c>
      <c r="L66" s="4">
        <f t="shared" ref="L66:L97" si="28">K66^2</f>
        <v>19630742.190274581</v>
      </c>
      <c r="M66" s="4">
        <f t="shared" ref="M66:M97" si="29">L66/($A$165-2)</f>
        <v>122692.13868921614</v>
      </c>
    </row>
    <row r="67" spans="1:13" x14ac:dyDescent="0.4">
      <c r="A67" s="2">
        <v>66</v>
      </c>
      <c r="B67" s="3">
        <v>77.221999999999994</v>
      </c>
      <c r="C67" s="3">
        <v>20373.8783</v>
      </c>
      <c r="D67" s="4">
        <f t="shared" si="20"/>
        <v>5963.2372839999989</v>
      </c>
      <c r="E67" s="4">
        <f t="shared" si="21"/>
        <v>5.2017364197530753</v>
      </c>
      <c r="F67" s="4">
        <f t="shared" si="22"/>
        <v>27.058061780585543</v>
      </c>
      <c r="G67" s="4">
        <f t="shared" si="23"/>
        <v>4447.0517827160493</v>
      </c>
      <c r="H67" s="4">
        <f t="shared" si="24"/>
        <v>19776269.558157992</v>
      </c>
      <c r="I67" s="4">
        <f t="shared" si="25"/>
        <v>23132.391218681914</v>
      </c>
      <c r="J67" s="4">
        <f t="shared" si="26"/>
        <v>26887.052885923826</v>
      </c>
      <c r="K67" s="4">
        <f t="shared" si="27"/>
        <v>-6513.1745859238254</v>
      </c>
      <c r="L67" s="4">
        <f t="shared" si="28"/>
        <v>42421443.186723992</v>
      </c>
      <c r="M67" s="4">
        <f t="shared" si="29"/>
        <v>265134.01991702494</v>
      </c>
    </row>
    <row r="68" spans="1:13" x14ac:dyDescent="0.4">
      <c r="A68" s="2">
        <v>67</v>
      </c>
      <c r="B68" s="3">
        <v>81.404899999999998</v>
      </c>
      <c r="C68" s="3">
        <v>59312.815799999997</v>
      </c>
      <c r="D68" s="4">
        <f t="shared" si="20"/>
        <v>6626.7577440099994</v>
      </c>
      <c r="E68" s="4">
        <f t="shared" si="21"/>
        <v>9.3846364197530789</v>
      </c>
      <c r="F68" s="4">
        <f t="shared" si="22"/>
        <v>88.071400730955887</v>
      </c>
      <c r="G68" s="4">
        <f t="shared" si="23"/>
        <v>43385.989282716044</v>
      </c>
      <c r="H68" s="4">
        <f t="shared" si="24"/>
        <v>1882344066.0399513</v>
      </c>
      <c r="I68" s="4">
        <f t="shared" si="25"/>
        <v>407161.73512959376</v>
      </c>
      <c r="J68" s="4">
        <f t="shared" si="26"/>
        <v>35700.558065326972</v>
      </c>
      <c r="K68" s="4">
        <f t="shared" si="27"/>
        <v>23612.257734673025</v>
      </c>
      <c r="L68" s="4">
        <f t="shared" si="28"/>
        <v>557538715.32862604</v>
      </c>
      <c r="M68" s="4">
        <f t="shared" si="29"/>
        <v>3484616.9708039127</v>
      </c>
    </row>
    <row r="69" spans="1:13" x14ac:dyDescent="0.4">
      <c r="A69" s="2">
        <v>68</v>
      </c>
      <c r="B69" s="3">
        <v>69.831999999999994</v>
      </c>
      <c r="C69" s="3">
        <v>7738.3172999999997</v>
      </c>
      <c r="D69" s="4">
        <f t="shared" si="20"/>
        <v>4876.5082239999992</v>
      </c>
      <c r="E69" s="4">
        <f t="shared" si="21"/>
        <v>-2.1882635802469252</v>
      </c>
      <c r="F69" s="4">
        <f t="shared" si="22"/>
        <v>4.7884974966350917</v>
      </c>
      <c r="G69" s="4">
        <f t="shared" si="23"/>
        <v>-8188.5092172839513</v>
      </c>
      <c r="H69" s="4">
        <f t="shared" si="24"/>
        <v>67051683.201544233</v>
      </c>
      <c r="I69" s="4">
        <f t="shared" si="25"/>
        <v>17918.616496698727</v>
      </c>
      <c r="J69" s="4">
        <f t="shared" si="26"/>
        <v>11316.084592206695</v>
      </c>
      <c r="K69" s="4">
        <f t="shared" si="27"/>
        <v>-3577.7672922066949</v>
      </c>
      <c r="L69" s="4">
        <f t="shared" si="28"/>
        <v>12800418.797184026</v>
      </c>
      <c r="M69" s="4">
        <f t="shared" si="29"/>
        <v>80002.617482400165</v>
      </c>
    </row>
    <row r="70" spans="1:13" x14ac:dyDescent="0.4">
      <c r="A70" s="2">
        <v>69</v>
      </c>
      <c r="B70" s="3">
        <v>71.757000000000005</v>
      </c>
      <c r="C70" s="3">
        <v>8344.9050999999999</v>
      </c>
      <c r="D70" s="4">
        <f t="shared" si="20"/>
        <v>5149.0670490000011</v>
      </c>
      <c r="E70" s="4">
        <f t="shared" si="21"/>
        <v>-0.26326358024691388</v>
      </c>
      <c r="F70" s="4">
        <f t="shared" si="22"/>
        <v>6.9307712684423262E-2</v>
      </c>
      <c r="G70" s="4">
        <f t="shared" si="23"/>
        <v>-7581.9214172839511</v>
      </c>
      <c r="H70" s="4">
        <f t="shared" si="24"/>
        <v>57485532.377869077</v>
      </c>
      <c r="I70" s="4">
        <f t="shared" si="25"/>
        <v>1996.0437774649283</v>
      </c>
      <c r="J70" s="4">
        <f t="shared" si="26"/>
        <v>15372.121664656705</v>
      </c>
      <c r="K70" s="4">
        <f t="shared" si="27"/>
        <v>-7027.2165646567046</v>
      </c>
      <c r="L70" s="4">
        <f t="shared" si="28"/>
        <v>49381772.646585576</v>
      </c>
      <c r="M70" s="4">
        <f t="shared" si="29"/>
        <v>308636.07904115983</v>
      </c>
    </row>
    <row r="71" spans="1:13" x14ac:dyDescent="0.4">
      <c r="A71" s="2">
        <v>70</v>
      </c>
      <c r="B71" s="3">
        <v>72.745999999999995</v>
      </c>
      <c r="C71" s="3">
        <v>5815.0947999999999</v>
      </c>
      <c r="D71" s="4">
        <f t="shared" si="20"/>
        <v>5291.9805159999996</v>
      </c>
      <c r="E71" s="4">
        <f t="shared" si="21"/>
        <v>0.72573641975307623</v>
      </c>
      <c r="F71" s="4">
        <f t="shared" si="22"/>
        <v>0.52669335095601322</v>
      </c>
      <c r="G71" s="4">
        <f t="shared" si="23"/>
        <v>-10111.73171728395</v>
      </c>
      <c r="H71" s="4">
        <f t="shared" si="24"/>
        <v>102247118.32232623</v>
      </c>
      <c r="I71" s="4">
        <f t="shared" si="25"/>
        <v>-7338.4519740052792</v>
      </c>
      <c r="J71" s="4">
        <f t="shared" si="26"/>
        <v>17455.97655538554</v>
      </c>
      <c r="K71" s="4">
        <f t="shared" si="27"/>
        <v>-11640.881755385541</v>
      </c>
      <c r="L71" s="4">
        <f t="shared" si="28"/>
        <v>135510128.04286796</v>
      </c>
      <c r="M71" s="4">
        <f t="shared" si="29"/>
        <v>846938.30026792479</v>
      </c>
    </row>
    <row r="72" spans="1:13" x14ac:dyDescent="0.4">
      <c r="A72" s="2">
        <v>71</v>
      </c>
      <c r="B72" s="3">
        <v>68.975999999999999</v>
      </c>
      <c r="C72" s="3">
        <v>3837.3199</v>
      </c>
      <c r="D72" s="4">
        <f t="shared" si="20"/>
        <v>4757.6885759999996</v>
      </c>
      <c r="E72" s="4">
        <f t="shared" si="21"/>
        <v>-3.0442635802469198</v>
      </c>
      <c r="F72" s="4">
        <f t="shared" si="22"/>
        <v>9.2675407460177937</v>
      </c>
      <c r="G72" s="4">
        <f t="shared" si="23"/>
        <v>-12089.506617283951</v>
      </c>
      <c r="H72" s="4">
        <f t="shared" si="24"/>
        <v>146156170.24935243</v>
      </c>
      <c r="I72" s="4">
        <f t="shared" si="25"/>
        <v>36803.644698151671</v>
      </c>
      <c r="J72" s="4">
        <f t="shared" si="26"/>
        <v>9512.4649901198572</v>
      </c>
      <c r="K72" s="4">
        <f t="shared" si="27"/>
        <v>-5675.1450901198568</v>
      </c>
      <c r="L72" s="4">
        <f t="shared" si="28"/>
        <v>32207271.793911517</v>
      </c>
      <c r="M72" s="4">
        <f t="shared" si="29"/>
        <v>201295.44871194698</v>
      </c>
    </row>
    <row r="73" spans="1:13" x14ac:dyDescent="0.4">
      <c r="A73" s="2">
        <v>72</v>
      </c>
      <c r="B73" s="3">
        <v>69.941000000000003</v>
      </c>
      <c r="C73" s="3">
        <v>4247.5474999999997</v>
      </c>
      <c r="D73" s="4">
        <f t="shared" si="20"/>
        <v>4891.7434810000004</v>
      </c>
      <c r="E73" s="4">
        <f t="shared" si="21"/>
        <v>-2.0792635802469164</v>
      </c>
      <c r="F73" s="4">
        <f t="shared" si="22"/>
        <v>4.3233370361412247</v>
      </c>
      <c r="G73" s="4">
        <f t="shared" si="23"/>
        <v>-11679.279017283952</v>
      </c>
      <c r="H73" s="4">
        <f t="shared" si="24"/>
        <v>136405558.3635692</v>
      </c>
      <c r="I73" s="4">
        <f t="shared" si="25"/>
        <v>24284.299504180519</v>
      </c>
      <c r="J73" s="4">
        <f t="shared" si="26"/>
        <v>11545.751106958429</v>
      </c>
      <c r="K73" s="4">
        <f t="shared" si="27"/>
        <v>-7298.2036069584292</v>
      </c>
      <c r="L73" s="4">
        <f t="shared" si="28"/>
        <v>53263775.888621025</v>
      </c>
      <c r="M73" s="4">
        <f t="shared" si="29"/>
        <v>332898.5993038814</v>
      </c>
    </row>
    <row r="74" spans="1:13" x14ac:dyDescent="0.4">
      <c r="A74" s="2">
        <v>73</v>
      </c>
      <c r="B74" s="3">
        <v>76.943899999999999</v>
      </c>
      <c r="C74" s="3">
        <v>21570.665799999999</v>
      </c>
      <c r="D74" s="4">
        <f t="shared" si="20"/>
        <v>5920.3637472099999</v>
      </c>
      <c r="E74" s="4">
        <f t="shared" si="21"/>
        <v>4.9236364197530804</v>
      </c>
      <c r="F74" s="4">
        <f t="shared" si="22"/>
        <v>24.242195593918932</v>
      </c>
      <c r="G74" s="4">
        <f t="shared" si="23"/>
        <v>5643.8392827160478</v>
      </c>
      <c r="H74" s="4">
        <f t="shared" si="24"/>
        <v>31852921.849128794</v>
      </c>
      <c r="I74" s="4">
        <f t="shared" si="25"/>
        <v>27788.212639613834</v>
      </c>
      <c r="J74" s="4">
        <f t="shared" si="26"/>
        <v>26301.087218470144</v>
      </c>
      <c r="K74" s="4">
        <f t="shared" si="27"/>
        <v>-4730.421418470145</v>
      </c>
      <c r="L74" s="4">
        <f t="shared" si="28"/>
        <v>22376886.796321098</v>
      </c>
      <c r="M74" s="4">
        <f t="shared" si="29"/>
        <v>139855.54247700685</v>
      </c>
    </row>
    <row r="75" spans="1:13" x14ac:dyDescent="0.4">
      <c r="A75" s="2">
        <v>74</v>
      </c>
      <c r="B75" s="3">
        <v>64.903999999999996</v>
      </c>
      <c r="C75" s="3">
        <v>4507.3334999999997</v>
      </c>
      <c r="D75" s="4">
        <f t="shared" si="20"/>
        <v>4212.5292159999999</v>
      </c>
      <c r="E75" s="4">
        <f t="shared" si="21"/>
        <v>-7.1162635802469225</v>
      </c>
      <c r="F75" s="4">
        <f t="shared" si="22"/>
        <v>50.64120734354875</v>
      </c>
      <c r="G75" s="4">
        <f t="shared" si="23"/>
        <v>-11419.493017283952</v>
      </c>
      <c r="H75" s="4">
        <f t="shared" si="24"/>
        <v>130404820.77179694</v>
      </c>
      <c r="I75" s="4">
        <f t="shared" si="25"/>
        <v>81264.122263781828</v>
      </c>
      <c r="J75" s="4">
        <f t="shared" si="26"/>
        <v>932.62968673472642</v>
      </c>
      <c r="K75" s="4">
        <f t="shared" si="27"/>
        <v>3574.7038132652733</v>
      </c>
      <c r="L75" s="4">
        <f t="shared" si="28"/>
        <v>12778507.352573287</v>
      </c>
      <c r="M75" s="4">
        <f t="shared" si="29"/>
        <v>79865.670953583045</v>
      </c>
    </row>
    <row r="76" spans="1:13" x14ac:dyDescent="0.4">
      <c r="A76" s="2">
        <v>75</v>
      </c>
      <c r="B76" s="3">
        <v>81.885400000000004</v>
      </c>
      <c r="C76" s="3">
        <v>45792.045400000003</v>
      </c>
      <c r="D76" s="4">
        <f t="shared" si="20"/>
        <v>6705.2187331600007</v>
      </c>
      <c r="E76" s="4">
        <f t="shared" si="21"/>
        <v>9.8651364197530853</v>
      </c>
      <c r="F76" s="4">
        <f t="shared" si="22"/>
        <v>97.320916580338718</v>
      </c>
      <c r="G76" s="4">
        <f t="shared" si="23"/>
        <v>29865.21888271605</v>
      </c>
      <c r="H76" s="4">
        <f t="shared" si="24"/>
        <v>891931298.91253924</v>
      </c>
      <c r="I76" s="4">
        <f t="shared" si="25"/>
        <v>294624.45848377963</v>
      </c>
      <c r="J76" s="4">
        <f t="shared" si="26"/>
        <v>36712.987059255422</v>
      </c>
      <c r="K76" s="4">
        <f t="shared" si="27"/>
        <v>9079.0583407445811</v>
      </c>
      <c r="L76" s="4">
        <f t="shared" si="28"/>
        <v>82429300.354643747</v>
      </c>
      <c r="M76" s="4">
        <f t="shared" si="29"/>
        <v>515183.1272165234</v>
      </c>
    </row>
    <row r="77" spans="1:13" x14ac:dyDescent="0.4">
      <c r="A77" s="2">
        <v>76</v>
      </c>
      <c r="B77" s="3">
        <v>82.324399999999997</v>
      </c>
      <c r="C77" s="3">
        <v>38030.857199999999</v>
      </c>
      <c r="D77" s="4">
        <f t="shared" si="20"/>
        <v>6777.3068353599992</v>
      </c>
      <c r="E77" s="4">
        <f t="shared" si="21"/>
        <v>10.304136419753078</v>
      </c>
      <c r="F77" s="4">
        <f t="shared" si="22"/>
        <v>106.17522735688179</v>
      </c>
      <c r="G77" s="4">
        <f t="shared" si="23"/>
        <v>22104.030682716046</v>
      </c>
      <c r="H77" s="4">
        <f t="shared" si="24"/>
        <v>488588172.42245239</v>
      </c>
      <c r="I77" s="4">
        <f t="shared" si="25"/>
        <v>227762.9475811139</v>
      </c>
      <c r="J77" s="4">
        <f t="shared" si="26"/>
        <v>37637.97421499854</v>
      </c>
      <c r="K77" s="4">
        <f t="shared" si="27"/>
        <v>392.88298500145902</v>
      </c>
      <c r="L77" s="4">
        <f t="shared" si="28"/>
        <v>154357.03990365667</v>
      </c>
      <c r="M77" s="4">
        <f t="shared" si="29"/>
        <v>964.73149939785412</v>
      </c>
    </row>
    <row r="78" spans="1:13" x14ac:dyDescent="0.4">
      <c r="A78" s="2">
        <v>77</v>
      </c>
      <c r="B78" s="3">
        <v>63.847000000000001</v>
      </c>
      <c r="C78" s="3">
        <v>689.4932</v>
      </c>
      <c r="D78" s="4">
        <f t="shared" si="20"/>
        <v>4076.4394090000001</v>
      </c>
      <c r="E78" s="4">
        <f t="shared" si="21"/>
        <v>-8.1732635802469176</v>
      </c>
      <c r="F78" s="4">
        <f t="shared" si="22"/>
        <v>66.802237552190661</v>
      </c>
      <c r="G78" s="4">
        <f t="shared" si="23"/>
        <v>-15237.33331728395</v>
      </c>
      <c r="H78" s="4">
        <f t="shared" si="24"/>
        <v>232176326.62201151</v>
      </c>
      <c r="I78" s="4">
        <f t="shared" si="25"/>
        <v>124538.74146223986</v>
      </c>
      <c r="J78" s="4">
        <f t="shared" si="26"/>
        <v>-1294.5033966832561</v>
      </c>
      <c r="K78" s="4">
        <f t="shared" si="27"/>
        <v>1983.996596683256</v>
      </c>
      <c r="L78" s="4">
        <f t="shared" si="28"/>
        <v>3936242.4956507427</v>
      </c>
      <c r="M78" s="4">
        <f t="shared" si="29"/>
        <v>24601.515597817142</v>
      </c>
    </row>
    <row r="79" spans="1:13" x14ac:dyDescent="0.4">
      <c r="A79" s="2">
        <v>78</v>
      </c>
      <c r="B79" s="3">
        <v>71.635000000000005</v>
      </c>
      <c r="C79" s="3">
        <v>5175.1986999999999</v>
      </c>
      <c r="D79" s="4">
        <f t="shared" si="20"/>
        <v>5131.573225000001</v>
      </c>
      <c r="E79" s="4">
        <f t="shared" si="21"/>
        <v>-0.38526358024691376</v>
      </c>
      <c r="F79" s="4">
        <f t="shared" si="22"/>
        <v>0.14842802626467017</v>
      </c>
      <c r="G79" s="4">
        <f t="shared" si="23"/>
        <v>-10751.627817283952</v>
      </c>
      <c r="H79" s="4">
        <f t="shared" si="24"/>
        <v>115597500.72139408</v>
      </c>
      <c r="I79" s="4">
        <f t="shared" si="25"/>
        <v>4142.2106263691257</v>
      </c>
      <c r="J79" s="4">
        <f t="shared" si="26"/>
        <v>15115.063730714435</v>
      </c>
      <c r="K79" s="4">
        <f t="shared" si="27"/>
        <v>-9939.8650307144344</v>
      </c>
      <c r="L79" s="4">
        <f t="shared" si="28"/>
        <v>98800916.828819662</v>
      </c>
      <c r="M79" s="4">
        <f t="shared" si="29"/>
        <v>617505.73018012289</v>
      </c>
    </row>
    <row r="80" spans="1:13" x14ac:dyDescent="0.4">
      <c r="A80" s="2">
        <v>79</v>
      </c>
      <c r="B80" s="3">
        <v>80.790199999999999</v>
      </c>
      <c r="C80" s="3">
        <v>44011.019500000002</v>
      </c>
      <c r="D80" s="4">
        <f t="shared" si="20"/>
        <v>6527.0564160399999</v>
      </c>
      <c r="E80" s="4">
        <f t="shared" si="21"/>
        <v>8.7699364197530798</v>
      </c>
      <c r="F80" s="4">
        <f t="shared" si="22"/>
        <v>76.911784806511463</v>
      </c>
      <c r="G80" s="4">
        <f t="shared" si="23"/>
        <v>28084.192982716049</v>
      </c>
      <c r="H80" s="4">
        <f t="shared" si="24"/>
        <v>788721895.49043739</v>
      </c>
      <c r="I80" s="4">
        <f t="shared" si="25"/>
        <v>246296.58685849534</v>
      </c>
      <c r="J80" s="4">
        <f t="shared" si="26"/>
        <v>34405.36534406204</v>
      </c>
      <c r="K80" s="4">
        <f t="shared" si="27"/>
        <v>9605.6541559379621</v>
      </c>
      <c r="L80" s="4">
        <f t="shared" si="28"/>
        <v>92268591.763488248</v>
      </c>
      <c r="M80" s="4">
        <f t="shared" si="29"/>
        <v>576678.6985218015</v>
      </c>
    </row>
    <row r="81" spans="1:13" x14ac:dyDescent="0.4">
      <c r="A81" s="2">
        <v>80</v>
      </c>
      <c r="B81" s="3">
        <v>64.286000000000001</v>
      </c>
      <c r="C81" s="3">
        <v>2030.0487000000001</v>
      </c>
      <c r="D81" s="4">
        <f t="shared" si="20"/>
        <v>4132.6897960000006</v>
      </c>
      <c r="E81" s="4">
        <f t="shared" si="21"/>
        <v>-7.7342635802469175</v>
      </c>
      <c r="F81" s="4">
        <f t="shared" si="22"/>
        <v>59.818833128733864</v>
      </c>
      <c r="G81" s="4">
        <f t="shared" si="23"/>
        <v>-13896.777817283952</v>
      </c>
      <c r="H81" s="4">
        <f t="shared" si="24"/>
        <v>193120433.70295531</v>
      </c>
      <c r="I81" s="4">
        <f t="shared" si="25"/>
        <v>107481.34255500251</v>
      </c>
      <c r="J81" s="4">
        <f t="shared" si="26"/>
        <v>-369.51624094010913</v>
      </c>
      <c r="K81" s="4">
        <f t="shared" si="27"/>
        <v>2399.5649409401094</v>
      </c>
      <c r="L81" s="4">
        <f t="shared" si="28"/>
        <v>5757911.9057889106</v>
      </c>
      <c r="M81" s="4">
        <f t="shared" si="29"/>
        <v>35986.949411180693</v>
      </c>
    </row>
    <row r="82" spans="1:13" x14ac:dyDescent="0.4">
      <c r="A82" s="2">
        <v>81</v>
      </c>
      <c r="B82" s="3">
        <v>80.082899999999995</v>
      </c>
      <c r="C82" s="3">
        <v>19231.2889</v>
      </c>
      <c r="D82" s="4">
        <f t="shared" si="20"/>
        <v>6413.2708724099994</v>
      </c>
      <c r="E82" s="4">
        <f t="shared" si="21"/>
        <v>8.0626364197530762</v>
      </c>
      <c r="F82" s="4">
        <f t="shared" si="22"/>
        <v>65.006106037128703</v>
      </c>
      <c r="G82" s="4">
        <f t="shared" si="23"/>
        <v>3304.4623827160485</v>
      </c>
      <c r="H82" s="4">
        <f t="shared" si="24"/>
        <v>10919471.638785426</v>
      </c>
      <c r="I82" s="4">
        <f t="shared" si="25"/>
        <v>26642.678754590441</v>
      </c>
      <c r="J82" s="4">
        <f t="shared" si="26"/>
        <v>32915.061436870397</v>
      </c>
      <c r="K82" s="4">
        <f t="shared" si="27"/>
        <v>-13683.772536870398</v>
      </c>
      <c r="L82" s="4">
        <f t="shared" si="28"/>
        <v>187245630.84080851</v>
      </c>
      <c r="M82" s="4">
        <f t="shared" si="29"/>
        <v>1170285.1927550533</v>
      </c>
    </row>
    <row r="83" spans="1:13" x14ac:dyDescent="0.4">
      <c r="A83" s="2">
        <v>82</v>
      </c>
      <c r="B83" s="3">
        <v>74.522000000000006</v>
      </c>
      <c r="C83" s="3">
        <v>8782.3219000000008</v>
      </c>
      <c r="D83" s="4">
        <f t="shared" si="20"/>
        <v>5553.5284840000004</v>
      </c>
      <c r="E83" s="4">
        <f t="shared" si="21"/>
        <v>2.5017364197530867</v>
      </c>
      <c r="F83" s="4">
        <f t="shared" si="22"/>
        <v>6.2586851139189923</v>
      </c>
      <c r="G83" s="4">
        <f t="shared" si="23"/>
        <v>-7144.5046172839502</v>
      </c>
      <c r="H83" s="4">
        <f t="shared" si="24"/>
        <v>51043946.226391681</v>
      </c>
      <c r="I83" s="4">
        <f t="shared" si="25"/>
        <v>-17873.667402153347</v>
      </c>
      <c r="J83" s="4">
        <f t="shared" si="26"/>
        <v>21198.065823266719</v>
      </c>
      <c r="K83" s="4">
        <f t="shared" si="27"/>
        <v>-12415.743923266718</v>
      </c>
      <c r="L83" s="4">
        <f t="shared" si="28"/>
        <v>154150697.16813445</v>
      </c>
      <c r="M83" s="4">
        <f t="shared" si="29"/>
        <v>963441.85730084032</v>
      </c>
    </row>
    <row r="84" spans="1:13" x14ac:dyDescent="0.4">
      <c r="A84" s="2">
        <v>83</v>
      </c>
      <c r="B84" s="3">
        <v>67.858000000000004</v>
      </c>
      <c r="C84" s="3">
        <v>4268.6286</v>
      </c>
      <c r="D84" s="4">
        <f t="shared" si="20"/>
        <v>4604.7081640000006</v>
      </c>
      <c r="E84" s="4">
        <f t="shared" si="21"/>
        <v>-4.1622635802469148</v>
      </c>
      <c r="F84" s="4">
        <f t="shared" si="22"/>
        <v>17.324438111449865</v>
      </c>
      <c r="G84" s="4">
        <f t="shared" si="23"/>
        <v>-11658.197917283951</v>
      </c>
      <c r="H84" s="4">
        <f t="shared" si="24"/>
        <v>135913578.67856386</v>
      </c>
      <c r="I84" s="4">
        <f t="shared" si="25"/>
        <v>48524.492602421422</v>
      </c>
      <c r="J84" s="4">
        <f t="shared" si="26"/>
        <v>7156.8029397307255</v>
      </c>
      <c r="K84" s="4">
        <f t="shared" si="27"/>
        <v>-2888.1743397307255</v>
      </c>
      <c r="L84" s="4">
        <f t="shared" si="28"/>
        <v>8341551.0166790122</v>
      </c>
      <c r="M84" s="4">
        <f t="shared" si="29"/>
        <v>52134.693854243829</v>
      </c>
    </row>
    <row r="85" spans="1:13" x14ac:dyDescent="0.4">
      <c r="A85" s="2">
        <v>84</v>
      </c>
      <c r="B85" s="3">
        <v>64.322999999999993</v>
      </c>
      <c r="C85" s="3">
        <v>10711.997300000001</v>
      </c>
      <c r="D85" s="4">
        <f t="shared" si="20"/>
        <v>4137.4483289999989</v>
      </c>
      <c r="E85" s="4">
        <f t="shared" si="21"/>
        <v>-7.6972635802469256</v>
      </c>
      <c r="F85" s="4">
        <f t="shared" si="22"/>
        <v>59.247866623795716</v>
      </c>
      <c r="G85" s="4">
        <f t="shared" si="23"/>
        <v>-5214.8292172839501</v>
      </c>
      <c r="H85" s="4">
        <f t="shared" si="24"/>
        <v>27194443.765438337</v>
      </c>
      <c r="I85" s="4">
        <f t="shared" si="25"/>
        <v>40139.915011407327</v>
      </c>
      <c r="J85" s="4">
        <f t="shared" si="26"/>
        <v>-291.55604785928153</v>
      </c>
      <c r="K85" s="4">
        <f t="shared" si="27"/>
        <v>11003.553347859282</v>
      </c>
      <c r="L85" s="4">
        <f t="shared" si="28"/>
        <v>121078186.27918522</v>
      </c>
      <c r="M85" s="4">
        <f t="shared" si="29"/>
        <v>756738.66424490768</v>
      </c>
    </row>
    <row r="86" spans="1:13" x14ac:dyDescent="0.4">
      <c r="A86" s="2">
        <v>85</v>
      </c>
      <c r="B86" s="3">
        <v>69.492000000000004</v>
      </c>
      <c r="C86" s="3">
        <v>2423.7662999999998</v>
      </c>
      <c r="D86" s="4">
        <f t="shared" si="20"/>
        <v>4829.1380640000007</v>
      </c>
      <c r="E86" s="4">
        <f t="shared" si="21"/>
        <v>-2.5282635802469144</v>
      </c>
      <c r="F86" s="4">
        <f t="shared" si="22"/>
        <v>6.3921167312029459</v>
      </c>
      <c r="G86" s="4">
        <f t="shared" si="23"/>
        <v>-13503.060217283952</v>
      </c>
      <c r="H86" s="4">
        <f t="shared" si="24"/>
        <v>182332635.23159653</v>
      </c>
      <c r="I86" s="4">
        <f t="shared" si="25"/>
        <v>34139.295369240004</v>
      </c>
      <c r="J86" s="4">
        <f t="shared" si="26"/>
        <v>10599.693628761015</v>
      </c>
      <c r="K86" s="4">
        <f t="shared" si="27"/>
        <v>-8175.9273287610158</v>
      </c>
      <c r="L86" s="4">
        <f t="shared" si="28"/>
        <v>66845787.685181238</v>
      </c>
      <c r="M86" s="4">
        <f t="shared" si="29"/>
        <v>417786.17303238274</v>
      </c>
    </row>
    <row r="87" spans="1:13" x14ac:dyDescent="0.4">
      <c r="A87" s="2">
        <v>86</v>
      </c>
      <c r="B87" s="3">
        <v>74.065899999999999</v>
      </c>
      <c r="C87" s="3">
        <v>15787.9535</v>
      </c>
      <c r="D87" s="4">
        <f t="shared" si="20"/>
        <v>5485.7575428099999</v>
      </c>
      <c r="E87" s="4">
        <f t="shared" si="21"/>
        <v>2.0456364197530803</v>
      </c>
      <c r="F87" s="4">
        <f t="shared" si="22"/>
        <v>4.1846283618202005</v>
      </c>
      <c r="G87" s="4">
        <f t="shared" si="23"/>
        <v>-138.87301728395141</v>
      </c>
      <c r="H87" s="4">
        <f t="shared" si="24"/>
        <v>19285.714929548667</v>
      </c>
      <c r="I87" s="4">
        <f t="shared" si="25"/>
        <v>-284.08370187705003</v>
      </c>
      <c r="J87" s="4">
        <f t="shared" si="26"/>
        <v>20237.048416126723</v>
      </c>
      <c r="K87" s="4">
        <f t="shared" si="27"/>
        <v>-4449.0949161267235</v>
      </c>
      <c r="L87" s="4">
        <f t="shared" si="28"/>
        <v>19794445.572704658</v>
      </c>
      <c r="M87" s="4">
        <f t="shared" si="29"/>
        <v>123715.28482940412</v>
      </c>
    </row>
    <row r="88" spans="1:13" x14ac:dyDescent="0.4">
      <c r="A88" s="2">
        <v>87</v>
      </c>
      <c r="B88" s="3">
        <v>83.165899999999993</v>
      </c>
      <c r="C88" s="3">
        <v>54285.020900000003</v>
      </c>
      <c r="D88" s="4">
        <f t="shared" si="20"/>
        <v>6916.5669228099987</v>
      </c>
      <c r="E88" s="4">
        <f t="shared" si="21"/>
        <v>11.145636419753075</v>
      </c>
      <c r="F88" s="4">
        <f t="shared" si="22"/>
        <v>124.22521120132613</v>
      </c>
      <c r="G88" s="4">
        <f t="shared" si="23"/>
        <v>38358.19438271605</v>
      </c>
      <c r="H88" s="4">
        <f t="shared" si="24"/>
        <v>1471351076.3022292</v>
      </c>
      <c r="I88" s="4">
        <f t="shared" si="25"/>
        <v>427526.48830796784</v>
      </c>
      <c r="J88" s="4">
        <f t="shared" si="26"/>
        <v>39411.041849526693</v>
      </c>
      <c r="K88" s="4">
        <f t="shared" si="27"/>
        <v>14873.97905047331</v>
      </c>
      <c r="L88" s="4">
        <f t="shared" si="28"/>
        <v>221235252.79391891</v>
      </c>
      <c r="M88" s="4">
        <f t="shared" si="29"/>
        <v>1382720.3299619933</v>
      </c>
    </row>
    <row r="89" spans="1:13" x14ac:dyDescent="0.4">
      <c r="A89" s="2">
        <v>88</v>
      </c>
      <c r="B89" s="3">
        <v>67.281999999999996</v>
      </c>
      <c r="C89" s="3">
        <v>1965.3094000000001</v>
      </c>
      <c r="D89" s="4">
        <f t="shared" si="20"/>
        <v>4526.8675239999993</v>
      </c>
      <c r="E89" s="4">
        <f t="shared" si="21"/>
        <v>-4.7382635802469224</v>
      </c>
      <c r="F89" s="4">
        <f t="shared" si="22"/>
        <v>22.451141755894383</v>
      </c>
      <c r="G89" s="4">
        <f t="shared" si="23"/>
        <v>-13961.517117283951</v>
      </c>
      <c r="H89" s="4">
        <f t="shared" si="24"/>
        <v>194923960.21621275</v>
      </c>
      <c r="I89" s="4">
        <f t="shared" si="25"/>
        <v>66153.348081820543</v>
      </c>
      <c r="J89" s="4">
        <f t="shared" si="26"/>
        <v>5943.1523663638509</v>
      </c>
      <c r="K89" s="4">
        <f t="shared" si="27"/>
        <v>-3977.8429663638508</v>
      </c>
      <c r="L89" s="4">
        <f t="shared" si="28"/>
        <v>15823234.665050359</v>
      </c>
      <c r="M89" s="4">
        <f t="shared" si="29"/>
        <v>98895.216656564749</v>
      </c>
    </row>
    <row r="90" spans="1:13" x14ac:dyDescent="0.4">
      <c r="A90" s="2">
        <v>89</v>
      </c>
      <c r="B90" s="3">
        <v>67.451999999999998</v>
      </c>
      <c r="C90" s="3">
        <v>3850.6887999999999</v>
      </c>
      <c r="D90" s="4">
        <f t="shared" si="20"/>
        <v>4549.7723040000001</v>
      </c>
      <c r="E90" s="4">
        <f t="shared" si="21"/>
        <v>-4.5682635802469207</v>
      </c>
      <c r="F90" s="4">
        <f t="shared" si="22"/>
        <v>20.869032138610415</v>
      </c>
      <c r="G90" s="4">
        <f t="shared" si="23"/>
        <v>-12076.137717283951</v>
      </c>
      <c r="H90" s="4">
        <f t="shared" si="24"/>
        <v>145833102.16680804</v>
      </c>
      <c r="I90" s="4">
        <f t="shared" si="25"/>
        <v>55166.980123914458</v>
      </c>
      <c r="J90" s="4">
        <f t="shared" si="26"/>
        <v>6301.3478480867052</v>
      </c>
      <c r="K90" s="4">
        <f t="shared" si="27"/>
        <v>-2450.6590480867053</v>
      </c>
      <c r="L90" s="4">
        <f t="shared" si="28"/>
        <v>6005729.7699692361</v>
      </c>
      <c r="M90" s="4">
        <f t="shared" si="29"/>
        <v>37535.811062307723</v>
      </c>
    </row>
    <row r="91" spans="1:13" x14ac:dyDescent="0.4">
      <c r="A91" s="2">
        <v>90</v>
      </c>
      <c r="B91" s="3">
        <v>82.253699999999995</v>
      </c>
      <c r="C91" s="3">
        <v>92781.232199999999</v>
      </c>
      <c r="D91" s="4">
        <f t="shared" si="20"/>
        <v>6765.671163689999</v>
      </c>
      <c r="E91" s="4">
        <f t="shared" si="21"/>
        <v>10.233436419753076</v>
      </c>
      <c r="F91" s="4">
        <f t="shared" si="22"/>
        <v>104.72322095712866</v>
      </c>
      <c r="G91" s="4">
        <f t="shared" si="23"/>
        <v>76854.405682716053</v>
      </c>
      <c r="H91" s="4">
        <f t="shared" si="24"/>
        <v>5906599672.8434973</v>
      </c>
      <c r="I91" s="4">
        <f t="shared" si="25"/>
        <v>786484.67413198424</v>
      </c>
      <c r="J91" s="4">
        <f t="shared" si="26"/>
        <v>37489.00703524673</v>
      </c>
      <c r="K91" s="4">
        <f t="shared" si="27"/>
        <v>55292.225164753268</v>
      </c>
      <c r="L91" s="4">
        <f t="shared" si="28"/>
        <v>3057230163.6697745</v>
      </c>
      <c r="M91" s="4">
        <f t="shared" si="29"/>
        <v>19107688.522936091</v>
      </c>
    </row>
    <row r="92" spans="1:13" x14ac:dyDescent="0.4">
      <c r="A92" s="2">
        <v>91</v>
      </c>
      <c r="B92" s="3">
        <v>82.5</v>
      </c>
      <c r="C92" s="3">
        <v>40788.239200000004</v>
      </c>
      <c r="D92" s="4">
        <f t="shared" si="20"/>
        <v>6806.25</v>
      </c>
      <c r="E92" s="4">
        <f t="shared" si="21"/>
        <v>10.479736419753081</v>
      </c>
      <c r="F92" s="4">
        <f t="shared" si="22"/>
        <v>109.82487542749912</v>
      </c>
      <c r="G92" s="4">
        <f t="shared" si="23"/>
        <v>24861.412682716051</v>
      </c>
      <c r="H92" s="4">
        <f t="shared" si="24"/>
        <v>618089840.58031452</v>
      </c>
      <c r="I92" s="4">
        <f t="shared" si="25"/>
        <v>260541.05193757056</v>
      </c>
      <c r="J92" s="4">
        <f t="shared" si="26"/>
        <v>38007.969077295798</v>
      </c>
      <c r="K92" s="4">
        <f t="shared" si="27"/>
        <v>2780.2701227042053</v>
      </c>
      <c r="L92" s="4">
        <f t="shared" si="28"/>
        <v>7729901.9552016566</v>
      </c>
      <c r="M92" s="4">
        <f t="shared" si="29"/>
        <v>48311.887220010351</v>
      </c>
    </row>
    <row r="93" spans="1:13" x14ac:dyDescent="0.4">
      <c r="A93" s="2">
        <v>92</v>
      </c>
      <c r="B93" s="3">
        <v>82.646299999999997</v>
      </c>
      <c r="C93" s="3">
        <v>32267.7091</v>
      </c>
      <c r="D93" s="4">
        <f t="shared" si="20"/>
        <v>6830.410903689999</v>
      </c>
      <c r="E93" s="4">
        <f t="shared" si="21"/>
        <v>10.626036419753078</v>
      </c>
      <c r="F93" s="4">
        <f t="shared" si="22"/>
        <v>112.91264999391881</v>
      </c>
      <c r="G93" s="4">
        <f t="shared" si="23"/>
        <v>16340.882582716049</v>
      </c>
      <c r="H93" s="4">
        <f t="shared" si="24"/>
        <v>267024443.58211273</v>
      </c>
      <c r="I93" s="4">
        <f t="shared" si="25"/>
        <v>173638.81345484947</v>
      </c>
      <c r="J93" s="4">
        <f t="shared" si="26"/>
        <v>38316.227894801996</v>
      </c>
      <c r="K93" s="4">
        <f t="shared" si="27"/>
        <v>-6048.5187948019957</v>
      </c>
      <c r="L93" s="4">
        <f t="shared" si="28"/>
        <v>36584579.611072987</v>
      </c>
      <c r="M93" s="4">
        <f t="shared" si="29"/>
        <v>228653.62256920617</v>
      </c>
    </row>
    <row r="94" spans="1:13" x14ac:dyDescent="0.4">
      <c r="A94" s="2">
        <v>93</v>
      </c>
      <c r="B94" s="3">
        <v>69.084999999999994</v>
      </c>
      <c r="C94" s="3">
        <v>5607.4538000000002</v>
      </c>
      <c r="D94" s="4">
        <f t="shared" si="20"/>
        <v>4772.7372249999989</v>
      </c>
      <c r="E94" s="4">
        <f t="shared" si="21"/>
        <v>-2.9352635802469251</v>
      </c>
      <c r="F94" s="4">
        <f t="shared" si="22"/>
        <v>8.6157722855239971</v>
      </c>
      <c r="G94" s="4">
        <f t="shared" si="23"/>
        <v>-10319.37271728395</v>
      </c>
      <c r="H94" s="4">
        <f t="shared" si="24"/>
        <v>106489453.27822433</v>
      </c>
      <c r="I94" s="4">
        <f t="shared" si="25"/>
        <v>30290.078908037329</v>
      </c>
      <c r="J94" s="4">
        <f t="shared" si="26"/>
        <v>9742.1315048715624</v>
      </c>
      <c r="K94" s="4">
        <f t="shared" si="27"/>
        <v>-4134.6777048715621</v>
      </c>
      <c r="L94" s="4">
        <f t="shared" si="28"/>
        <v>17095559.723161969</v>
      </c>
      <c r="M94" s="4">
        <f t="shared" si="29"/>
        <v>106847.24826976231</v>
      </c>
    </row>
    <row r="95" spans="1:13" x14ac:dyDescent="0.4">
      <c r="A95" s="2">
        <v>94</v>
      </c>
      <c r="B95" s="3">
        <v>84.445599999999999</v>
      </c>
      <c r="C95" s="3">
        <v>36792.556400000001</v>
      </c>
      <c r="D95" s="4">
        <f t="shared" si="20"/>
        <v>7131.0593593599997</v>
      </c>
      <c r="E95" s="4">
        <f t="shared" si="21"/>
        <v>12.42533641975308</v>
      </c>
      <c r="F95" s="4">
        <f t="shared" si="22"/>
        <v>154.38898514404229</v>
      </c>
      <c r="G95" s="4">
        <f t="shared" si="23"/>
        <v>20865.729882716048</v>
      </c>
      <c r="H95" s="4">
        <f t="shared" si="24"/>
        <v>435378683.53846949</v>
      </c>
      <c r="I95" s="4">
        <f t="shared" si="25"/>
        <v>259263.71343644187</v>
      </c>
      <c r="J95" s="4">
        <f t="shared" si="26"/>
        <v>42107.411014001642</v>
      </c>
      <c r="K95" s="4">
        <f t="shared" si="27"/>
        <v>-5314.8546140016406</v>
      </c>
      <c r="L95" s="4">
        <f t="shared" si="28"/>
        <v>28247679.567974526</v>
      </c>
      <c r="M95" s="4">
        <f t="shared" si="29"/>
        <v>176547.99729984079</v>
      </c>
    </row>
    <row r="96" spans="1:13" x14ac:dyDescent="0.4">
      <c r="A96" s="2">
        <v>95</v>
      </c>
      <c r="B96" s="3">
        <v>74.203999999999994</v>
      </c>
      <c r="C96" s="3">
        <v>4266.3789999999999</v>
      </c>
      <c r="D96" s="4">
        <f t="shared" si="20"/>
        <v>5506.2336159999986</v>
      </c>
      <c r="E96" s="4">
        <f t="shared" si="21"/>
        <v>2.1837364197530746</v>
      </c>
      <c r="F96" s="4">
        <f t="shared" si="22"/>
        <v>4.768704750955977</v>
      </c>
      <c r="G96" s="4">
        <f t="shared" si="23"/>
        <v>-11660.447517283952</v>
      </c>
      <c r="H96" s="4">
        <f t="shared" si="24"/>
        <v>135966036.30333349</v>
      </c>
      <c r="I96" s="4">
        <f t="shared" si="25"/>
        <v>-25463.343914112287</v>
      </c>
      <c r="J96" s="4">
        <f t="shared" si="26"/>
        <v>20528.029569220409</v>
      </c>
      <c r="K96" s="4">
        <f t="shared" si="27"/>
        <v>-16261.650569220408</v>
      </c>
      <c r="L96" s="4">
        <f t="shared" si="28"/>
        <v>264441279.23542643</v>
      </c>
      <c r="M96" s="4">
        <f t="shared" si="29"/>
        <v>1652757.9952214151</v>
      </c>
    </row>
    <row r="97" spans="1:13" x14ac:dyDescent="0.4">
      <c r="A97" s="2">
        <v>96</v>
      </c>
      <c r="B97" s="3">
        <v>70.131</v>
      </c>
      <c r="C97" s="3">
        <v>10873.3915</v>
      </c>
      <c r="D97" s="4">
        <f t="shared" si="20"/>
        <v>4918.3571609999999</v>
      </c>
      <c r="E97" s="4">
        <f t="shared" si="21"/>
        <v>-1.8892635802469187</v>
      </c>
      <c r="F97" s="4">
        <f t="shared" si="22"/>
        <v>3.5693168756474054</v>
      </c>
      <c r="G97" s="4">
        <f t="shared" si="23"/>
        <v>-5053.4350172839513</v>
      </c>
      <c r="H97" s="4">
        <f t="shared" si="24"/>
        <v>25537205.47391165</v>
      </c>
      <c r="I97" s="4">
        <f t="shared" si="25"/>
        <v>9547.2707332990267</v>
      </c>
      <c r="J97" s="4">
        <f t="shared" si="26"/>
        <v>11946.087233589846</v>
      </c>
      <c r="K97" s="4">
        <f t="shared" si="27"/>
        <v>-1072.695733589846</v>
      </c>
      <c r="L97" s="4">
        <f t="shared" si="28"/>
        <v>1150676.1368618577</v>
      </c>
      <c r="M97" s="4">
        <f t="shared" si="29"/>
        <v>7191.7258553866104</v>
      </c>
    </row>
    <row r="98" spans="1:13" x14ac:dyDescent="0.4">
      <c r="A98" s="2">
        <v>97</v>
      </c>
      <c r="B98" s="3">
        <v>61.225000000000001</v>
      </c>
      <c r="C98" s="3">
        <v>1698.8958</v>
      </c>
      <c r="D98" s="4">
        <f t="shared" ref="D98:D129" si="30">B98^2</f>
        <v>3748.5006250000001</v>
      </c>
      <c r="E98" s="4">
        <f t="shared" ref="E98:E129" si="31">B98-$B$167</f>
        <v>-10.795263580246917</v>
      </c>
      <c r="F98" s="4">
        <f t="shared" ref="F98:F129" si="32">E98^2</f>
        <v>116.53771576700549</v>
      </c>
      <c r="G98" s="4">
        <f t="shared" ref="G98:G129" si="33">C98-$C$167</f>
        <v>-14227.930717283951</v>
      </c>
      <c r="H98" s="4">
        <f t="shared" ref="H98:H129" si="34">G98^2</f>
        <v>202434012.4958322</v>
      </c>
      <c r="I98" s="4">
        <f t="shared" ref="I98:I129" si="35">E98*G98</f>
        <v>153594.26229457185</v>
      </c>
      <c r="J98" s="4">
        <f t="shared" ref="J98:J129" si="36">$B$171+$A$171*B98</f>
        <v>-6819.1419441969629</v>
      </c>
      <c r="K98" s="4">
        <f t="shared" ref="K98:K129" si="37">C98-J98</f>
        <v>8518.0377441969631</v>
      </c>
      <c r="L98" s="4">
        <f t="shared" ref="L98:L129" si="38">K98^2</f>
        <v>72556967.011564091</v>
      </c>
      <c r="M98" s="4">
        <f t="shared" ref="M98:M129" si="39">L98/($A$165-2)</f>
        <v>453481.04382227559</v>
      </c>
    </row>
    <row r="99" spans="1:13" x14ac:dyDescent="0.4">
      <c r="A99" s="2">
        <v>98</v>
      </c>
      <c r="B99" s="3">
        <v>64.147999999999996</v>
      </c>
      <c r="C99" s="3">
        <v>1895.6135999999999</v>
      </c>
      <c r="D99" s="4">
        <f t="shared" si="30"/>
        <v>4114.9659039999997</v>
      </c>
      <c r="E99" s="4">
        <f t="shared" si="31"/>
        <v>-7.8722635802469227</v>
      </c>
      <c r="F99" s="4">
        <f t="shared" si="32"/>
        <v>61.972533876882096</v>
      </c>
      <c r="G99" s="4">
        <f t="shared" si="33"/>
        <v>-14031.21291728395</v>
      </c>
      <c r="H99" s="4">
        <f t="shared" si="34"/>
        <v>196874935.93015599</v>
      </c>
      <c r="I99" s="4">
        <f t="shared" si="35"/>
        <v>110457.40643542462</v>
      </c>
      <c r="J99" s="4">
        <f t="shared" si="36"/>
        <v>-660.2866908092692</v>
      </c>
      <c r="K99" s="4">
        <f t="shared" si="37"/>
        <v>2555.9002908092689</v>
      </c>
      <c r="L99" s="4">
        <f t="shared" si="38"/>
        <v>6532626.2965589054</v>
      </c>
      <c r="M99" s="4">
        <f t="shared" si="39"/>
        <v>40828.914353493157</v>
      </c>
    </row>
    <row r="100" spans="1:13" x14ac:dyDescent="0.4">
      <c r="A100" s="2">
        <v>99</v>
      </c>
      <c r="B100" s="3">
        <v>83.526799999999994</v>
      </c>
      <c r="C100" s="3">
        <v>34792.939700000003</v>
      </c>
      <c r="D100" s="4">
        <f t="shared" si="30"/>
        <v>6976.7263182399993</v>
      </c>
      <c r="E100" s="4">
        <f t="shared" si="31"/>
        <v>11.506536419753076</v>
      </c>
      <c r="F100" s="4">
        <f t="shared" si="32"/>
        <v>132.40038037910392</v>
      </c>
      <c r="G100" s="4">
        <f t="shared" si="33"/>
        <v>18866.11318271605</v>
      </c>
      <c r="H100" s="4">
        <f t="shared" si="34"/>
        <v>355930226.6230523</v>
      </c>
      <c r="I100" s="4">
        <f t="shared" si="35"/>
        <v>217083.61843610584</v>
      </c>
      <c r="J100" s="4">
        <f t="shared" si="36"/>
        <v>40171.469786901842</v>
      </c>
      <c r="K100" s="4">
        <f t="shared" si="37"/>
        <v>-5378.5300869018392</v>
      </c>
      <c r="L100" s="4">
        <f t="shared" si="38"/>
        <v>28928585.895708308</v>
      </c>
      <c r="M100" s="4">
        <f t="shared" si="39"/>
        <v>180803.66184817691</v>
      </c>
    </row>
    <row r="101" spans="1:13" x14ac:dyDescent="0.4">
      <c r="A101" s="2">
        <v>100</v>
      </c>
      <c r="B101" s="3">
        <v>71.900000000000006</v>
      </c>
      <c r="C101" s="3">
        <v>1132.5546999999999</v>
      </c>
      <c r="D101" s="4">
        <f t="shared" si="30"/>
        <v>5169.6100000000006</v>
      </c>
      <c r="E101" s="4">
        <f t="shared" si="31"/>
        <v>-0.12026358024691319</v>
      </c>
      <c r="F101" s="4">
        <f t="shared" si="32"/>
        <v>1.4463328733805729E-2</v>
      </c>
      <c r="G101" s="4">
        <f t="shared" si="33"/>
        <v>-14794.27181728395</v>
      </c>
      <c r="H101" s="4">
        <f t="shared" si="34"/>
        <v>218870478.60368216</v>
      </c>
      <c r="I101" s="4">
        <f t="shared" si="35"/>
        <v>1779.2120958925746</v>
      </c>
      <c r="J101" s="4">
        <f t="shared" si="36"/>
        <v>15673.427275752998</v>
      </c>
      <c r="K101" s="4">
        <f t="shared" si="37"/>
        <v>-14540.872575752997</v>
      </c>
      <c r="L101" s="4">
        <f t="shared" si="38"/>
        <v>211436975.26428559</v>
      </c>
      <c r="M101" s="4">
        <f t="shared" si="39"/>
        <v>1321481.0954017849</v>
      </c>
    </row>
    <row r="102" spans="1:13" x14ac:dyDescent="0.4">
      <c r="A102" s="2">
        <v>101</v>
      </c>
      <c r="B102" s="3">
        <v>67.807000000000002</v>
      </c>
      <c r="C102" s="3">
        <v>2556.5891000000001</v>
      </c>
      <c r="D102" s="4">
        <f t="shared" si="30"/>
        <v>4597.7892490000004</v>
      </c>
      <c r="E102" s="4">
        <f t="shared" si="31"/>
        <v>-4.2132635802469167</v>
      </c>
      <c r="F102" s="4">
        <f t="shared" si="32"/>
        <v>17.751589996635065</v>
      </c>
      <c r="G102" s="4">
        <f t="shared" si="33"/>
        <v>-13370.237417283952</v>
      </c>
      <c r="H102" s="4">
        <f t="shared" si="34"/>
        <v>178763248.59453985</v>
      </c>
      <c r="I102" s="4">
        <f t="shared" si="35"/>
        <v>56332.334369497075</v>
      </c>
      <c r="J102" s="4">
        <f t="shared" si="36"/>
        <v>7049.3442952138721</v>
      </c>
      <c r="K102" s="4">
        <f t="shared" si="37"/>
        <v>-4492.755195213872</v>
      </c>
      <c r="L102" s="4">
        <f t="shared" si="38"/>
        <v>20184849.244121235</v>
      </c>
      <c r="M102" s="4">
        <f t="shared" si="39"/>
        <v>126155.30777575771</v>
      </c>
    </row>
    <row r="103" spans="1:13" x14ac:dyDescent="0.4">
      <c r="A103" s="2">
        <v>102</v>
      </c>
      <c r="B103" s="3">
        <v>72.980500000000006</v>
      </c>
      <c r="C103" s="3">
        <v>16070.168</v>
      </c>
      <c r="D103" s="4">
        <f t="shared" si="30"/>
        <v>5326.1533802500007</v>
      </c>
      <c r="E103" s="4">
        <f t="shared" si="31"/>
        <v>0.96023641975308749</v>
      </c>
      <c r="F103" s="4">
        <f t="shared" si="32"/>
        <v>0.92205398182022758</v>
      </c>
      <c r="G103" s="4">
        <f t="shared" si="33"/>
        <v>143.34148271604863</v>
      </c>
      <c r="H103" s="4">
        <f t="shared" si="34"/>
        <v>20546.780667235267</v>
      </c>
      <c r="I103" s="4">
        <f t="shared" si="35"/>
        <v>137.6417121653576</v>
      </c>
      <c r="J103" s="4">
        <f t="shared" si="36"/>
        <v>17950.075616938557</v>
      </c>
      <c r="K103" s="4">
        <f t="shared" si="37"/>
        <v>-1879.9076169385571</v>
      </c>
      <c r="L103" s="4">
        <f t="shared" si="38"/>
        <v>3534052.648223605</v>
      </c>
      <c r="M103" s="4">
        <f t="shared" si="39"/>
        <v>22087.82905139753</v>
      </c>
    </row>
    <row r="104" spans="1:13" x14ac:dyDescent="0.4">
      <c r="A104" s="2">
        <v>103</v>
      </c>
      <c r="B104" s="3">
        <v>73.650000000000006</v>
      </c>
      <c r="C104" s="3">
        <v>5973.4192999999996</v>
      </c>
      <c r="D104" s="4">
        <f t="shared" si="30"/>
        <v>5424.3225000000011</v>
      </c>
      <c r="E104" s="4">
        <f t="shared" si="31"/>
        <v>1.6297364197530868</v>
      </c>
      <c r="F104" s="4">
        <f t="shared" si="32"/>
        <v>2.6560407978696094</v>
      </c>
      <c r="G104" s="4">
        <f t="shared" si="33"/>
        <v>-9953.4072172839515</v>
      </c>
      <c r="H104" s="4">
        <f t="shared" si="34"/>
        <v>99070315.233080253</v>
      </c>
      <c r="I104" s="4">
        <f t="shared" si="35"/>
        <v>-16221.430242640881</v>
      </c>
      <c r="J104" s="4">
        <f t="shared" si="36"/>
        <v>19360.733705252991</v>
      </c>
      <c r="K104" s="4">
        <f t="shared" si="37"/>
        <v>-13387.314405252991</v>
      </c>
      <c r="L104" s="4">
        <f t="shared" si="38"/>
        <v>179220186.98509425</v>
      </c>
      <c r="M104" s="4">
        <f t="shared" si="39"/>
        <v>1120126.1686568391</v>
      </c>
    </row>
    <row r="105" spans="1:13" x14ac:dyDescent="0.4">
      <c r="A105" s="2">
        <v>104</v>
      </c>
      <c r="B105" s="3">
        <v>74.036600000000007</v>
      </c>
      <c r="C105" s="3">
        <v>18572.289499999999</v>
      </c>
      <c r="D105" s="4">
        <f t="shared" si="30"/>
        <v>5481.4181395600008</v>
      </c>
      <c r="E105" s="4">
        <f t="shared" si="31"/>
        <v>2.0163364197530882</v>
      </c>
      <c r="F105" s="4">
        <f t="shared" si="32"/>
        <v>4.0656125576227016</v>
      </c>
      <c r="G105" s="4">
        <f t="shared" si="33"/>
        <v>2645.4629827160479</v>
      </c>
      <c r="H105" s="4">
        <f t="shared" si="34"/>
        <v>6998474.392920889</v>
      </c>
      <c r="I105" s="4">
        <f t="shared" si="35"/>
        <v>5334.1433591590021</v>
      </c>
      <c r="J105" s="4">
        <f t="shared" si="36"/>
        <v>20175.312371335691</v>
      </c>
      <c r="K105" s="4">
        <f t="shared" si="37"/>
        <v>-1603.0228713356919</v>
      </c>
      <c r="L105" s="4">
        <f t="shared" si="38"/>
        <v>2569682.3260253263</v>
      </c>
      <c r="M105" s="4">
        <f t="shared" si="39"/>
        <v>16060.51453765829</v>
      </c>
    </row>
    <row r="106" spans="1:13" x14ac:dyDescent="0.4">
      <c r="A106" s="2">
        <v>105</v>
      </c>
      <c r="B106" s="3">
        <v>82.5976</v>
      </c>
      <c r="C106" s="3">
        <v>110873.1153</v>
      </c>
      <c r="D106" s="4">
        <f t="shared" si="30"/>
        <v>6822.3635257599999</v>
      </c>
      <c r="E106" s="4">
        <f t="shared" si="31"/>
        <v>10.577336419753081</v>
      </c>
      <c r="F106" s="4">
        <f t="shared" si="32"/>
        <v>111.88004573663493</v>
      </c>
      <c r="G106" s="4">
        <f t="shared" si="33"/>
        <v>94946.288782716059</v>
      </c>
      <c r="H106" s="4">
        <f t="shared" si="34"/>
        <v>9014797753.6109142</v>
      </c>
      <c r="I106" s="4">
        <f t="shared" si="35"/>
        <v>1004278.838261816</v>
      </c>
      <c r="J106" s="4">
        <f t="shared" si="36"/>
        <v>38213.615424449643</v>
      </c>
      <c r="K106" s="4">
        <f t="shared" si="37"/>
        <v>72659.499875550362</v>
      </c>
      <c r="L106" s="4">
        <f t="shared" si="38"/>
        <v>5279402922.165103</v>
      </c>
      <c r="M106" s="4">
        <f t="shared" si="39"/>
        <v>32996268.263531893</v>
      </c>
    </row>
    <row r="107" spans="1:13" x14ac:dyDescent="0.4">
      <c r="A107" s="2">
        <v>106</v>
      </c>
      <c r="B107" s="3">
        <v>62.515999999999998</v>
      </c>
      <c r="C107" s="3">
        <v>431.59910000000002</v>
      </c>
      <c r="D107" s="4">
        <f t="shared" si="30"/>
        <v>3908.2502559999998</v>
      </c>
      <c r="E107" s="4">
        <f t="shared" si="31"/>
        <v>-9.5042635802469206</v>
      </c>
      <c r="F107" s="4">
        <f t="shared" si="32"/>
        <v>90.331026202808019</v>
      </c>
      <c r="G107" s="4">
        <f t="shared" si="33"/>
        <v>-15495.227417283952</v>
      </c>
      <c r="H107" s="4">
        <f t="shared" si="34"/>
        <v>240102072.71334827</v>
      </c>
      <c r="I107" s="4">
        <f t="shared" si="35"/>
        <v>147270.72560973541</v>
      </c>
      <c r="J107" s="4">
        <f t="shared" si="36"/>
        <v>-4098.9633153486939</v>
      </c>
      <c r="K107" s="4">
        <f t="shared" si="37"/>
        <v>4530.5624153486942</v>
      </c>
      <c r="L107" s="4">
        <f t="shared" si="38"/>
        <v>20525995.799370196</v>
      </c>
      <c r="M107" s="4">
        <f t="shared" si="39"/>
        <v>128287.47374606373</v>
      </c>
    </row>
    <row r="108" spans="1:13" x14ac:dyDescent="0.4">
      <c r="A108" s="2">
        <v>107</v>
      </c>
      <c r="B108" s="3">
        <v>64.781999999999996</v>
      </c>
      <c r="C108" s="3">
        <v>569.96900000000005</v>
      </c>
      <c r="D108" s="4">
        <f t="shared" si="30"/>
        <v>4196.7075239999995</v>
      </c>
      <c r="E108" s="4">
        <f t="shared" si="31"/>
        <v>-7.2382635802469224</v>
      </c>
      <c r="F108" s="4">
        <f t="shared" si="32"/>
        <v>52.392459657128995</v>
      </c>
      <c r="G108" s="4">
        <f t="shared" si="33"/>
        <v>-15356.857517283952</v>
      </c>
      <c r="H108" s="4">
        <f t="shared" si="34"/>
        <v>235833072.80616063</v>
      </c>
      <c r="I108" s="4">
        <f t="shared" si="35"/>
        <v>111156.98247439761</v>
      </c>
      <c r="J108" s="4">
        <f t="shared" si="36"/>
        <v>675.57175279242801</v>
      </c>
      <c r="K108" s="4">
        <f t="shared" si="37"/>
        <v>-105.60275279242796</v>
      </c>
      <c r="L108" s="4">
        <f t="shared" si="38"/>
        <v>11151.941397338653</v>
      </c>
      <c r="M108" s="4">
        <f t="shared" si="39"/>
        <v>69.699633733366582</v>
      </c>
    </row>
    <row r="109" spans="1:13" x14ac:dyDescent="0.4">
      <c r="A109" s="2">
        <v>108</v>
      </c>
      <c r="B109" s="3">
        <v>73.917000000000002</v>
      </c>
      <c r="C109" s="3">
        <v>10388.2667</v>
      </c>
      <c r="D109" s="4">
        <f t="shared" si="30"/>
        <v>5463.7228890000006</v>
      </c>
      <c r="E109" s="4">
        <f t="shared" si="31"/>
        <v>1.8967364197530827</v>
      </c>
      <c r="F109" s="4">
        <f t="shared" si="32"/>
        <v>3.5976090460177423</v>
      </c>
      <c r="G109" s="4">
        <f t="shared" si="33"/>
        <v>-5538.5598172839509</v>
      </c>
      <c r="H109" s="4">
        <f t="shared" si="34"/>
        <v>30675644.849632431</v>
      </c>
      <c r="I109" s="4">
        <f t="shared" si="35"/>
        <v>-10505.18811842345</v>
      </c>
      <c r="J109" s="4">
        <f t="shared" si="36"/>
        <v>19923.311314782419</v>
      </c>
      <c r="K109" s="4">
        <f t="shared" si="37"/>
        <v>-9535.0446147824186</v>
      </c>
      <c r="L109" s="4">
        <f t="shared" si="38"/>
        <v>90917075.805891201</v>
      </c>
      <c r="M109" s="4">
        <f t="shared" si="39"/>
        <v>568231.72378681996</v>
      </c>
    </row>
    <row r="110" spans="1:13" x14ac:dyDescent="0.4">
      <c r="A110" s="2">
        <v>109</v>
      </c>
      <c r="B110" s="3">
        <v>82.258499999999998</v>
      </c>
      <c r="C110" s="3">
        <v>31419.503199999999</v>
      </c>
      <c r="D110" s="4">
        <f t="shared" si="30"/>
        <v>6766.4608222500001</v>
      </c>
      <c r="E110" s="4">
        <f t="shared" si="31"/>
        <v>10.238236419753079</v>
      </c>
      <c r="F110" s="4">
        <f t="shared" si="32"/>
        <v>104.82148498675835</v>
      </c>
      <c r="G110" s="4">
        <f t="shared" si="33"/>
        <v>15492.676682716048</v>
      </c>
      <c r="H110" s="4">
        <f t="shared" si="34"/>
        <v>240023030.79517353</v>
      </c>
      <c r="I110" s="4">
        <f t="shared" si="35"/>
        <v>158617.68665244276</v>
      </c>
      <c r="J110" s="4">
        <f t="shared" si="36"/>
        <v>37499.120790024812</v>
      </c>
      <c r="K110" s="4">
        <f t="shared" si="37"/>
        <v>-6079.6175900248127</v>
      </c>
      <c r="L110" s="4">
        <f t="shared" si="38"/>
        <v>36961750.040939108</v>
      </c>
      <c r="M110" s="4">
        <f t="shared" si="39"/>
        <v>231010.93775586941</v>
      </c>
    </row>
    <row r="111" spans="1:13" x14ac:dyDescent="0.4">
      <c r="A111" s="2">
        <v>110</v>
      </c>
      <c r="B111" s="3">
        <v>65.421000000000006</v>
      </c>
      <c r="C111" s="3">
        <v>5455.317</v>
      </c>
      <c r="D111" s="4">
        <f t="shared" si="30"/>
        <v>4279.9072410000008</v>
      </c>
      <c r="E111" s="4">
        <f t="shared" si="31"/>
        <v>-6.5992635802469124</v>
      </c>
      <c r="F111" s="4">
        <f t="shared" si="32"/>
        <v>43.550279801573296</v>
      </c>
      <c r="G111" s="4">
        <f t="shared" si="33"/>
        <v>-10471.50951728395</v>
      </c>
      <c r="H111" s="4">
        <f t="shared" si="34"/>
        <v>109652511.57056835</v>
      </c>
      <c r="I111" s="4">
        <f t="shared" si="35"/>
        <v>69104.251387620898</v>
      </c>
      <c r="J111" s="4">
        <f t="shared" si="36"/>
        <v>2021.9653576213168</v>
      </c>
      <c r="K111" s="4">
        <f t="shared" si="37"/>
        <v>3433.3516423786832</v>
      </c>
      <c r="L111" s="4">
        <f t="shared" si="38"/>
        <v>11787903.500224402</v>
      </c>
      <c r="M111" s="4">
        <f t="shared" si="39"/>
        <v>73674.396876402519</v>
      </c>
    </row>
    <row r="112" spans="1:13" x14ac:dyDescent="0.4">
      <c r="A112" s="2">
        <v>111</v>
      </c>
      <c r="B112" s="3">
        <v>69.75</v>
      </c>
      <c r="C112" s="3">
        <v>9728.0568000000003</v>
      </c>
      <c r="D112" s="4">
        <f t="shared" si="30"/>
        <v>4865.0625</v>
      </c>
      <c r="E112" s="4">
        <f t="shared" si="31"/>
        <v>-2.2702635802469189</v>
      </c>
      <c r="F112" s="4">
        <f t="shared" si="32"/>
        <v>5.1540967237955586</v>
      </c>
      <c r="G112" s="4">
        <f t="shared" si="33"/>
        <v>-6198.7697172839507</v>
      </c>
      <c r="H112" s="4">
        <f t="shared" si="34"/>
        <v>38424746.007916547</v>
      </c>
      <c r="I112" s="4">
        <f t="shared" si="35"/>
        <v>14072.841131487243</v>
      </c>
      <c r="J112" s="4">
        <f t="shared" si="36"/>
        <v>11143.30794808158</v>
      </c>
      <c r="K112" s="4">
        <f t="shared" si="37"/>
        <v>-1415.2511480815792</v>
      </c>
      <c r="L112" s="4">
        <f t="shared" si="38"/>
        <v>2002935.812146228</v>
      </c>
      <c r="M112" s="4">
        <f t="shared" si="39"/>
        <v>12518.348825913925</v>
      </c>
    </row>
    <row r="113" spans="1:13" x14ac:dyDescent="0.4">
      <c r="A113" s="2">
        <v>112</v>
      </c>
      <c r="B113" s="3">
        <v>68.991</v>
      </c>
      <c r="C113" s="3">
        <v>3688.1673000000001</v>
      </c>
      <c r="D113" s="4">
        <f t="shared" si="30"/>
        <v>4759.7580809999999</v>
      </c>
      <c r="E113" s="4">
        <f t="shared" si="31"/>
        <v>-3.0292635802469192</v>
      </c>
      <c r="F113" s="4">
        <f t="shared" si="32"/>
        <v>9.1764378386103829</v>
      </c>
      <c r="G113" s="4">
        <f t="shared" si="33"/>
        <v>-12238.659217283952</v>
      </c>
      <c r="H113" s="4">
        <f t="shared" si="34"/>
        <v>149784779.43680942</v>
      </c>
      <c r="I113" s="4">
        <f t="shared" si="35"/>
        <v>37074.124637971545</v>
      </c>
      <c r="J113" s="4">
        <f t="shared" si="36"/>
        <v>9544.0704738012864</v>
      </c>
      <c r="K113" s="4">
        <f t="shared" si="37"/>
        <v>-5855.9031738012864</v>
      </c>
      <c r="L113" s="4">
        <f t="shared" si="38"/>
        <v>34291601.980935976</v>
      </c>
      <c r="M113" s="4">
        <f t="shared" si="39"/>
        <v>214322.51238084986</v>
      </c>
    </row>
    <row r="114" spans="1:13" x14ac:dyDescent="0.4">
      <c r="A114" s="2">
        <v>113</v>
      </c>
      <c r="B114" s="3">
        <v>71.645099999999999</v>
      </c>
      <c r="C114" s="3">
        <v>4063.5367000000001</v>
      </c>
      <c r="D114" s="4">
        <f t="shared" si="30"/>
        <v>5133.0203540100001</v>
      </c>
      <c r="E114" s="4">
        <f t="shared" si="31"/>
        <v>-0.37516358024691954</v>
      </c>
      <c r="F114" s="4">
        <f t="shared" si="32"/>
        <v>0.14074771194368685</v>
      </c>
      <c r="G114" s="4">
        <f t="shared" si="33"/>
        <v>-11863.28981728395</v>
      </c>
      <c r="H114" s="4">
        <f t="shared" si="34"/>
        <v>140737645.28887308</v>
      </c>
      <c r="I114" s="4">
        <f t="shared" si="35"/>
        <v>4450.6742813590708</v>
      </c>
      <c r="J114" s="4">
        <f t="shared" si="36"/>
        <v>15136.344756393257</v>
      </c>
      <c r="K114" s="4">
        <f t="shared" si="37"/>
        <v>-11072.808056393256</v>
      </c>
      <c r="L114" s="4">
        <f t="shared" si="38"/>
        <v>122607078.25372741</v>
      </c>
      <c r="M114" s="4">
        <f t="shared" si="39"/>
        <v>766294.23908579629</v>
      </c>
    </row>
    <row r="115" spans="1:13" x14ac:dyDescent="0.4">
      <c r="A115" s="2">
        <v>114</v>
      </c>
      <c r="B115" s="3">
        <v>73.824399999999997</v>
      </c>
      <c r="C115" s="3">
        <v>7198.3011999999999</v>
      </c>
      <c r="D115" s="4">
        <f t="shared" si="30"/>
        <v>5450.0420353599993</v>
      </c>
      <c r="E115" s="4">
        <f t="shared" si="31"/>
        <v>1.8041364197530783</v>
      </c>
      <c r="F115" s="4">
        <f t="shared" si="32"/>
        <v>3.2549082210794555</v>
      </c>
      <c r="G115" s="4">
        <f t="shared" si="33"/>
        <v>-8728.5253172839512</v>
      </c>
      <c r="H115" s="4">
        <f t="shared" si="34"/>
        <v>76187154.2144669</v>
      </c>
      <c r="I115" s="4">
        <f t="shared" si="35"/>
        <v>-15747.450415648769</v>
      </c>
      <c r="J115" s="4">
        <f t="shared" si="36"/>
        <v>19728.200128855708</v>
      </c>
      <c r="K115" s="4">
        <f t="shared" si="37"/>
        <v>-12529.898928855708</v>
      </c>
      <c r="L115" s="4">
        <f t="shared" si="38"/>
        <v>156998367.16733941</v>
      </c>
      <c r="M115" s="4">
        <f t="shared" si="39"/>
        <v>981239.79479587136</v>
      </c>
    </row>
    <row r="116" spans="1:13" x14ac:dyDescent="0.4">
      <c r="A116" s="2">
        <v>115</v>
      </c>
      <c r="B116" s="3">
        <v>73.385000000000005</v>
      </c>
      <c r="C116" s="3">
        <v>3309.1309000000001</v>
      </c>
      <c r="D116" s="4">
        <f t="shared" si="30"/>
        <v>5385.3582250000009</v>
      </c>
      <c r="E116" s="4">
        <f t="shared" si="31"/>
        <v>1.3647364197530862</v>
      </c>
      <c r="F116" s="4">
        <f t="shared" si="32"/>
        <v>1.8625054954004721</v>
      </c>
      <c r="G116" s="4">
        <f t="shared" si="33"/>
        <v>-12617.695617283951</v>
      </c>
      <c r="H116" s="4">
        <f t="shared" si="34"/>
        <v>159206242.69042662</v>
      </c>
      <c r="I116" s="4">
        <f t="shared" si="35"/>
        <v>-17219.828742266305</v>
      </c>
      <c r="J116" s="4">
        <f t="shared" si="36"/>
        <v>18802.370160214428</v>
      </c>
      <c r="K116" s="4">
        <f t="shared" si="37"/>
        <v>-15493.239260214428</v>
      </c>
      <c r="L116" s="4">
        <f t="shared" si="38"/>
        <v>240040462.77424973</v>
      </c>
      <c r="M116" s="4">
        <f t="shared" si="39"/>
        <v>1500252.8923390608</v>
      </c>
    </row>
    <row r="117" spans="1:13" x14ac:dyDescent="0.4">
      <c r="A117" s="2">
        <v>116</v>
      </c>
      <c r="B117" s="3">
        <v>60.85</v>
      </c>
      <c r="C117" s="3">
        <v>3809.8074999999999</v>
      </c>
      <c r="D117" s="4">
        <f t="shared" si="30"/>
        <v>3702.7225000000003</v>
      </c>
      <c r="E117" s="4">
        <f t="shared" si="31"/>
        <v>-11.170263580246917</v>
      </c>
      <c r="F117" s="4">
        <f t="shared" si="32"/>
        <v>124.77478845219068</v>
      </c>
      <c r="G117" s="4">
        <f t="shared" si="33"/>
        <v>-12117.01901728395</v>
      </c>
      <c r="H117" s="4">
        <f t="shared" si="34"/>
        <v>146822149.8652209</v>
      </c>
      <c r="I117" s="4">
        <f t="shared" si="35"/>
        <v>135350.2962299262</v>
      </c>
      <c r="J117" s="4">
        <f t="shared" si="36"/>
        <v>-7609.2790362326778</v>
      </c>
      <c r="K117" s="4">
        <f t="shared" si="37"/>
        <v>11419.086536232677</v>
      </c>
      <c r="L117" s="4">
        <f t="shared" si="38"/>
        <v>130395537.32197039</v>
      </c>
      <c r="M117" s="4">
        <f t="shared" si="39"/>
        <v>814972.10826231493</v>
      </c>
    </row>
    <row r="118" spans="1:13" x14ac:dyDescent="0.4">
      <c r="A118" s="2">
        <v>117</v>
      </c>
      <c r="B118" s="3">
        <v>68.385000000000005</v>
      </c>
      <c r="C118" s="3">
        <v>1062.7888</v>
      </c>
      <c r="D118" s="4">
        <f t="shared" si="30"/>
        <v>4676.5082250000005</v>
      </c>
      <c r="E118" s="4">
        <f t="shared" si="31"/>
        <v>-3.6352635802469138</v>
      </c>
      <c r="F118" s="4">
        <f t="shared" si="32"/>
        <v>13.215141297869609</v>
      </c>
      <c r="G118" s="4">
        <f t="shared" si="33"/>
        <v>-14864.037717283951</v>
      </c>
      <c r="H118" s="4">
        <f t="shared" si="34"/>
        <v>220939617.26083988</v>
      </c>
      <c r="I118" s="4">
        <f t="shared" si="35"/>
        <v>54034.694969058815</v>
      </c>
      <c r="J118" s="4">
        <f t="shared" si="36"/>
        <v>8267.2089330715826</v>
      </c>
      <c r="K118" s="4">
        <f t="shared" si="37"/>
        <v>-7204.4201330715823</v>
      </c>
      <c r="L118" s="4">
        <f t="shared" si="38"/>
        <v>51903669.453807153</v>
      </c>
      <c r="M118" s="4">
        <f t="shared" si="39"/>
        <v>324397.93408629473</v>
      </c>
    </row>
    <row r="119" spans="1:13" x14ac:dyDescent="0.4">
      <c r="A119" s="2">
        <v>118</v>
      </c>
      <c r="B119" s="3">
        <v>81.309799999999996</v>
      </c>
      <c r="C119" s="3">
        <v>49780.832799999996</v>
      </c>
      <c r="D119" s="4">
        <f t="shared" si="30"/>
        <v>6611.2835760399994</v>
      </c>
      <c r="E119" s="4">
        <f t="shared" si="31"/>
        <v>9.2895364197530768</v>
      </c>
      <c r="F119" s="4">
        <f t="shared" si="32"/>
        <v>86.295486893918806</v>
      </c>
      <c r="G119" s="4">
        <f t="shared" si="33"/>
        <v>33854.006282716044</v>
      </c>
      <c r="H119" s="4">
        <f t="shared" si="34"/>
        <v>1146093741.3901772</v>
      </c>
      <c r="I119" s="4">
        <f t="shared" si="35"/>
        <v>314488.02431784017</v>
      </c>
      <c r="J119" s="4">
        <f t="shared" si="36"/>
        <v>35500.179298786708</v>
      </c>
      <c r="K119" s="4">
        <f t="shared" si="37"/>
        <v>14280.653501213288</v>
      </c>
      <c r="L119" s="4">
        <f t="shared" si="38"/>
        <v>203937064.42171535</v>
      </c>
      <c r="M119" s="4">
        <f t="shared" si="39"/>
        <v>1274606.652635721</v>
      </c>
    </row>
    <row r="120" spans="1:13" x14ac:dyDescent="0.4">
      <c r="A120" s="2">
        <v>119</v>
      </c>
      <c r="B120" s="3">
        <v>82.207300000000004</v>
      </c>
      <c r="C120" s="3">
        <v>41309.819799999997</v>
      </c>
      <c r="D120" s="4">
        <f t="shared" si="30"/>
        <v>6758.0401732900009</v>
      </c>
      <c r="E120" s="4">
        <f t="shared" si="31"/>
        <v>10.187036419753085</v>
      </c>
      <c r="F120" s="4">
        <f t="shared" si="32"/>
        <v>103.77571101737574</v>
      </c>
      <c r="G120" s="4">
        <f t="shared" si="33"/>
        <v>25382.993282716045</v>
      </c>
      <c r="H120" s="4">
        <f t="shared" si="34"/>
        <v>644296347.99040782</v>
      </c>
      <c r="I120" s="4">
        <f t="shared" si="35"/>
        <v>258577.47701337625</v>
      </c>
      <c r="J120" s="4">
        <f t="shared" si="36"/>
        <v>37391.240739058878</v>
      </c>
      <c r="K120" s="4">
        <f t="shared" si="37"/>
        <v>3918.5790609411197</v>
      </c>
      <c r="L120" s="4">
        <f t="shared" si="38"/>
        <v>15355261.856846187</v>
      </c>
      <c r="M120" s="4">
        <f t="shared" si="39"/>
        <v>95970.386605288673</v>
      </c>
    </row>
    <row r="121" spans="1:13" x14ac:dyDescent="0.4">
      <c r="A121" s="2">
        <v>120</v>
      </c>
      <c r="B121" s="3">
        <v>53.454999999999998</v>
      </c>
      <c r="C121" s="3">
        <v>2206.6641</v>
      </c>
      <c r="D121" s="4">
        <f t="shared" si="30"/>
        <v>2857.4370249999997</v>
      </c>
      <c r="E121" s="4">
        <f t="shared" si="31"/>
        <v>-18.565263580246921</v>
      </c>
      <c r="F121" s="4">
        <f t="shared" si="32"/>
        <v>344.66901180404273</v>
      </c>
      <c r="G121" s="4">
        <f t="shared" si="33"/>
        <v>-13720.162417283951</v>
      </c>
      <c r="H121" s="4">
        <f t="shared" si="34"/>
        <v>188242856.75665098</v>
      </c>
      <c r="I121" s="4">
        <f t="shared" si="35"/>
        <v>254718.4316406743</v>
      </c>
      <c r="J121" s="4">
        <f t="shared" si="36"/>
        <v>-23190.782491176942</v>
      </c>
      <c r="K121" s="4">
        <f t="shared" si="37"/>
        <v>25397.446591176944</v>
      </c>
      <c r="L121" s="4">
        <f t="shared" si="38"/>
        <v>645030293.3516854</v>
      </c>
      <c r="M121" s="4">
        <f t="shared" si="39"/>
        <v>4031439.3334480338</v>
      </c>
    </row>
    <row r="122" spans="1:13" x14ac:dyDescent="0.4">
      <c r="A122" s="2">
        <v>121</v>
      </c>
      <c r="B122" s="3">
        <v>73.246300000000005</v>
      </c>
      <c r="C122" s="3">
        <v>6064.9232000000002</v>
      </c>
      <c r="D122" s="4">
        <f t="shared" si="30"/>
        <v>5365.0204636900007</v>
      </c>
      <c r="E122" s="4">
        <f t="shared" si="31"/>
        <v>1.2260364197530862</v>
      </c>
      <c r="F122" s="4">
        <f t="shared" si="32"/>
        <v>1.5031653025609657</v>
      </c>
      <c r="G122" s="4">
        <f t="shared" si="33"/>
        <v>-9861.9033172839518</v>
      </c>
      <c r="H122" s="4">
        <f t="shared" si="34"/>
        <v>97257137.039456218</v>
      </c>
      <c r="I122" s="4">
        <f t="shared" si="35"/>
        <v>-12091.0526350739</v>
      </c>
      <c r="J122" s="4">
        <f t="shared" si="36"/>
        <v>18510.124787773471</v>
      </c>
      <c r="K122" s="4">
        <f t="shared" si="37"/>
        <v>-12445.20158777347</v>
      </c>
      <c r="L122" s="4">
        <f t="shared" si="38"/>
        <v>154883042.5603193</v>
      </c>
      <c r="M122" s="4">
        <f t="shared" si="39"/>
        <v>968019.01600199565</v>
      </c>
    </row>
    <row r="123" spans="1:13" x14ac:dyDescent="0.4">
      <c r="A123" s="2">
        <v>122</v>
      </c>
      <c r="B123" s="3">
        <v>83.163399999999996</v>
      </c>
      <c r="C123" s="3">
        <v>81199.339099999997</v>
      </c>
      <c r="D123" s="4">
        <f t="shared" si="30"/>
        <v>6916.1510995599992</v>
      </c>
      <c r="E123" s="4">
        <f t="shared" si="31"/>
        <v>11.143136419753077</v>
      </c>
      <c r="F123" s="4">
        <f t="shared" si="32"/>
        <v>124.16948926922743</v>
      </c>
      <c r="G123" s="4">
        <f t="shared" si="33"/>
        <v>65272.512582716045</v>
      </c>
      <c r="H123" s="4">
        <f t="shared" si="34"/>
        <v>4260500898.8608246</v>
      </c>
      <c r="I123" s="4">
        <f t="shared" si="35"/>
        <v>727340.51216925413</v>
      </c>
      <c r="J123" s="4">
        <f t="shared" si="36"/>
        <v>39405.774268913112</v>
      </c>
      <c r="K123" s="4">
        <f t="shared" si="37"/>
        <v>41793.564831086886</v>
      </c>
      <c r="L123" s="4">
        <f t="shared" si="38"/>
        <v>1746702061.2902625</v>
      </c>
      <c r="M123" s="4">
        <f t="shared" si="39"/>
        <v>10916887.88306414</v>
      </c>
    </row>
    <row r="124" spans="1:13" x14ac:dyDescent="0.4">
      <c r="A124" s="2">
        <v>123</v>
      </c>
      <c r="B124" s="3">
        <v>75.968999999999994</v>
      </c>
      <c r="C124" s="3">
        <v>18291.338800000001</v>
      </c>
      <c r="D124" s="4">
        <f t="shared" si="30"/>
        <v>5771.2889609999993</v>
      </c>
      <c r="E124" s="4">
        <f t="shared" si="31"/>
        <v>3.9487364197530752</v>
      </c>
      <c r="F124" s="4">
        <f t="shared" si="32"/>
        <v>15.592519312684335</v>
      </c>
      <c r="G124" s="4">
        <f t="shared" si="33"/>
        <v>2364.5122827160503</v>
      </c>
      <c r="H124" s="4">
        <f t="shared" si="34"/>
        <v>5590918.3351150667</v>
      </c>
      <c r="I124" s="4">
        <f t="shared" si="35"/>
        <v>9336.8357657143479</v>
      </c>
      <c r="J124" s="4">
        <f t="shared" si="36"/>
        <v>24246.941482401831</v>
      </c>
      <c r="K124" s="4">
        <f t="shared" si="37"/>
        <v>-5955.60268240183</v>
      </c>
      <c r="L124" s="4">
        <f t="shared" si="38"/>
        <v>35469203.310631871</v>
      </c>
      <c r="M124" s="4">
        <f t="shared" si="39"/>
        <v>221682.5206914492</v>
      </c>
    </row>
    <row r="125" spans="1:13" x14ac:dyDescent="0.4">
      <c r="A125" s="2">
        <v>124</v>
      </c>
      <c r="B125" s="3">
        <v>64.358000000000004</v>
      </c>
      <c r="C125" s="3">
        <v>2378.3894</v>
      </c>
      <c r="D125" s="4">
        <f t="shared" si="30"/>
        <v>4141.9521640000003</v>
      </c>
      <c r="E125" s="4">
        <f t="shared" si="31"/>
        <v>-7.6622635802469148</v>
      </c>
      <c r="F125" s="4">
        <f t="shared" si="32"/>
        <v>58.710283173178269</v>
      </c>
      <c r="G125" s="4">
        <f t="shared" si="33"/>
        <v>-13548.437117283951</v>
      </c>
      <c r="H125" s="4">
        <f t="shared" si="34"/>
        <v>183560148.32099745</v>
      </c>
      <c r="I125" s="4">
        <f t="shared" si="35"/>
        <v>103811.69629303031</v>
      </c>
      <c r="J125" s="4">
        <f t="shared" si="36"/>
        <v>-217.80991926926072</v>
      </c>
      <c r="K125" s="4">
        <f t="shared" si="37"/>
        <v>2596.1993192692607</v>
      </c>
      <c r="L125" s="4">
        <f t="shared" si="38"/>
        <v>6740250.9053741731</v>
      </c>
      <c r="M125" s="4">
        <f t="shared" si="39"/>
        <v>42126.568158588583</v>
      </c>
    </row>
    <row r="126" spans="1:13" x14ac:dyDescent="0.4">
      <c r="A126" s="2">
        <v>125</v>
      </c>
      <c r="B126" s="3">
        <v>68.108000000000004</v>
      </c>
      <c r="C126" s="3">
        <v>6276.7748000000001</v>
      </c>
      <c r="D126" s="4">
        <f t="shared" si="30"/>
        <v>4638.6996640000007</v>
      </c>
      <c r="E126" s="4">
        <f t="shared" si="31"/>
        <v>-3.9122635802469148</v>
      </c>
      <c r="F126" s="4">
        <f t="shared" si="32"/>
        <v>15.305806321326408</v>
      </c>
      <c r="G126" s="4">
        <f t="shared" si="33"/>
        <v>-9650.05171728395</v>
      </c>
      <c r="H126" s="4">
        <f t="shared" si="34"/>
        <v>93123498.146254912</v>
      </c>
      <c r="I126" s="4">
        <f t="shared" si="35"/>
        <v>37753.545881029197</v>
      </c>
      <c r="J126" s="4">
        <f t="shared" si="36"/>
        <v>7683.561001087859</v>
      </c>
      <c r="K126" s="4">
        <f t="shared" si="37"/>
        <v>-1406.7862010878589</v>
      </c>
      <c r="L126" s="4">
        <f t="shared" si="38"/>
        <v>1979047.4155712097</v>
      </c>
      <c r="M126" s="4">
        <f t="shared" si="39"/>
        <v>12369.046347320062</v>
      </c>
    </row>
    <row r="127" spans="1:13" x14ac:dyDescent="0.4">
      <c r="A127" s="2">
        <v>126</v>
      </c>
      <c r="B127" s="3">
        <v>71.596000000000004</v>
      </c>
      <c r="C127" s="3">
        <v>6550.9674999999997</v>
      </c>
      <c r="D127" s="4">
        <f t="shared" si="30"/>
        <v>5125.9872160000004</v>
      </c>
      <c r="E127" s="4">
        <f t="shared" si="31"/>
        <v>-0.42426358024691524</v>
      </c>
      <c r="F127" s="4">
        <f t="shared" si="32"/>
        <v>0.17999958552393069</v>
      </c>
      <c r="G127" s="4">
        <f t="shared" si="33"/>
        <v>-9375.8590172839504</v>
      </c>
      <c r="H127" s="4">
        <f t="shared" si="34"/>
        <v>87906732.311984763</v>
      </c>
      <c r="I127" s="4">
        <f t="shared" si="35"/>
        <v>3977.8355145632131</v>
      </c>
      <c r="J127" s="4">
        <f t="shared" si="36"/>
        <v>15032.889473142714</v>
      </c>
      <c r="K127" s="4">
        <f t="shared" si="37"/>
        <v>-8481.9219731427147</v>
      </c>
      <c r="L127" s="4">
        <f t="shared" si="38"/>
        <v>71943000.358481199</v>
      </c>
      <c r="M127" s="4">
        <f t="shared" si="39"/>
        <v>449643.75224050751</v>
      </c>
    </row>
    <row r="128" spans="1:13" x14ac:dyDescent="0.4">
      <c r="A128" s="2">
        <v>127</v>
      </c>
      <c r="B128" s="3">
        <v>66.674999999999997</v>
      </c>
      <c r="C128" s="3">
        <v>3350.9758999999999</v>
      </c>
      <c r="D128" s="4">
        <f t="shared" si="30"/>
        <v>4445.555625</v>
      </c>
      <c r="E128" s="4">
        <f t="shared" si="31"/>
        <v>-5.3452635802469217</v>
      </c>
      <c r="F128" s="4">
        <f t="shared" si="32"/>
        <v>28.571842742314139</v>
      </c>
      <c r="G128" s="4">
        <f t="shared" si="33"/>
        <v>-12575.850617283952</v>
      </c>
      <c r="H128" s="4">
        <f t="shared" si="34"/>
        <v>158152018.74824116</v>
      </c>
      <c r="I128" s="4">
        <f t="shared" si="35"/>
        <v>67221.236295193681</v>
      </c>
      <c r="J128" s="4">
        <f t="shared" si="36"/>
        <v>4664.1837933887145</v>
      </c>
      <c r="K128" s="4">
        <f t="shared" si="37"/>
        <v>-1313.2078933887146</v>
      </c>
      <c r="L128" s="4">
        <f t="shared" si="38"/>
        <v>1724514.9712584256</v>
      </c>
      <c r="M128" s="4">
        <f t="shared" si="39"/>
        <v>10778.218570365159</v>
      </c>
    </row>
    <row r="129" spans="1:13" x14ac:dyDescent="0.4">
      <c r="A129" s="2">
        <v>128</v>
      </c>
      <c r="B129" s="3">
        <v>75.351200000000006</v>
      </c>
      <c r="C129" s="3">
        <v>16368.624</v>
      </c>
      <c r="D129" s="4">
        <f t="shared" si="30"/>
        <v>5677.8033414400006</v>
      </c>
      <c r="E129" s="4">
        <f t="shared" si="31"/>
        <v>3.3309364197530869</v>
      </c>
      <c r="F129" s="4">
        <f t="shared" si="32"/>
        <v>11.095137432437513</v>
      </c>
      <c r="G129" s="4">
        <f t="shared" si="33"/>
        <v>441.79748271604876</v>
      </c>
      <c r="H129" s="4">
        <f t="shared" si="34"/>
        <v>195185.01573423742</v>
      </c>
      <c r="I129" s="4">
        <f t="shared" si="35"/>
        <v>1471.5993253341217</v>
      </c>
      <c r="J129" s="4">
        <f t="shared" si="36"/>
        <v>22945.216961176076</v>
      </c>
      <c r="K129" s="4">
        <f t="shared" si="37"/>
        <v>-6576.5929611760766</v>
      </c>
      <c r="L129" s="4">
        <f t="shared" si="38"/>
        <v>43251574.976990715</v>
      </c>
      <c r="M129" s="4">
        <f t="shared" si="39"/>
        <v>270322.34360619198</v>
      </c>
    </row>
    <row r="130" spans="1:13" x14ac:dyDescent="0.4">
      <c r="A130" s="2">
        <v>129</v>
      </c>
      <c r="B130" s="3">
        <v>81.378</v>
      </c>
      <c r="C130" s="3">
        <v>20747.699100000002</v>
      </c>
      <c r="D130" s="4">
        <f t="shared" ref="D130:D163" si="40">B130^2</f>
        <v>6622.3788839999997</v>
      </c>
      <c r="E130" s="4">
        <f t="shared" ref="E130:E163" si="41">B130-$B$167</f>
        <v>9.3577364197530812</v>
      </c>
      <c r="F130" s="4">
        <f t="shared" ref="F130:F161" si="42">E130^2</f>
        <v>87.567230901573211</v>
      </c>
      <c r="G130" s="4">
        <f t="shared" ref="G130:G163" si="43">C130-$C$167</f>
        <v>4820.8725827160506</v>
      </c>
      <c r="H130" s="4">
        <f t="shared" ref="H130:H161" si="44">G130^2</f>
        <v>23240812.458783325</v>
      </c>
      <c r="I130" s="4">
        <f t="shared" ref="I130:I163" si="45">E130*G130</f>
        <v>45112.454942271084</v>
      </c>
      <c r="J130" s="4">
        <f t="shared" ref="J130:J163" si="46">$B$171+$A$171*B130</f>
        <v>35643.878897924966</v>
      </c>
      <c r="K130" s="4">
        <f t="shared" ref="K130:K161" si="47">C130-J130</f>
        <v>-14896.179797924964</v>
      </c>
      <c r="L130" s="4">
        <f t="shared" ref="L130:L161" si="48">K130^2</f>
        <v>221896172.57210782</v>
      </c>
      <c r="M130" s="4">
        <f t="shared" ref="M130:M161" si="49">L130/($A$165-2)</f>
        <v>1386851.078575674</v>
      </c>
    </row>
    <row r="131" spans="1:13" x14ac:dyDescent="0.4">
      <c r="A131" s="2">
        <v>130</v>
      </c>
      <c r="B131" s="3">
        <v>81.082999999999998</v>
      </c>
      <c r="C131" s="3">
        <v>65488.5118</v>
      </c>
      <c r="D131" s="4">
        <f t="shared" si="40"/>
        <v>6574.4528890000001</v>
      </c>
      <c r="E131" s="4">
        <f t="shared" si="41"/>
        <v>9.0627364197530795</v>
      </c>
      <c r="F131" s="4">
        <f t="shared" si="42"/>
        <v>82.133191413918865</v>
      </c>
      <c r="G131" s="4">
        <f t="shared" si="43"/>
        <v>49561.685282716047</v>
      </c>
      <c r="H131" s="4">
        <f t="shared" si="44"/>
        <v>2456360648.0629926</v>
      </c>
      <c r="I131" s="4">
        <f t="shared" si="45"/>
        <v>449164.49023601093</v>
      </c>
      <c r="J131" s="4">
        <f t="shared" si="46"/>
        <v>35022.304385523516</v>
      </c>
      <c r="K131" s="4">
        <f t="shared" si="47"/>
        <v>30466.207414476485</v>
      </c>
      <c r="L131" s="4">
        <f t="shared" si="48"/>
        <v>928189794.22190189</v>
      </c>
      <c r="M131" s="4">
        <f t="shared" si="49"/>
        <v>5801186.2138868868</v>
      </c>
    </row>
    <row r="132" spans="1:13" x14ac:dyDescent="0.4">
      <c r="A132" s="2">
        <v>131</v>
      </c>
      <c r="B132" s="3">
        <v>72.809799999999996</v>
      </c>
      <c r="C132" s="3">
        <v>11546.3225</v>
      </c>
      <c r="D132" s="4">
        <f t="shared" si="40"/>
        <v>5301.2669760399995</v>
      </c>
      <c r="E132" s="4">
        <f t="shared" si="41"/>
        <v>0.78953641975307676</v>
      </c>
      <c r="F132" s="4">
        <f t="shared" si="42"/>
        <v>0.62336775811650658</v>
      </c>
      <c r="G132" s="4">
        <f t="shared" si="43"/>
        <v>-4380.5040172839508</v>
      </c>
      <c r="H132" s="4">
        <f t="shared" si="44"/>
        <v>19188815.445440833</v>
      </c>
      <c r="I132" s="4">
        <f t="shared" si="45"/>
        <v>-3458.5674585203406</v>
      </c>
      <c r="J132" s="4">
        <f t="shared" si="46"/>
        <v>17590.405212643906</v>
      </c>
      <c r="K132" s="4">
        <f t="shared" si="47"/>
        <v>-6044.0827126439053</v>
      </c>
      <c r="L132" s="4">
        <f t="shared" si="48"/>
        <v>36530935.837280907</v>
      </c>
      <c r="M132" s="4">
        <f t="shared" si="49"/>
        <v>228318.34898300568</v>
      </c>
    </row>
    <row r="133" spans="1:13" x14ac:dyDescent="0.4">
      <c r="A133" s="2">
        <v>132</v>
      </c>
      <c r="B133" s="3">
        <v>69.900199999999998</v>
      </c>
      <c r="C133" s="3">
        <v>10231.3184</v>
      </c>
      <c r="D133" s="4">
        <f t="shared" si="40"/>
        <v>4886.0379600400001</v>
      </c>
      <c r="E133" s="4">
        <f t="shared" si="41"/>
        <v>-2.1200635802469208</v>
      </c>
      <c r="F133" s="4">
        <f t="shared" si="42"/>
        <v>4.494669584289392</v>
      </c>
      <c r="G133" s="4">
        <f t="shared" si="43"/>
        <v>-5695.5081172839509</v>
      </c>
      <c r="H133" s="4">
        <f t="shared" si="44"/>
        <v>32438812.714047376</v>
      </c>
      <c r="I133" s="4">
        <f t="shared" si="45"/>
        <v>12074.839330454412</v>
      </c>
      <c r="J133" s="4">
        <f t="shared" si="46"/>
        <v>11459.784191344923</v>
      </c>
      <c r="K133" s="4">
        <f t="shared" si="47"/>
        <v>-1228.4657913449228</v>
      </c>
      <c r="L133" s="4">
        <f t="shared" si="48"/>
        <v>1509128.2005047074</v>
      </c>
      <c r="M133" s="4">
        <f t="shared" si="49"/>
        <v>9432.0512531544209</v>
      </c>
    </row>
    <row r="134" spans="1:13" x14ac:dyDescent="0.4">
      <c r="A134" s="2">
        <v>133</v>
      </c>
      <c r="B134" s="3">
        <v>66.849999999999994</v>
      </c>
      <c r="C134" s="3">
        <v>871.04179999999997</v>
      </c>
      <c r="D134" s="4">
        <f t="shared" si="40"/>
        <v>4468.9224999999997</v>
      </c>
      <c r="E134" s="4">
        <f t="shared" si="41"/>
        <v>-5.1702635802469246</v>
      </c>
      <c r="F134" s="4">
        <f t="shared" si="42"/>
        <v>26.731625489227746</v>
      </c>
      <c r="G134" s="4">
        <f t="shared" si="43"/>
        <v>-15055.78471728395</v>
      </c>
      <c r="H134" s="4">
        <f t="shared" si="44"/>
        <v>226676653.45320097</v>
      </c>
      <c r="I134" s="4">
        <f t="shared" si="45"/>
        <v>77842.375395811454</v>
      </c>
      <c r="J134" s="4">
        <f t="shared" si="46"/>
        <v>5032.9144363387022</v>
      </c>
      <c r="K134" s="4">
        <f t="shared" si="47"/>
        <v>-4161.8726363387023</v>
      </c>
      <c r="L134" s="4">
        <f t="shared" si="48"/>
        <v>17321183.841104861</v>
      </c>
      <c r="M134" s="4">
        <f t="shared" si="49"/>
        <v>108257.39900690538</v>
      </c>
    </row>
    <row r="135" spans="1:13" x14ac:dyDescent="0.4">
      <c r="A135" s="2">
        <v>134</v>
      </c>
      <c r="B135" s="3">
        <v>83.539000000000001</v>
      </c>
      <c r="C135" s="3">
        <v>46834.117200000001</v>
      </c>
      <c r="D135" s="4">
        <f t="shared" si="40"/>
        <v>6978.7645210000001</v>
      </c>
      <c r="E135" s="4">
        <f t="shared" si="41"/>
        <v>11.518736419753083</v>
      </c>
      <c r="F135" s="4">
        <f t="shared" si="42"/>
        <v>132.68128870774606</v>
      </c>
      <c r="G135" s="4">
        <f t="shared" si="43"/>
        <v>30907.290682716048</v>
      </c>
      <c r="H135" s="4">
        <f t="shared" si="44"/>
        <v>955260617.34590626</v>
      </c>
      <c r="I135" s="4">
        <f t="shared" si="45"/>
        <v>356012.93482289644</v>
      </c>
      <c r="J135" s="4">
        <f t="shared" si="46"/>
        <v>40197.175580296083</v>
      </c>
      <c r="K135" s="4">
        <f t="shared" si="47"/>
        <v>6636.9416197039172</v>
      </c>
      <c r="L135" s="4">
        <f t="shared" si="48"/>
        <v>44048994.063358054</v>
      </c>
      <c r="M135" s="4">
        <f t="shared" si="49"/>
        <v>275306.21289598785</v>
      </c>
    </row>
    <row r="136" spans="1:13" x14ac:dyDescent="0.4">
      <c r="A136" s="2">
        <v>135</v>
      </c>
      <c r="B136" s="3">
        <v>77.088999999999999</v>
      </c>
      <c r="C136" s="3">
        <v>24922.671699999999</v>
      </c>
      <c r="D136" s="4">
        <f t="shared" si="40"/>
        <v>5942.7139209999996</v>
      </c>
      <c r="E136" s="4">
        <f t="shared" si="41"/>
        <v>5.0687364197530798</v>
      </c>
      <c r="F136" s="4">
        <f t="shared" si="42"/>
        <v>25.69208889293127</v>
      </c>
      <c r="G136" s="4">
        <f t="shared" si="43"/>
        <v>8995.8451827160479</v>
      </c>
      <c r="H136" s="4">
        <f t="shared" si="44"/>
        <v>80925230.551395521</v>
      </c>
      <c r="I136" s="4">
        <f t="shared" si="45"/>
        <v>45597.56810409313</v>
      </c>
      <c r="J136" s="4">
        <f t="shared" si="46"/>
        <v>26606.817597281828</v>
      </c>
      <c r="K136" s="4">
        <f t="shared" si="47"/>
        <v>-1684.1458972818291</v>
      </c>
      <c r="L136" s="4">
        <f t="shared" si="48"/>
        <v>2836347.4033312174</v>
      </c>
      <c r="M136" s="4">
        <f t="shared" si="49"/>
        <v>17727.171270820108</v>
      </c>
    </row>
    <row r="137" spans="1:13" x14ac:dyDescent="0.4">
      <c r="A137" s="2">
        <v>136</v>
      </c>
      <c r="B137" s="3">
        <v>66.867999999999995</v>
      </c>
      <c r="C137" s="3">
        <v>1414.5395000000001</v>
      </c>
      <c r="D137" s="4">
        <f t="shared" si="40"/>
        <v>4471.3294239999996</v>
      </c>
      <c r="E137" s="4">
        <f t="shared" si="41"/>
        <v>-5.1522635802469239</v>
      </c>
      <c r="F137" s="4">
        <f t="shared" si="42"/>
        <v>26.54582000033885</v>
      </c>
      <c r="G137" s="4">
        <f t="shared" si="43"/>
        <v>-14512.28701728395</v>
      </c>
      <c r="H137" s="4">
        <f t="shared" si="44"/>
        <v>210606474.47202829</v>
      </c>
      <c r="I137" s="4">
        <f t="shared" si="45"/>
        <v>74771.127865242364</v>
      </c>
      <c r="J137" s="4">
        <f t="shared" si="46"/>
        <v>5070.8410167564289</v>
      </c>
      <c r="K137" s="4">
        <f t="shared" si="47"/>
        <v>-3656.301516756429</v>
      </c>
      <c r="L137" s="4">
        <f t="shared" si="48"/>
        <v>13368540.781435363</v>
      </c>
      <c r="M137" s="4">
        <f t="shared" si="49"/>
        <v>83553.379883971022</v>
      </c>
    </row>
    <row r="138" spans="1:13" x14ac:dyDescent="0.4">
      <c r="A138" s="2">
        <v>137</v>
      </c>
      <c r="B138" s="3">
        <v>72.780500000000004</v>
      </c>
      <c r="C138" s="3">
        <v>7465.6760000000004</v>
      </c>
      <c r="D138" s="4">
        <f t="shared" si="40"/>
        <v>5297.0011802500003</v>
      </c>
      <c r="E138" s="4">
        <f t="shared" si="41"/>
        <v>0.76023641975308465</v>
      </c>
      <c r="F138" s="4">
        <f t="shared" si="42"/>
        <v>0.57795941391898831</v>
      </c>
      <c r="G138" s="4">
        <f t="shared" si="43"/>
        <v>-8461.1505172839497</v>
      </c>
      <c r="H138" s="4">
        <f t="shared" si="44"/>
        <v>71591068.076134443</v>
      </c>
      <c r="I138" s="4">
        <f t="shared" si="45"/>
        <v>-6432.47477625191</v>
      </c>
      <c r="J138" s="4">
        <f t="shared" si="46"/>
        <v>17528.669167852844</v>
      </c>
      <c r="K138" s="4">
        <f t="shared" si="47"/>
        <v>-10062.993167852845</v>
      </c>
      <c r="L138" s="4">
        <f t="shared" si="48"/>
        <v>101263831.49625303</v>
      </c>
      <c r="M138" s="4">
        <f t="shared" si="49"/>
        <v>632898.94685158145</v>
      </c>
    </row>
    <row r="139" spans="1:13" x14ac:dyDescent="0.4">
      <c r="A139" s="2">
        <v>138</v>
      </c>
      <c r="B139" s="3">
        <v>73.397599999999997</v>
      </c>
      <c r="C139" s="3">
        <v>17005.0422</v>
      </c>
      <c r="D139" s="4">
        <f t="shared" si="40"/>
        <v>5387.2076857599995</v>
      </c>
      <c r="E139" s="4">
        <f t="shared" si="41"/>
        <v>1.3773364197530782</v>
      </c>
      <c r="F139" s="4">
        <f t="shared" si="42"/>
        <v>1.8970556131782277</v>
      </c>
      <c r="G139" s="4">
        <f t="shared" si="43"/>
        <v>1078.2156827160488</v>
      </c>
      <c r="H139" s="4">
        <f t="shared" si="44"/>
        <v>1162549.0584548353</v>
      </c>
      <c r="I139" s="4">
        <f t="shared" si="45"/>
        <v>1485.0657281537435</v>
      </c>
      <c r="J139" s="4">
        <f t="shared" si="46"/>
        <v>18828.918766506802</v>
      </c>
      <c r="K139" s="4">
        <f t="shared" si="47"/>
        <v>-1823.8765665068022</v>
      </c>
      <c r="L139" s="4">
        <f t="shared" si="48"/>
        <v>3326525.7298526415</v>
      </c>
      <c r="M139" s="4">
        <f t="shared" si="49"/>
        <v>20790.785811579008</v>
      </c>
    </row>
    <row r="140" spans="1:13" x14ac:dyDescent="0.4">
      <c r="A140" s="2">
        <v>139</v>
      </c>
      <c r="B140" s="3">
        <v>60.26</v>
      </c>
      <c r="C140" s="3">
        <v>1045.7662</v>
      </c>
      <c r="D140" s="4">
        <f t="shared" si="40"/>
        <v>3631.2675999999997</v>
      </c>
      <c r="E140" s="4">
        <f t="shared" si="41"/>
        <v>-11.760263580246921</v>
      </c>
      <c r="F140" s="4">
        <f t="shared" si="42"/>
        <v>138.30379947688212</v>
      </c>
      <c r="G140" s="4">
        <f t="shared" si="43"/>
        <v>-14881.060317283951</v>
      </c>
      <c r="H140" s="4">
        <f t="shared" si="44"/>
        <v>221445956.16664311</v>
      </c>
      <c r="I140" s="4">
        <f t="shared" si="45"/>
        <v>175005.19168481213</v>
      </c>
      <c r="J140" s="4">
        <f t="shared" si="46"/>
        <v>-8852.428061035549</v>
      </c>
      <c r="K140" s="4">
        <f t="shared" si="47"/>
        <v>9898.1942610355491</v>
      </c>
      <c r="L140" s="4">
        <f t="shared" si="48"/>
        <v>97974249.629197076</v>
      </c>
      <c r="M140" s="4">
        <f t="shared" si="49"/>
        <v>612339.06018248177</v>
      </c>
    </row>
    <row r="141" spans="1:13" x14ac:dyDescent="0.4">
      <c r="A141" s="2">
        <v>140</v>
      </c>
      <c r="B141" s="3">
        <v>83.092699999999994</v>
      </c>
      <c r="C141" s="3">
        <v>67846.856499999994</v>
      </c>
      <c r="D141" s="4">
        <f t="shared" si="40"/>
        <v>6904.3967932899986</v>
      </c>
      <c r="E141" s="4">
        <f t="shared" si="41"/>
        <v>11.072436419753075</v>
      </c>
      <c r="F141" s="4">
        <f t="shared" si="42"/>
        <v>122.59884826947429</v>
      </c>
      <c r="G141" s="4">
        <f t="shared" si="43"/>
        <v>51920.029982716042</v>
      </c>
      <c r="H141" s="4">
        <f t="shared" si="44"/>
        <v>2695689513.4061327</v>
      </c>
      <c r="I141" s="4">
        <f t="shared" si="45"/>
        <v>574881.23089529667</v>
      </c>
      <c r="J141" s="4">
        <f t="shared" si="46"/>
        <v>39256.807089161302</v>
      </c>
      <c r="K141" s="4">
        <f t="shared" si="47"/>
        <v>28590.049410838692</v>
      </c>
      <c r="L141" s="4">
        <f t="shared" si="48"/>
        <v>817390925.3141979</v>
      </c>
      <c r="M141" s="4">
        <f t="shared" si="49"/>
        <v>5108693.2832137365</v>
      </c>
    </row>
    <row r="142" spans="1:13" x14ac:dyDescent="0.4">
      <c r="A142" s="2">
        <v>141</v>
      </c>
      <c r="B142" s="3">
        <v>74.614599999999996</v>
      </c>
      <c r="C142" s="3">
        <v>18808.454000000002</v>
      </c>
      <c r="D142" s="4">
        <f t="shared" si="40"/>
        <v>5567.3385331599993</v>
      </c>
      <c r="E142" s="4">
        <f t="shared" si="41"/>
        <v>2.5943364197530769</v>
      </c>
      <c r="F142" s="4">
        <f t="shared" si="42"/>
        <v>6.7305814588572135</v>
      </c>
      <c r="G142" s="4">
        <f t="shared" si="43"/>
        <v>2881.6274827160505</v>
      </c>
      <c r="H142" s="4">
        <f t="shared" si="44"/>
        <v>8303776.9491444416</v>
      </c>
      <c r="I142" s="4">
        <f t="shared" si="45"/>
        <v>7475.9111265716301</v>
      </c>
      <c r="J142" s="4">
        <f t="shared" si="46"/>
        <v>21393.177009193372</v>
      </c>
      <c r="K142" s="4">
        <f t="shared" si="47"/>
        <v>-2584.7230091933707</v>
      </c>
      <c r="L142" s="4">
        <f t="shared" si="48"/>
        <v>6680793.0342536336</v>
      </c>
      <c r="M142" s="4">
        <f t="shared" si="49"/>
        <v>41754.956464085211</v>
      </c>
    </row>
    <row r="143" spans="1:13" x14ac:dyDescent="0.4">
      <c r="A143" s="2">
        <v>142</v>
      </c>
      <c r="B143" s="3">
        <v>80.675600000000003</v>
      </c>
      <c r="C143" s="3">
        <v>24665.440999999999</v>
      </c>
      <c r="D143" s="4">
        <f t="shared" si="40"/>
        <v>6508.5524353600003</v>
      </c>
      <c r="E143" s="4">
        <f t="shared" si="41"/>
        <v>8.655336419753084</v>
      </c>
      <c r="F143" s="4">
        <f t="shared" si="42"/>
        <v>74.914848539104128</v>
      </c>
      <c r="G143" s="4">
        <f t="shared" si="43"/>
        <v>8738.6144827160479</v>
      </c>
      <c r="H143" s="4">
        <f t="shared" si="44"/>
        <v>76363383.077534661</v>
      </c>
      <c r="I143" s="4">
        <f t="shared" si="45"/>
        <v>75635.64819043396</v>
      </c>
      <c r="J143" s="4">
        <f t="shared" si="46"/>
        <v>34163.89944873593</v>
      </c>
      <c r="K143" s="4">
        <f t="shared" si="47"/>
        <v>-9498.4584487359316</v>
      </c>
      <c r="L143" s="4">
        <f t="shared" si="48"/>
        <v>90220712.902363002</v>
      </c>
      <c r="M143" s="4">
        <f t="shared" si="49"/>
        <v>563879.45563976874</v>
      </c>
    </row>
    <row r="144" spans="1:13" x14ac:dyDescent="0.4">
      <c r="A144" s="2">
        <v>143</v>
      </c>
      <c r="B144" s="3">
        <v>62.01</v>
      </c>
      <c r="C144" s="3">
        <v>5750.9093999999996</v>
      </c>
      <c r="D144" s="4">
        <f t="shared" si="40"/>
        <v>3845.2400999999995</v>
      </c>
      <c r="E144" s="4">
        <f t="shared" si="41"/>
        <v>-10.010263580246921</v>
      </c>
      <c r="F144" s="4">
        <f t="shared" si="42"/>
        <v>100.20537694601791</v>
      </c>
      <c r="G144" s="4">
        <f t="shared" si="43"/>
        <v>-10175.917117283952</v>
      </c>
      <c r="H144" s="4">
        <f t="shared" si="44"/>
        <v>103549289.17783254</v>
      </c>
      <c r="I144" s="4">
        <f t="shared" si="45"/>
        <v>101863.61251475879</v>
      </c>
      <c r="J144" s="4">
        <f t="shared" si="46"/>
        <v>-5165.1216315355559</v>
      </c>
      <c r="K144" s="4">
        <f t="shared" si="47"/>
        <v>10916.031031535556</v>
      </c>
      <c r="L144" s="4">
        <f t="shared" si="48"/>
        <v>119159733.48144722</v>
      </c>
      <c r="M144" s="4">
        <f t="shared" si="49"/>
        <v>744748.33425904508</v>
      </c>
    </row>
    <row r="145" spans="1:13" x14ac:dyDescent="0.4">
      <c r="A145" s="2">
        <v>144</v>
      </c>
      <c r="B145" s="3">
        <v>83.177999999999997</v>
      </c>
      <c r="C145" s="3">
        <v>26705.3629</v>
      </c>
      <c r="D145" s="4">
        <f t="shared" si="40"/>
        <v>6918.5796839999994</v>
      </c>
      <c r="E145" s="4">
        <f t="shared" si="41"/>
        <v>11.157736419753078</v>
      </c>
      <c r="F145" s="4">
        <f t="shared" si="42"/>
        <v>124.49508201268425</v>
      </c>
      <c r="G145" s="4">
        <f t="shared" si="43"/>
        <v>10778.536382716049</v>
      </c>
      <c r="H145" s="4">
        <f t="shared" si="44"/>
        <v>116176846.55353357</v>
      </c>
      <c r="I145" s="4">
        <f t="shared" si="45"/>
        <v>120264.06794906447</v>
      </c>
      <c r="J145" s="4">
        <f t="shared" si="46"/>
        <v>39436.53693969638</v>
      </c>
      <c r="K145" s="4">
        <f t="shared" si="47"/>
        <v>-12731.17403969638</v>
      </c>
      <c r="L145" s="4">
        <f t="shared" si="48"/>
        <v>162082792.42903903</v>
      </c>
      <c r="M145" s="4">
        <f t="shared" si="49"/>
        <v>1013017.4526814939</v>
      </c>
    </row>
    <row r="146" spans="1:13" x14ac:dyDescent="0.4">
      <c r="A146" s="2">
        <v>145</v>
      </c>
      <c r="B146" s="3">
        <v>76.278000000000006</v>
      </c>
      <c r="C146" s="3">
        <v>4357.9722000000002</v>
      </c>
      <c r="D146" s="4">
        <f t="shared" si="40"/>
        <v>5818.3332840000012</v>
      </c>
      <c r="E146" s="4">
        <f t="shared" si="41"/>
        <v>4.2577364197530869</v>
      </c>
      <c r="F146" s="4">
        <f t="shared" si="42"/>
        <v>18.128319420091835</v>
      </c>
      <c r="G146" s="4">
        <f t="shared" si="43"/>
        <v>-11568.854317283951</v>
      </c>
      <c r="H146" s="4">
        <f t="shared" si="44"/>
        <v>133838390.21453951</v>
      </c>
      <c r="I146" s="4">
        <f t="shared" si="45"/>
        <v>-49257.132361517615</v>
      </c>
      <c r="J146" s="4">
        <f t="shared" si="46"/>
        <v>24898.014446239278</v>
      </c>
      <c r="K146" s="4">
        <f t="shared" si="47"/>
        <v>-20540.042246239278</v>
      </c>
      <c r="L146" s="4">
        <f t="shared" si="48"/>
        <v>421893335.47729427</v>
      </c>
      <c r="M146" s="4">
        <f t="shared" si="49"/>
        <v>2636833.3467330891</v>
      </c>
    </row>
    <row r="147" spans="1:13" x14ac:dyDescent="0.4">
      <c r="A147" s="2">
        <v>146</v>
      </c>
      <c r="B147" s="3">
        <v>69.271000000000001</v>
      </c>
      <c r="C147" s="3">
        <v>19031.821199999998</v>
      </c>
      <c r="D147" s="4">
        <f t="shared" si="40"/>
        <v>4798.4714409999997</v>
      </c>
      <c r="E147" s="4">
        <f t="shared" si="41"/>
        <v>-2.7492635802469181</v>
      </c>
      <c r="F147" s="4">
        <f t="shared" si="42"/>
        <v>7.5584502336721018</v>
      </c>
      <c r="G147" s="4">
        <f t="shared" si="43"/>
        <v>3104.9946827160475</v>
      </c>
      <c r="H147" s="4">
        <f t="shared" si="44"/>
        <v>9640991.979694929</v>
      </c>
      <c r="I147" s="4">
        <f t="shared" si="45"/>
        <v>-8536.4487980515642</v>
      </c>
      <c r="J147" s="4">
        <f t="shared" si="46"/>
        <v>10134.039502521278</v>
      </c>
      <c r="K147" s="4">
        <f t="shared" si="47"/>
        <v>8897.7816974787202</v>
      </c>
      <c r="L147" s="4">
        <f t="shared" si="48"/>
        <v>79170519.135987297</v>
      </c>
      <c r="M147" s="4">
        <f t="shared" si="49"/>
        <v>494815.74459992058</v>
      </c>
    </row>
    <row r="148" spans="1:13" x14ac:dyDescent="0.4">
      <c r="A148" s="2">
        <v>147</v>
      </c>
      <c r="B148" s="3">
        <v>69.132000000000005</v>
      </c>
      <c r="C148" s="3">
        <v>8211.3359</v>
      </c>
      <c r="D148" s="4">
        <f t="shared" si="40"/>
        <v>4779.2334240000009</v>
      </c>
      <c r="E148" s="4">
        <f t="shared" si="41"/>
        <v>-2.8882635802469139</v>
      </c>
      <c r="F148" s="4">
        <f t="shared" si="42"/>
        <v>8.3420665089807216</v>
      </c>
      <c r="G148" s="4">
        <f t="shared" si="43"/>
        <v>-7715.490617283951</v>
      </c>
      <c r="H148" s="4">
        <f t="shared" si="44"/>
        <v>59528795.46539668</v>
      </c>
      <c r="I148" s="4">
        <f t="shared" si="45"/>
        <v>22284.370553638015</v>
      </c>
      <c r="J148" s="4">
        <f t="shared" si="46"/>
        <v>9841.1620204067149</v>
      </c>
      <c r="K148" s="4">
        <f t="shared" si="47"/>
        <v>-1629.8261204067148</v>
      </c>
      <c r="L148" s="4">
        <f t="shared" si="48"/>
        <v>2656333.1827600035</v>
      </c>
      <c r="M148" s="4">
        <f t="shared" si="49"/>
        <v>16602.08239225002</v>
      </c>
    </row>
    <row r="149" spans="1:13" x14ac:dyDescent="0.4">
      <c r="A149" s="2">
        <v>148</v>
      </c>
      <c r="B149" s="3">
        <v>83.056100000000001</v>
      </c>
      <c r="C149" s="3">
        <v>53997.133699999998</v>
      </c>
      <c r="D149" s="4">
        <f t="shared" si="40"/>
        <v>6898.3157472100002</v>
      </c>
      <c r="E149" s="4">
        <f t="shared" si="41"/>
        <v>11.035836419753082</v>
      </c>
      <c r="F149" s="4">
        <f t="shared" si="42"/>
        <v>121.78968548354852</v>
      </c>
      <c r="G149" s="4">
        <f t="shared" si="43"/>
        <v>38070.307182716046</v>
      </c>
      <c r="H149" s="4">
        <f t="shared" si="44"/>
        <v>1449348288.986361</v>
      </c>
      <c r="I149" s="4">
        <f t="shared" si="45"/>
        <v>420137.68251820508</v>
      </c>
      <c r="J149" s="4">
        <f t="shared" si="46"/>
        <v>39179.689708978636</v>
      </c>
      <c r="K149" s="4">
        <f t="shared" si="47"/>
        <v>14817.443991021362</v>
      </c>
      <c r="L149" s="4">
        <f t="shared" si="48"/>
        <v>219556646.42705509</v>
      </c>
      <c r="M149" s="4">
        <f t="shared" si="49"/>
        <v>1372229.0401690942</v>
      </c>
    </row>
    <row r="150" spans="1:13" x14ac:dyDescent="0.4">
      <c r="A150" s="2">
        <v>149</v>
      </c>
      <c r="B150" s="3">
        <v>83.751199999999997</v>
      </c>
      <c r="C150" s="3">
        <v>90924.925700000007</v>
      </c>
      <c r="D150" s="4">
        <f t="shared" si="40"/>
        <v>7014.2635014399993</v>
      </c>
      <c r="E150" s="4">
        <f t="shared" si="41"/>
        <v>11.730936419753078</v>
      </c>
      <c r="F150" s="4">
        <f t="shared" si="42"/>
        <v>137.61486928428917</v>
      </c>
      <c r="G150" s="4">
        <f t="shared" si="43"/>
        <v>74998.099182716061</v>
      </c>
      <c r="H150" s="4">
        <f t="shared" si="44"/>
        <v>5624714881.0205154</v>
      </c>
      <c r="I150" s="4">
        <f t="shared" si="45"/>
        <v>879797.93311477744</v>
      </c>
      <c r="J150" s="4">
        <f t="shared" si="46"/>
        <v>40644.287822776038</v>
      </c>
      <c r="K150" s="4">
        <f t="shared" si="47"/>
        <v>50280.63787722397</v>
      </c>
      <c r="L150" s="4">
        <f t="shared" si="48"/>
        <v>2528142545.3405299</v>
      </c>
      <c r="M150" s="4">
        <f t="shared" si="49"/>
        <v>15800890.908378312</v>
      </c>
    </row>
    <row r="151" spans="1:13" x14ac:dyDescent="0.4">
      <c r="A151" s="2">
        <v>150</v>
      </c>
      <c r="B151" s="3">
        <v>69.593999999999994</v>
      </c>
      <c r="C151" s="3">
        <v>1254.07</v>
      </c>
      <c r="D151" s="4">
        <f t="shared" si="40"/>
        <v>4843.3248359999989</v>
      </c>
      <c r="E151" s="4">
        <f t="shared" si="41"/>
        <v>-2.4262635802469248</v>
      </c>
      <c r="F151" s="4">
        <f t="shared" si="42"/>
        <v>5.8867549608326257</v>
      </c>
      <c r="G151" s="4">
        <f t="shared" si="43"/>
        <v>-14672.756517283951</v>
      </c>
      <c r="H151" s="4">
        <f t="shared" si="44"/>
        <v>215289783.81549868</v>
      </c>
      <c r="I151" s="4">
        <f t="shared" si="45"/>
        <v>35599.974759716759</v>
      </c>
      <c r="J151" s="4">
        <f t="shared" si="46"/>
        <v>10814.610917794693</v>
      </c>
      <c r="K151" s="4">
        <f t="shared" si="47"/>
        <v>-9560.5409177946931</v>
      </c>
      <c r="L151" s="4">
        <f t="shared" si="48"/>
        <v>91403942.640826598</v>
      </c>
      <c r="M151" s="4">
        <f t="shared" si="49"/>
        <v>571274.64150516619</v>
      </c>
    </row>
    <row r="152" spans="1:13" x14ac:dyDescent="0.4">
      <c r="A152" s="2">
        <v>151</v>
      </c>
      <c r="B152" s="3">
        <v>66.131</v>
      </c>
      <c r="C152" s="3">
        <v>1054.3172999999999</v>
      </c>
      <c r="D152" s="4">
        <f t="shared" si="40"/>
        <v>4373.3091610000001</v>
      </c>
      <c r="E152" s="4">
        <f t="shared" si="41"/>
        <v>-5.8892635802469187</v>
      </c>
      <c r="F152" s="4">
        <f t="shared" si="42"/>
        <v>34.683425517622751</v>
      </c>
      <c r="G152" s="4">
        <f t="shared" si="43"/>
        <v>-14872.50921728395</v>
      </c>
      <c r="H152" s="4">
        <f t="shared" si="44"/>
        <v>221191530.41819605</v>
      </c>
      <c r="I152" s="4">
        <f t="shared" si="45"/>
        <v>87588.126880236974</v>
      </c>
      <c r="J152" s="4">
        <f t="shared" si="46"/>
        <v>3517.9582518755924</v>
      </c>
      <c r="K152" s="4">
        <f t="shared" si="47"/>
        <v>-2463.6409518755927</v>
      </c>
      <c r="L152" s="4">
        <f t="shared" si="48"/>
        <v>6069526.7397584766</v>
      </c>
      <c r="M152" s="4">
        <f t="shared" si="49"/>
        <v>37934.542123490479</v>
      </c>
    </row>
    <row r="153" spans="1:13" x14ac:dyDescent="0.4">
      <c r="A153" s="2">
        <v>152</v>
      </c>
      <c r="B153" s="3">
        <v>77.605999999999995</v>
      </c>
      <c r="C153" s="3">
        <v>6119.1102000000001</v>
      </c>
      <c r="D153" s="4">
        <f t="shared" si="40"/>
        <v>6022.6912359999988</v>
      </c>
      <c r="E153" s="4">
        <f t="shared" si="41"/>
        <v>5.5857364197530757</v>
      </c>
      <c r="F153" s="4">
        <f t="shared" si="42"/>
        <v>31.200451350955909</v>
      </c>
      <c r="G153" s="4">
        <f t="shared" si="43"/>
        <v>-9807.71631728395</v>
      </c>
      <c r="H153" s="4">
        <f t="shared" si="44"/>
        <v>96191299.360317841</v>
      </c>
      <c r="I153" s="4">
        <f t="shared" si="45"/>
        <v>-54783.31822805947</v>
      </c>
      <c r="J153" s="4">
        <f t="shared" si="46"/>
        <v>27696.153268168389</v>
      </c>
      <c r="K153" s="4">
        <f t="shared" si="47"/>
        <v>-21577.04306816839</v>
      </c>
      <c r="L153" s="4">
        <f t="shared" si="48"/>
        <v>465568787.5655936</v>
      </c>
      <c r="M153" s="4">
        <f t="shared" si="49"/>
        <v>2909804.9222849598</v>
      </c>
    </row>
    <row r="154" spans="1:13" x14ac:dyDescent="0.4">
      <c r="A154" s="2">
        <v>153</v>
      </c>
      <c r="B154" s="3">
        <v>61.337000000000003</v>
      </c>
      <c r="C154" s="3">
        <v>928.30110000000002</v>
      </c>
      <c r="D154" s="4">
        <f t="shared" si="40"/>
        <v>3762.2275690000006</v>
      </c>
      <c r="E154" s="4">
        <f t="shared" si="41"/>
        <v>-10.683263580246916</v>
      </c>
      <c r="F154" s="4">
        <f t="shared" si="42"/>
        <v>114.13212072503015</v>
      </c>
      <c r="G154" s="4">
        <f t="shared" si="43"/>
        <v>-14998.52541728395</v>
      </c>
      <c r="H154" s="4">
        <f t="shared" si="44"/>
        <v>224955764.6929127</v>
      </c>
      <c r="I154" s="4">
        <f t="shared" si="45"/>
        <v>160233.20034787731</v>
      </c>
      <c r="J154" s="4">
        <f t="shared" si="46"/>
        <v>-6583.1543327089603</v>
      </c>
      <c r="K154" s="4">
        <f t="shared" si="47"/>
        <v>7511.45543270896</v>
      </c>
      <c r="L154" s="4">
        <f t="shared" si="48"/>
        <v>56421962.71757295</v>
      </c>
      <c r="M154" s="4">
        <f t="shared" si="49"/>
        <v>352637.26698483096</v>
      </c>
    </row>
    <row r="155" spans="1:13" x14ac:dyDescent="0.4">
      <c r="A155" s="2">
        <v>154</v>
      </c>
      <c r="B155" s="3">
        <v>72.13</v>
      </c>
      <c r="C155" s="3">
        <v>4612.9008999999996</v>
      </c>
      <c r="D155" s="4">
        <f t="shared" si="40"/>
        <v>5202.736899999999</v>
      </c>
      <c r="E155" s="4">
        <f t="shared" si="41"/>
        <v>0.10973641975307658</v>
      </c>
      <c r="F155" s="4">
        <f t="shared" si="42"/>
        <v>1.2042081820223415E-2</v>
      </c>
      <c r="G155" s="4">
        <f t="shared" si="43"/>
        <v>-11313.925617283952</v>
      </c>
      <c r="H155" s="4">
        <f t="shared" si="44"/>
        <v>128004912.87343407</v>
      </c>
      <c r="I155" s="4">
        <f t="shared" si="45"/>
        <v>-1241.5496905933578</v>
      </c>
      <c r="J155" s="4">
        <f t="shared" si="46"/>
        <v>16158.04469220154</v>
      </c>
      <c r="K155" s="4">
        <f t="shared" si="47"/>
        <v>-11545.143792201539</v>
      </c>
      <c r="L155" s="4">
        <f t="shared" si="48"/>
        <v>133290345.18260974</v>
      </c>
      <c r="M155" s="4">
        <f t="shared" si="49"/>
        <v>833064.6573913109</v>
      </c>
    </row>
    <row r="156" spans="1:13" x14ac:dyDescent="0.4">
      <c r="A156" s="2">
        <v>155</v>
      </c>
      <c r="B156" s="3">
        <v>75.721999999999994</v>
      </c>
      <c r="C156" s="3">
        <v>13670.938</v>
      </c>
      <c r="D156" s="4">
        <f t="shared" si="40"/>
        <v>5733.8212839999987</v>
      </c>
      <c r="E156" s="4">
        <f t="shared" si="41"/>
        <v>3.7017364197530753</v>
      </c>
      <c r="F156" s="4">
        <f t="shared" si="42"/>
        <v>13.702852521326315</v>
      </c>
      <c r="G156" s="4">
        <f t="shared" si="43"/>
        <v>-2255.8885172839509</v>
      </c>
      <c r="H156" s="4">
        <f t="shared" si="44"/>
        <v>5089033.002413583</v>
      </c>
      <c r="I156" s="4">
        <f t="shared" si="45"/>
        <v>-8350.7046833327659</v>
      </c>
      <c r="J156" s="4">
        <f t="shared" si="46"/>
        <v>23726.504517780966</v>
      </c>
      <c r="K156" s="4">
        <f t="shared" si="47"/>
        <v>-10055.566517780966</v>
      </c>
      <c r="L156" s="4">
        <f t="shared" si="48"/>
        <v>101114417.99351762</v>
      </c>
      <c r="M156" s="4">
        <f t="shared" si="49"/>
        <v>631965.11245948519</v>
      </c>
    </row>
    <row r="157" spans="1:13" x14ac:dyDescent="0.4">
      <c r="A157" s="2">
        <v>156</v>
      </c>
      <c r="B157" s="3">
        <v>71.631</v>
      </c>
      <c r="C157" s="3">
        <v>2426.6122999999998</v>
      </c>
      <c r="D157" s="4">
        <f t="shared" si="40"/>
        <v>5131.0001609999999</v>
      </c>
      <c r="E157" s="4">
        <f t="shared" si="41"/>
        <v>-0.38926358024691865</v>
      </c>
      <c r="F157" s="4">
        <f t="shared" si="42"/>
        <v>0.15152613490664926</v>
      </c>
      <c r="G157" s="4">
        <f t="shared" si="43"/>
        <v>-13500.214217283952</v>
      </c>
      <c r="H157" s="4">
        <f t="shared" si="44"/>
        <v>182255783.91255575</v>
      </c>
      <c r="I157" s="4">
        <f t="shared" si="45"/>
        <v>5255.1417203203036</v>
      </c>
      <c r="J157" s="4">
        <f t="shared" si="46"/>
        <v>15106.635601732705</v>
      </c>
      <c r="K157" s="4">
        <f t="shared" si="47"/>
        <v>-12680.023301732705</v>
      </c>
      <c r="L157" s="4">
        <f t="shared" si="48"/>
        <v>160782990.93248436</v>
      </c>
      <c r="M157" s="4">
        <f t="shared" si="49"/>
        <v>1004893.6933280273</v>
      </c>
    </row>
    <row r="158" spans="1:13" x14ac:dyDescent="0.4">
      <c r="A158" s="2">
        <v>157</v>
      </c>
      <c r="B158" s="3">
        <v>79.082999999999998</v>
      </c>
      <c r="C158" s="3">
        <v>40935.891499999998</v>
      </c>
      <c r="D158" s="4">
        <f t="shared" si="40"/>
        <v>6254.1208889999998</v>
      </c>
      <c r="E158" s="4">
        <f t="shared" si="41"/>
        <v>7.0627364197530795</v>
      </c>
      <c r="F158" s="4">
        <f t="shared" si="42"/>
        <v>49.882245734906547</v>
      </c>
      <c r="G158" s="4">
        <f t="shared" si="43"/>
        <v>25009.064982716045</v>
      </c>
      <c r="H158" s="4">
        <f t="shared" si="44"/>
        <v>625453331.30971384</v>
      </c>
      <c r="I158" s="4">
        <f t="shared" si="45"/>
        <v>176632.43407740004</v>
      </c>
      <c r="J158" s="4">
        <f t="shared" si="46"/>
        <v>30808.239894666389</v>
      </c>
      <c r="K158" s="4">
        <f t="shared" si="47"/>
        <v>10127.651605333609</v>
      </c>
      <c r="L158" s="4">
        <f t="shared" si="48"/>
        <v>102569327.03901643</v>
      </c>
      <c r="M158" s="4">
        <f t="shared" si="49"/>
        <v>641058.29399385268</v>
      </c>
    </row>
    <row r="159" spans="1:13" x14ac:dyDescent="0.4">
      <c r="A159" s="2">
        <v>158</v>
      </c>
      <c r="B159" s="3">
        <v>80.647300000000001</v>
      </c>
      <c r="C159" s="3">
        <v>46491.5069</v>
      </c>
      <c r="D159" s="4">
        <f t="shared" si="40"/>
        <v>6503.9869972900005</v>
      </c>
      <c r="E159" s="4">
        <f t="shared" si="41"/>
        <v>8.6270364197530824</v>
      </c>
      <c r="F159" s="4">
        <f t="shared" si="42"/>
        <v>74.425757387746089</v>
      </c>
      <c r="G159" s="4">
        <f t="shared" si="43"/>
        <v>30564.680382716047</v>
      </c>
      <c r="H159" s="4">
        <f t="shared" si="44"/>
        <v>934199686.89758718</v>
      </c>
      <c r="I159" s="4">
        <f t="shared" si="45"/>
        <v>263682.6108198039</v>
      </c>
      <c r="J159" s="4">
        <f t="shared" si="46"/>
        <v>34104.270436190302</v>
      </c>
      <c r="K159" s="4">
        <f t="shared" si="47"/>
        <v>12387.236463809699</v>
      </c>
      <c r="L159" s="4">
        <f t="shared" si="48"/>
        <v>153443627.2103366</v>
      </c>
      <c r="M159" s="4">
        <f t="shared" si="49"/>
        <v>959022.67006460368</v>
      </c>
    </row>
    <row r="160" spans="1:13" x14ac:dyDescent="0.4">
      <c r="A160" s="2">
        <v>159</v>
      </c>
      <c r="B160" s="3">
        <v>76.329300000000003</v>
      </c>
      <c r="C160" s="3">
        <v>63096.785600000003</v>
      </c>
      <c r="D160" s="4">
        <f t="shared" si="40"/>
        <v>5826.1620384900007</v>
      </c>
      <c r="E160" s="4">
        <f t="shared" si="41"/>
        <v>4.3090364197530846</v>
      </c>
      <c r="F160" s="4">
        <f t="shared" si="42"/>
        <v>18.567794866758483</v>
      </c>
      <c r="G160" s="4">
        <f t="shared" si="43"/>
        <v>47169.95908271605</v>
      </c>
      <c r="H160" s="4">
        <f t="shared" si="44"/>
        <v>2225005039.8651066</v>
      </c>
      <c r="I160" s="4">
        <f t="shared" si="45"/>
        <v>203257.07160568627</v>
      </c>
      <c r="J160" s="4">
        <f t="shared" si="46"/>
        <v>25006.105200429767</v>
      </c>
      <c r="K160" s="4">
        <f t="shared" si="47"/>
        <v>38090.680399570236</v>
      </c>
      <c r="L160" s="4">
        <f t="shared" si="48"/>
        <v>1450899933.3022041</v>
      </c>
      <c r="M160" s="4">
        <f t="shared" si="49"/>
        <v>9068124.5831387751</v>
      </c>
    </row>
    <row r="161" spans="1:13" x14ac:dyDescent="0.4">
      <c r="A161" s="2">
        <v>160</v>
      </c>
      <c r="B161" s="3">
        <v>75.433999999999997</v>
      </c>
      <c r="C161" s="3">
        <v>17416.0052</v>
      </c>
      <c r="D161" s="4">
        <f t="shared" si="40"/>
        <v>5690.288356</v>
      </c>
      <c r="E161" s="4">
        <f t="shared" si="41"/>
        <v>3.4137364197530786</v>
      </c>
      <c r="F161" s="4">
        <f t="shared" si="42"/>
        <v>11.653596343548568</v>
      </c>
      <c r="G161" s="4">
        <f t="shared" si="43"/>
        <v>1489.1786827160486</v>
      </c>
      <c r="H161" s="4">
        <f t="shared" si="44"/>
        <v>2217653.1490559056</v>
      </c>
      <c r="I161" s="4">
        <f t="shared" si="45"/>
        <v>5083.6635047076898</v>
      </c>
      <c r="J161" s="4">
        <f t="shared" si="46"/>
        <v>23119.679231097543</v>
      </c>
      <c r="K161" s="4">
        <f t="shared" si="47"/>
        <v>-5703.6740310975438</v>
      </c>
      <c r="L161" s="4">
        <f t="shared" si="48"/>
        <v>32531897.453016505</v>
      </c>
      <c r="M161" s="4">
        <f t="shared" si="49"/>
        <v>203324.35908135315</v>
      </c>
    </row>
    <row r="162" spans="1:13" x14ac:dyDescent="0.4">
      <c r="A162" s="2">
        <v>161</v>
      </c>
      <c r="B162" s="3">
        <v>71.680999999999997</v>
      </c>
      <c r="C162" s="3">
        <v>3951.9965999999999</v>
      </c>
      <c r="D162" s="4">
        <f t="shared" si="40"/>
        <v>5138.1657609999993</v>
      </c>
      <c r="E162" s="4">
        <f t="shared" si="41"/>
        <v>-0.33926358024692149</v>
      </c>
      <c r="F162" s="4">
        <f t="shared" ref="F162:F193" si="50">E162^2</f>
        <v>0.11509977688195934</v>
      </c>
      <c r="G162" s="4">
        <f t="shared" si="43"/>
        <v>-11974.829917283951</v>
      </c>
      <c r="H162" s="4">
        <f t="shared" ref="H162:H193" si="51">G162^2</f>
        <v>143396551.54787874</v>
      </c>
      <c r="I162" s="4">
        <f t="shared" si="45"/>
        <v>4062.6236705857</v>
      </c>
      <c r="J162" s="4">
        <f t="shared" si="46"/>
        <v>15211.987214004126</v>
      </c>
      <c r="K162" s="4">
        <f t="shared" ref="K162:K193" si="52">C162-J162</f>
        <v>-11259.990614004126</v>
      </c>
      <c r="L162" s="4">
        <f t="shared" ref="L162:L193" si="53">K162^2</f>
        <v>126787388.627461</v>
      </c>
      <c r="M162" s="4">
        <f t="shared" ref="M162:M193" si="54">L162/($A$165-2)</f>
        <v>792421.1789216313</v>
      </c>
    </row>
    <row r="163" spans="1:13" x14ac:dyDescent="0.4">
      <c r="A163" s="2">
        <v>162</v>
      </c>
      <c r="B163" s="3">
        <v>74.144999999999996</v>
      </c>
      <c r="C163" s="3">
        <v>3358.2172999999998</v>
      </c>
      <c r="D163" s="4">
        <f t="shared" si="40"/>
        <v>5497.4810249999991</v>
      </c>
      <c r="E163" s="4">
        <f t="shared" si="41"/>
        <v>2.1247364197530771</v>
      </c>
      <c r="F163" s="4">
        <f t="shared" si="50"/>
        <v>4.5145048534251249</v>
      </c>
      <c r="G163" s="4">
        <f t="shared" si="43"/>
        <v>-12568.609217283951</v>
      </c>
      <c r="H163" s="4">
        <f t="shared" si="51"/>
        <v>157969937.65679508</v>
      </c>
      <c r="I163" s="4">
        <f t="shared" si="45"/>
        <v>-26704.981749607428</v>
      </c>
      <c r="J163" s="4">
        <f t="shared" si="46"/>
        <v>20403.714666740125</v>
      </c>
      <c r="K163" s="4">
        <f t="shared" si="52"/>
        <v>-17045.497366740125</v>
      </c>
      <c r="L163" s="4">
        <f t="shared" si="53"/>
        <v>290548980.47954452</v>
      </c>
      <c r="M163" s="4">
        <f t="shared" si="54"/>
        <v>1815931.1279971532</v>
      </c>
    </row>
    <row r="164" spans="1:13" x14ac:dyDescent="0.4">
      <c r="A164" s="5" t="s">
        <v>13</v>
      </c>
      <c r="B164" s="5" t="s">
        <v>14</v>
      </c>
      <c r="C164" s="5" t="s">
        <v>14</v>
      </c>
      <c r="D164" s="5" t="s">
        <v>14</v>
      </c>
      <c r="E164" s="5" t="s">
        <v>14</v>
      </c>
      <c r="F164" s="5" t="s">
        <v>14</v>
      </c>
      <c r="G164" s="5" t="s">
        <v>14</v>
      </c>
      <c r="H164" s="5" t="s">
        <v>14</v>
      </c>
      <c r="I164" s="5" t="s">
        <v>14</v>
      </c>
      <c r="J164" s="5" t="s">
        <v>14</v>
      </c>
      <c r="K164" s="5" t="s">
        <v>14</v>
      </c>
      <c r="L164" s="5" t="s">
        <v>14</v>
      </c>
      <c r="M164" s="5" t="s">
        <v>14</v>
      </c>
    </row>
    <row r="165" spans="1:13" x14ac:dyDescent="0.4">
      <c r="A165" s="2">
        <f>COUNT(A2:A163)</f>
        <v>162</v>
      </c>
      <c r="B165" s="2">
        <f>SUM(B2:B163)</f>
        <v>11667.2827</v>
      </c>
      <c r="C165" s="2">
        <f>SUM(C2:C163)</f>
        <v>2580145.8958000001</v>
      </c>
      <c r="D165" s="2">
        <f>SUM(D2:D163)</f>
        <v>848391.66308518976</v>
      </c>
      <c r="E165" s="2">
        <f>ROUND(SUM(E2:E163),10)</f>
        <v>0</v>
      </c>
      <c r="F165" s="2">
        <f>SUM(F2:F163)</f>
        <v>8110.8877659351228</v>
      </c>
      <c r="G165" s="2">
        <f>SUM(G2:G163)</f>
        <v>-9.276845958083868E-11</v>
      </c>
      <c r="H165" s="2">
        <f>SUM(H2:H163)</f>
        <v>68388770793.578743</v>
      </c>
      <c r="I165" s="2">
        <f>SUM(I2:I163)</f>
        <v>17089902.061877381</v>
      </c>
      <c r="J165" s="2">
        <f>SUM(J2:J163)</f>
        <v>2580145.8957999949</v>
      </c>
      <c r="K165" s="2">
        <f>ROUND(SUM(K2:K163),10)</f>
        <v>4.8E-9</v>
      </c>
      <c r="L165" s="2">
        <f>SUM(L2:L163)</f>
        <v>32379796077.986897</v>
      </c>
      <c r="M165" s="2">
        <f>SUM(M2:M163)</f>
        <v>202373725.48741806</v>
      </c>
    </row>
    <row r="166" spans="1:13" x14ac:dyDescent="0.4">
      <c r="A166" s="4"/>
      <c r="B166" s="5" t="s">
        <v>15</v>
      </c>
      <c r="C166" s="5" t="s">
        <v>15</v>
      </c>
      <c r="D166" s="5" t="s">
        <v>15</v>
      </c>
      <c r="E166" s="5" t="s">
        <v>15</v>
      </c>
      <c r="F166" s="5" t="s">
        <v>15</v>
      </c>
      <c r="G166" s="5" t="s">
        <v>15</v>
      </c>
      <c r="H166" s="5" t="s">
        <v>15</v>
      </c>
      <c r="I166" s="5" t="s">
        <v>15</v>
      </c>
      <c r="J166" s="5" t="s">
        <v>15</v>
      </c>
      <c r="K166" s="5" t="s">
        <v>15</v>
      </c>
      <c r="L166" s="5" t="s">
        <v>15</v>
      </c>
      <c r="M166" s="5" t="s">
        <v>15</v>
      </c>
    </row>
    <row r="167" spans="1:13" x14ac:dyDescent="0.4">
      <c r="A167" s="4"/>
      <c r="B167" s="2">
        <f>AVERAGE(B2:B163)</f>
        <v>72.020263580246919</v>
      </c>
      <c r="C167" s="2">
        <f>AVERAGE(C2:C163)</f>
        <v>15926.826517283951</v>
      </c>
      <c r="D167" s="2">
        <f>AVERAGE(D2:D163)</f>
        <v>5236.9855745999366</v>
      </c>
      <c r="E167" s="2">
        <f>ROUND(AVERAGE(E2:E163),10)</f>
        <v>0</v>
      </c>
      <c r="F167" s="2">
        <f>AVERAGE(F2:F163)</f>
        <v>50.06720843169829</v>
      </c>
      <c r="G167" s="2">
        <f>AVERAGE(G2:G163)</f>
        <v>-5.7264481222739928E-13</v>
      </c>
      <c r="H167" s="2">
        <f>AVERAGE(H2:H163)</f>
        <v>422152906.13320214</v>
      </c>
      <c r="I167" s="2">
        <f>AVERAGE(I2:I163)</f>
        <v>105493.22260418137</v>
      </c>
      <c r="J167" s="2">
        <f>AVERAGE(J2:J163)</f>
        <v>15926.82651728392</v>
      </c>
      <c r="K167" s="2">
        <f>ROUND(AVERAGE(K2:K163),10)</f>
        <v>0</v>
      </c>
      <c r="L167" s="2">
        <f>AVERAGE(L2:L163)</f>
        <v>199875284.43201789</v>
      </c>
      <c r="M167" s="2">
        <f>AVERAGE(M2:M163)</f>
        <v>1249220.5277001115</v>
      </c>
    </row>
    <row r="170" spans="1:13" x14ac:dyDescent="0.4">
      <c r="A170" s="6" t="s">
        <v>16</v>
      </c>
      <c r="B170" s="6" t="s">
        <v>17</v>
      </c>
      <c r="C170" s="6" t="s">
        <v>18</v>
      </c>
      <c r="D170" s="6" t="s">
        <v>19</v>
      </c>
      <c r="E170" s="6" t="s">
        <v>20</v>
      </c>
      <c r="F170" s="6" t="s">
        <v>21</v>
      </c>
    </row>
    <row r="171" spans="1:13" x14ac:dyDescent="0.4">
      <c r="A171" s="7">
        <f>I165/F165</f>
        <v>2107.0322454285679</v>
      </c>
      <c r="B171" s="7">
        <f>C167-A171*B167</f>
        <v>-135822.19117056104</v>
      </c>
      <c r="C171" s="7">
        <f>M165/(A165*(D167-B167^2))</f>
        <v>24950.872373968356</v>
      </c>
      <c r="D171" s="7">
        <f>C171*D167</f>
        <v>130667358.69615635</v>
      </c>
      <c r="E171" s="7">
        <f>A171/SQRT(C171)</f>
        <v>13.33915486338792</v>
      </c>
      <c r="F171" s="7">
        <f>B171/SQRT(D171)</f>
        <v>-11.881935111343994</v>
      </c>
    </row>
    <row r="175" spans="1:13" ht="43.75" x14ac:dyDescent="0.4">
      <c r="A175" s="6" t="s">
        <v>22</v>
      </c>
      <c r="B175" s="6" t="s">
        <v>23</v>
      </c>
      <c r="C175" s="6" t="s">
        <v>24</v>
      </c>
      <c r="D175" s="6" t="s">
        <v>25</v>
      </c>
    </row>
    <row r="176" spans="1:13" x14ac:dyDescent="0.4">
      <c r="A176" s="8">
        <v>0.9</v>
      </c>
      <c r="B176" s="7">
        <f>TINV(1-A176,$A$165-2)</f>
        <v>1.6544329014573194</v>
      </c>
      <c r="C176" s="7" t="str">
        <f t="shared" ref="C176:D178" si="55">IF(E$171&gt;$B176,"значимый","не значимый")</f>
        <v>значимый</v>
      </c>
      <c r="D176" s="7" t="str">
        <f t="shared" si="55"/>
        <v>не значимый</v>
      </c>
    </row>
    <row r="177" spans="1:5" x14ac:dyDescent="0.4">
      <c r="A177" s="8">
        <v>0.95</v>
      </c>
      <c r="B177" s="7">
        <f>TINV(1-A177,$A$165-2)</f>
        <v>1.974901560000798</v>
      </c>
      <c r="C177" s="7" t="str">
        <f t="shared" si="55"/>
        <v>значимый</v>
      </c>
      <c r="D177" s="7" t="str">
        <f t="shared" si="55"/>
        <v>не значимый</v>
      </c>
    </row>
    <row r="178" spans="1:5" x14ac:dyDescent="0.4">
      <c r="A178" s="8">
        <v>0.99</v>
      </c>
      <c r="B178" s="7">
        <f>TINV(1-A178,$A$165-2)</f>
        <v>2.6069058173248831</v>
      </c>
      <c r="C178" s="7" t="str">
        <f t="shared" si="55"/>
        <v>значимый</v>
      </c>
      <c r="D178" s="7" t="str">
        <f t="shared" si="55"/>
        <v>не значимый</v>
      </c>
    </row>
    <row r="181" spans="1:5" x14ac:dyDescent="0.4">
      <c r="A181" s="6" t="s">
        <v>22</v>
      </c>
      <c r="B181" s="6" t="s">
        <v>26</v>
      </c>
      <c r="C181" s="6" t="s">
        <v>16</v>
      </c>
      <c r="D181" s="6" t="s">
        <v>17</v>
      </c>
    </row>
    <row r="182" spans="1:5" x14ac:dyDescent="0.4">
      <c r="A182" s="9">
        <v>0.9</v>
      </c>
      <c r="B182" s="7" t="s">
        <v>27</v>
      </c>
      <c r="C182" s="7">
        <f>A$171-$B176*SQRT(C$171)</f>
        <v>1845.7005863414984</v>
      </c>
      <c r="D182" s="7">
        <f>B$171-$B176*SQRT(D$171)</f>
        <v>-154733.9845539525</v>
      </c>
    </row>
    <row r="183" spans="1:5" x14ac:dyDescent="0.4">
      <c r="A183" s="10"/>
      <c r="B183" s="7" t="s">
        <v>28</v>
      </c>
      <c r="C183" s="7">
        <f>A$171+$B176*SQRT(C$171)</f>
        <v>2368.3639045156374</v>
      </c>
      <c r="D183" s="7">
        <f>B$171+$B176*SQRT(D$171)</f>
        <v>-116910.39778716958</v>
      </c>
    </row>
    <row r="184" spans="1:5" x14ac:dyDescent="0.4">
      <c r="A184" s="9">
        <v>0.95</v>
      </c>
      <c r="B184" s="7" t="s">
        <v>27</v>
      </c>
      <c r="C184" s="7">
        <f>A$171-$B177*SQRT(C$171)</f>
        <v>1795.0798533103768</v>
      </c>
      <c r="D184" s="7">
        <f>B$171-$B177*SQRT(D$171)</f>
        <v>-158397.25615045443</v>
      </c>
    </row>
    <row r="185" spans="1:5" x14ac:dyDescent="0.4">
      <c r="A185" s="10"/>
      <c r="B185" s="7" t="s">
        <v>28</v>
      </c>
      <c r="C185" s="7">
        <f>A$171+$B177*SQRT(C$171)</f>
        <v>2418.9846375467587</v>
      </c>
      <c r="D185" s="7">
        <f>B$171+$B177*SQRT(D$171)</f>
        <v>-113247.12619066764</v>
      </c>
    </row>
    <row r="186" spans="1:5" x14ac:dyDescent="0.4">
      <c r="A186" s="9">
        <v>0.99</v>
      </c>
      <c r="B186" s="7" t="s">
        <v>27</v>
      </c>
      <c r="C186" s="7">
        <f>A$171-$B178*SQRT(C$171)</f>
        <v>1695.2494395346901</v>
      </c>
      <c r="D186" s="7">
        <f>B$171-$B178*SQRT(D$171)</f>
        <v>-165621.68569450459</v>
      </c>
    </row>
    <row r="187" spans="1:5" x14ac:dyDescent="0.4">
      <c r="A187" s="10"/>
      <c r="B187" s="7" t="s">
        <v>28</v>
      </c>
      <c r="C187" s="7">
        <f>A$171+$B178*SQRT(C$171)</f>
        <v>2518.8150513224455</v>
      </c>
      <c r="D187" s="7">
        <f>B$171+$B178*SQRT(D$171)</f>
        <v>-106022.69664661749</v>
      </c>
    </row>
    <row r="189" spans="1:5" ht="43.75" x14ac:dyDescent="0.4">
      <c r="A189" s="6" t="s">
        <v>29</v>
      </c>
      <c r="C189" s="12" t="str">
        <f>"Коэффициент детерминации модели "&amp;ROUND(A190,4)&amp;IF(A190&gt;=0.7," &gt;=0,7 =&gt; модель может считаться адекватной."," &lt;0,7 =&gt; модель не может считаться адекватной.")</f>
        <v>Коэффициент детерминации модели 0,5265 &lt;0,7 =&gt; модель не может считаться адекватной.</v>
      </c>
      <c r="D189" s="10"/>
      <c r="E189" s="10"/>
    </row>
    <row r="190" spans="1:5" x14ac:dyDescent="0.4">
      <c r="A190" s="7">
        <f>1-L165/H165</f>
        <v>0.52653343959463084</v>
      </c>
    </row>
    <row r="192" spans="1:5" ht="43.75" x14ac:dyDescent="0.4">
      <c r="A192" s="6" t="s">
        <v>22</v>
      </c>
      <c r="B192" s="6" t="s">
        <v>30</v>
      </c>
      <c r="C192" s="6" t="s">
        <v>31</v>
      </c>
    </row>
    <row r="193" spans="1:8" x14ac:dyDescent="0.4">
      <c r="A193" s="9">
        <v>0.9</v>
      </c>
      <c r="B193" s="11">
        <f>FINV(1-A193,2,$A$165-2)</f>
        <v>2.3360421755542564</v>
      </c>
      <c r="C193" s="11" t="str">
        <f>IF($B$200&gt;B193,"значимый","не значимый")</f>
        <v>значимый</v>
      </c>
    </row>
    <row r="194" spans="1:8" x14ac:dyDescent="0.4">
      <c r="A194" s="10"/>
      <c r="B194" s="10"/>
      <c r="C194" s="10"/>
    </row>
    <row r="195" spans="1:8" x14ac:dyDescent="0.4">
      <c r="A195" s="9">
        <v>0.95</v>
      </c>
      <c r="B195" s="11">
        <f>FINV(1-A195,2,$A$165-2)</f>
        <v>3.0525290799315377</v>
      </c>
      <c r="C195" s="11" t="str">
        <f>IF($B$200&gt;B195,"значимый","не значимый")</f>
        <v>значимый</v>
      </c>
    </row>
    <row r="196" spans="1:8" x14ac:dyDescent="0.4">
      <c r="A196" s="10"/>
      <c r="B196" s="10"/>
      <c r="C196" s="10"/>
    </row>
    <row r="197" spans="1:8" x14ac:dyDescent="0.4">
      <c r="A197" s="9">
        <v>0.99</v>
      </c>
      <c r="B197" s="11">
        <f>FINV(1-A197,2,$A$165-2)</f>
        <v>4.740298014183109</v>
      </c>
      <c r="C197" s="11" t="str">
        <f>IF($B$200&gt;B197,"значимый","не значимый")</f>
        <v>значимый</v>
      </c>
    </row>
    <row r="198" spans="1:8" x14ac:dyDescent="0.4">
      <c r="A198" s="10"/>
      <c r="B198" s="10"/>
      <c r="C198" s="10"/>
    </row>
    <row r="200" spans="1:8" x14ac:dyDescent="0.4">
      <c r="A200" s="6" t="s">
        <v>32</v>
      </c>
      <c r="B200" s="7">
        <f>A190/(1-A190)*(A165-2)</f>
        <v>177.93305246945499</v>
      </c>
    </row>
    <row r="203" spans="1:8" x14ac:dyDescent="0.4">
      <c r="C203" s="13" t="s">
        <v>22</v>
      </c>
      <c r="D203" s="10"/>
      <c r="E203" s="10"/>
      <c r="F203" s="10"/>
      <c r="G203" s="10"/>
      <c r="H203" s="10"/>
    </row>
    <row r="204" spans="1:8" x14ac:dyDescent="0.4">
      <c r="A204" s="6" t="s">
        <v>33</v>
      </c>
      <c r="B204" s="6" t="s">
        <v>34</v>
      </c>
      <c r="C204" s="13">
        <v>0.9</v>
      </c>
      <c r="D204" s="10"/>
      <c r="E204" s="13">
        <v>0.95</v>
      </c>
      <c r="F204" s="10"/>
      <c r="G204" s="13">
        <v>0.99</v>
      </c>
      <c r="H204" s="10"/>
    </row>
    <row r="205" spans="1:8" x14ac:dyDescent="0.4">
      <c r="A205" s="7">
        <v>65</v>
      </c>
      <c r="B205" s="7">
        <f>$B$171+A205*$A$171</f>
        <v>1134.9047822958673</v>
      </c>
      <c r="C205" s="7">
        <f>B205-$B$176*SQRT($M$165)*SQRT(1/$A$165+(A205-$B$167)^2/($F$165))</f>
        <v>-1469.9218451997799</v>
      </c>
      <c r="D205" s="7">
        <f>B205+$B$176*SQRT($M$165)*SQRT(1/$A$165+(A205-$B$167)^2/($F$165))</f>
        <v>3739.7314097915146</v>
      </c>
      <c r="E205" s="7">
        <f>B205-$B$177*SQRT($M$165)*SQRT(1/$A$165+(A205-$B$167)^2/($F$165))</f>
        <v>-1974.4846439186367</v>
      </c>
      <c r="F205" s="7">
        <f>B205+$B$177*SQRT($M$165)*SQRT(1/$A$165+(A205-$B$167)^2/($F$165))</f>
        <v>4244.2942085103714</v>
      </c>
      <c r="G205" s="7">
        <f>B205-$B$178*SQRT($M$165)*SQRT(1/$A$165+(A205-$B$167)^2/($F$165))</f>
        <v>-2969.5455597879154</v>
      </c>
      <c r="H205" s="7">
        <f>B205+$B$178*SQRT($M$165)*SQRT(1/$A$165+(A205-$B$167)^2/($F$165))</f>
        <v>5239.3551243796501</v>
      </c>
    </row>
    <row r="206" spans="1:8" x14ac:dyDescent="0.4">
      <c r="A206" s="7">
        <v>70</v>
      </c>
      <c r="B206" s="7">
        <f>$B$171+A206*$A$171</f>
        <v>11670.066009438713</v>
      </c>
      <c r="C206" s="7">
        <f>B206-$B$176*SQRT($M$165)*SQRT(1/$A$165+(A206-$B$167)^2/($F$165))</f>
        <v>9747.0365556517281</v>
      </c>
      <c r="D206" s="7">
        <f>B206+$B$176*SQRT($M$165)*SQRT(1/$A$165+(A206-$B$167)^2/($F$165))</f>
        <v>13593.095463225698</v>
      </c>
      <c r="E206" s="7">
        <f>B206-$B$177*SQRT($M$165)*SQRT(1/$A$165+(A206-$B$167)^2/($F$165))</f>
        <v>9374.5399322759076</v>
      </c>
      <c r="F206" s="7">
        <f>B206+$B$177*SQRT($M$165)*SQRT(1/$A$165+(A206-$B$167)^2/($F$165))</f>
        <v>13965.592086601519</v>
      </c>
      <c r="G206" s="7">
        <f>B206-$B$178*SQRT($M$165)*SQRT(1/$A$165+(A206-$B$167)^2/($F$165))</f>
        <v>8639.930024142177</v>
      </c>
      <c r="H206" s="7">
        <f>B206+$B$178*SQRT($M$165)*SQRT(1/$A$165+(A206-$B$167)^2/($F$165))</f>
        <v>14700.201994735249</v>
      </c>
    </row>
    <row r="207" spans="1:8" x14ac:dyDescent="0.4">
      <c r="A207" s="7">
        <v>75</v>
      </c>
      <c r="B207" s="7">
        <f>$B$171+A207*$A$171</f>
        <v>22205.227236581559</v>
      </c>
      <c r="C207" s="7">
        <f>B207-$B$176*SQRT($M$165)*SQRT(1/$A$165+(A207-$B$167)^2/($F$165))</f>
        <v>20198.818852674129</v>
      </c>
      <c r="D207" s="7">
        <f>B207+$B$176*SQRT($M$165)*SQRT(1/$A$165+(A207-$B$167)^2/($F$165))</f>
        <v>24211.635620488989</v>
      </c>
      <c r="E207" s="7">
        <f>B207-$B$177*SQRT($M$165)*SQRT(1/$A$165+(A207-$B$167)^2/($F$165))</f>
        <v>19810.171478268785</v>
      </c>
      <c r="F207" s="7">
        <f>B207+$B$177*SQRT($M$165)*SQRT(1/$A$165+(A207-$B$167)^2/($F$165))</f>
        <v>24600.282994894333</v>
      </c>
      <c r="G207" s="7">
        <f>B207-$B$178*SQRT($M$165)*SQRT(1/$A$165+(A207-$B$167)^2/($F$165))</f>
        <v>19043.710270054627</v>
      </c>
      <c r="H207" s="7">
        <f>B207+$B$178*SQRT($M$165)*SQRT(1/$A$165+(A207-$B$167)^2/($F$165))</f>
        <v>25366.74420310849</v>
      </c>
    </row>
    <row r="208" spans="1:8" x14ac:dyDescent="0.4">
      <c r="A208" s="7">
        <v>80</v>
      </c>
      <c r="B208" s="7">
        <f>$B$171+A208*$A$171</f>
        <v>32740.388463724375</v>
      </c>
      <c r="C208" s="7">
        <f>B208-$B$176*SQRT($M$165)*SQRT(1/$A$165+(A208-$B$167)^2/($F$165))</f>
        <v>29953.271902122473</v>
      </c>
      <c r="D208" s="7">
        <f>B208+$B$176*SQRT($M$165)*SQRT(1/$A$165+(A208-$B$167)^2/($F$165))</f>
        <v>35527.505025326282</v>
      </c>
      <c r="E208" s="7">
        <f>B208-$B$177*SQRT($M$165)*SQRT(1/$A$165+(A208-$B$167)^2/($F$165))</f>
        <v>29413.398991644139</v>
      </c>
      <c r="F208" s="7">
        <f>B208+$B$177*SQRT($M$165)*SQRT(1/$A$165+(A208-$B$167)^2/($F$165))</f>
        <v>36067.377935804609</v>
      </c>
      <c r="G208" s="7">
        <f>B208-$B$178*SQRT($M$165)*SQRT(1/$A$165+(A208-$B$167)^2/($F$165))</f>
        <v>28348.702121170114</v>
      </c>
      <c r="H208" s="7">
        <f>B208+$B$178*SQRT($M$165)*SQRT(1/$A$165+(A208-$B$167)^2/($F$165))</f>
        <v>37132.074806278637</v>
      </c>
    </row>
    <row r="209" spans="1:8" x14ac:dyDescent="0.4">
      <c r="A209" s="7">
        <v>85</v>
      </c>
      <c r="B209" s="7">
        <f>$B$171+A209*$A$171</f>
        <v>43275.549690867221</v>
      </c>
      <c r="C209" s="7">
        <f>B209-$B$176*SQRT($M$165)*SQRT(1/$A$165+(A209-$B$167)^2/($F$165))</f>
        <v>39412.251274363902</v>
      </c>
      <c r="D209" s="7">
        <f>B209+$B$176*SQRT($M$165)*SQRT(1/$A$165+(A209-$B$167)^2/($F$165))</f>
        <v>47138.848107370541</v>
      </c>
      <c r="E209" s="7">
        <f>B209-$B$177*SQRT($M$165)*SQRT(1/$A$165+(A209-$B$167)^2/($F$165))</f>
        <v>38663.918682574047</v>
      </c>
      <c r="F209" s="7">
        <f>B209+$B$177*SQRT($M$165)*SQRT(1/$A$165+(A209-$B$167)^2/($F$165))</f>
        <v>47887.180699160395</v>
      </c>
      <c r="G209" s="7">
        <f>B209-$B$178*SQRT($M$165)*SQRT(1/$A$165+(A209-$B$167)^2/($F$165))</f>
        <v>37188.113260430444</v>
      </c>
      <c r="H209" s="7">
        <f>B209+$B$178*SQRT($M$165)*SQRT(1/$A$165+(A209-$B$167)^2/($F$165))</f>
        <v>49362.986121303999</v>
      </c>
    </row>
    <row r="246" spans="1:5" x14ac:dyDescent="0.4">
      <c r="A246" s="12" t="s">
        <v>35</v>
      </c>
      <c r="B246" s="10"/>
      <c r="C246" s="10"/>
      <c r="D246" s="10"/>
      <c r="E246" s="10"/>
    </row>
    <row r="247" spans="1:5" x14ac:dyDescent="0.4">
      <c r="A247" s="10"/>
      <c r="B247" s="10"/>
      <c r="C247" s="10"/>
      <c r="D247" s="10"/>
      <c r="E247" s="10"/>
    </row>
    <row r="248" spans="1:5" x14ac:dyDescent="0.4">
      <c r="A248" s="10"/>
      <c r="B248" s="10"/>
      <c r="C248" s="10"/>
      <c r="D248" s="10"/>
      <c r="E248" s="10"/>
    </row>
  </sheetData>
  <mergeCells count="18">
    <mergeCell ref="A182:A183"/>
    <mergeCell ref="B195:B196"/>
    <mergeCell ref="A195:A196"/>
    <mergeCell ref="A193:A194"/>
    <mergeCell ref="C193:C194"/>
    <mergeCell ref="G204:H204"/>
    <mergeCell ref="C203:H203"/>
    <mergeCell ref="A184:A185"/>
    <mergeCell ref="E204:F204"/>
    <mergeCell ref="A186:A187"/>
    <mergeCell ref="C195:C196"/>
    <mergeCell ref="A197:A198"/>
    <mergeCell ref="B197:B198"/>
    <mergeCell ref="A246:E248"/>
    <mergeCell ref="C197:C198"/>
    <mergeCell ref="C189:E189"/>
    <mergeCell ref="B193:B194"/>
    <mergeCell ref="C204:D204"/>
  </mergeCells>
  <pageMargins left="0.75" right="0.75" top="1" bottom="1" header="0.5" footer="0.5"/>
  <pageSetup paperSize="9" scale="1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Саша Бражалович</cp:lastModifiedBy>
  <cp:lastPrinted>2026-10-16T10:42:24Z</cp:lastPrinted>
  <dcterms:created xsi:type="dcterms:W3CDTF">2026-10-16T10:32:35Z</dcterms:created>
  <dcterms:modified xsi:type="dcterms:W3CDTF">2026-10-19T12:05:39Z</dcterms:modified>
</cp:coreProperties>
</file>