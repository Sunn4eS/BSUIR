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32362" windowHeight="17955" activeTab="2"/>
  </bookViews>
  <sheets>
    <sheet name="Данные_2025" sheetId="1" r:id="rId1"/>
    <sheet name="Отбор_факторов" sheetId="2" r:id="rId2"/>
    <sheet name="МНК_расчёт" sheetId="3" r:id="rId3"/>
    <sheet name="Адекватность" sheetId="4" r:id="rId4"/>
    <sheet name="Графики" sheetId="5" r:id="rId5"/>
  </sheets>
  <calcPr calcId="144525"/>
</workbook>
</file>

<file path=xl/sharedStrings.xml><?xml version="1.0" encoding="utf-8"?>
<sst xmlns="http://schemas.openxmlformats.org/spreadsheetml/2006/main" count="151" uniqueCount="108">
  <si>
    <t>Исходные данные лабораторной работы №2 (модель 5: заработная плата)</t>
  </si>
  <si>
    <t>y — зарплата, руб.; x1 — квалификация (1–3); x5 — регион (1–7). n = 56</t>
  </si>
  <si>
    <t>№</t>
  </si>
  <si>
    <t>y (зарплата)</t>
  </si>
  <si>
    <t>x1 (квалиф.)</t>
  </si>
  <si>
    <t>x5 (регион)</t>
  </si>
  <si>
    <t>Корреляционный анализ и отбор факторов (данные ЛР №2, 2025 г.)</t>
  </si>
  <si>
    <t>Правило отбора: в модель включаются факторы с |r(y,x)| ≥ 0,4</t>
  </si>
  <si>
    <t>Корреляционная матрица (исходные данные)</t>
  </si>
  <si>
    <t/>
  </si>
  <si>
    <t>y</t>
  </si>
  <si>
    <t>x1</t>
  </si>
  <si>
    <t>x2</t>
  </si>
  <si>
    <t>x3</t>
  </si>
  <si>
    <t>x4</t>
  </si>
  <si>
    <t>x5</t>
  </si>
  <si>
    <t>Отбор факторов по связи с y</t>
  </si>
  <si>
    <t>Фактор</t>
  </si>
  <si>
    <t>r(y,x)</t>
  </si>
  <si>
    <t>|r|</t>
  </si>
  <si>
    <t>Решение</t>
  </si>
  <si>
    <t>x1 — квалификация</t>
  </si>
  <si>
    <t>включить</t>
  </si>
  <si>
    <t>x2 — стаж</t>
  </si>
  <si>
    <t>исключить (|r| &lt; 0,4)</t>
  </si>
  <si>
    <t>x3 — пол</t>
  </si>
  <si>
    <t>x4 — возраст</t>
  </si>
  <si>
    <t>x5 — регион</t>
  </si>
  <si>
    <t>Корреляционная матрица после отбора</t>
  </si>
  <si>
    <t>Вывод: с y значимо связаны x1 (r = 0,469) и x5 (r = −0,582). Факторы x2, x3, x4 исключены (|r| &lt; 0,4). Между отобранными факторами мультиколлинеарность отсутствует: r(x1, x5) = −0,036 ≈ 0.</t>
  </si>
  <si>
    <t>Оценка параметров ПЛР методом наименьших квадратов</t>
  </si>
  <si>
    <t>Модель:  y = a0 + a1·x1 + a2·x5 + ε,  число наблюдений T = 56, число факторов k = 2</t>
  </si>
  <si>
    <t>t</t>
  </si>
  <si>
    <t>ŷ (прогноз)</t>
  </si>
  <si>
    <t>e (остаток)</t>
  </si>
  <si>
    <t>e²</t>
  </si>
  <si>
    <t>Сумма</t>
  </si>
  <si>
    <t>Среднее</t>
  </si>
  <si>
    <t>Матрица (X'X)⁻¹</t>
  </si>
  <si>
    <t>1</t>
  </si>
  <si>
    <t>своб. член</t>
  </si>
  <si>
    <t>Оценки параметров, стандартные ошибки и t-статистики</t>
  </si>
  <si>
    <t>Параметр</t>
  </si>
  <si>
    <t>Оценка â</t>
  </si>
  <si>
    <t>se(â)</t>
  </si>
  <si>
    <t>t-статистика t̂ = â/se(â)</t>
  </si>
  <si>
    <t>a0 (свободный член)</t>
  </si>
  <si>
    <t>a1 (квалификация, x1)</t>
  </si>
  <si>
    <t>a2 (регион, x5)</t>
  </si>
  <si>
    <t>Несмещённая оценка дисперсии: s² = Σe²/(T−k−1) = 112287458.18/53 = 2118631.2863;  s = 1455.5519;  T−k−1 = 53</t>
  </si>
  <si>
    <t>Проверка значимости коэффициентов (t-критерий Стьюдента, число степеней свободы = T−k−1 = 53)</t>
  </si>
  <si>
    <t>γ</t>
  </si>
  <si>
    <t>Квантиль tγ,53</t>
  </si>
  <si>
    <t>|t̂ a0|</t>
  </si>
  <si>
    <t>|t̂ a1|</t>
  </si>
  <si>
    <t>|t̂ a2|</t>
  </si>
  <si>
    <t>Вывод</t>
  </si>
  <si>
    <t>все коэффициенты значимы</t>
  </si>
  <si>
    <t>Доверительные интервалы для параметров: ( â − tγ,53·se(â) ;  â + tγ,53·se(â) )</t>
  </si>
  <si>
    <t>Граница</t>
  </si>
  <si>
    <t>a0</t>
  </si>
  <si>
    <t>a1</t>
  </si>
  <si>
    <t>a2</t>
  </si>
  <si>
    <t>нижняя</t>
  </si>
  <si>
    <t>верхняя</t>
  </si>
  <si>
    <t>Оценка качества и адекватности ПЛР</t>
  </si>
  <si>
    <t>Разложение дисперсии</t>
  </si>
  <si>
    <t>Показатель</t>
  </si>
  <si>
    <t>Значение</t>
  </si>
  <si>
    <t>Формула</t>
  </si>
  <si>
    <t>SST (общая изменчивость)</t>
  </si>
  <si>
    <t>Σ(y−ȳ)²</t>
  </si>
  <si>
    <t>SSR (объяснённая моделью)</t>
  </si>
  <si>
    <t>Σ(ŷ−ȳ)² = SST − SSE</t>
  </si>
  <si>
    <t>SSE (остаточная)</t>
  </si>
  <si>
    <t>Σe²</t>
  </si>
  <si>
    <t>s² (дисперсия остатков)</t>
  </si>
  <si>
    <t>SSE / (T−k−1)</t>
  </si>
  <si>
    <t>Коэффициенты детерминации</t>
  </si>
  <si>
    <t>Интерпретация</t>
  </si>
  <si>
    <t>R²</t>
  </si>
  <si>
    <t>53.95% дисперсии y объяснено моделью</t>
  </si>
  <si>
    <t>R²adj (исправленный)</t>
  </si>
  <si>
    <t>с учётом числа факторов</t>
  </si>
  <si>
    <t>R (множественная корреляция)</t>
  </si>
  <si>
    <t>√R² — связь y с факторами в целом</t>
  </si>
  <si>
    <t>Проверка значимости модели (F-критерий Фишера)</t>
  </si>
  <si>
    <t>Квантиль Fγ(2;53)</t>
  </si>
  <si>
    <t>F-статистика</t>
  </si>
  <si>
    <t>—</t>
  </si>
  <si>
    <t>F = (R²/k) / ((1−R²)/(T−k−1))</t>
  </si>
  <si>
    <t>модель значима</t>
  </si>
  <si>
    <t>Проверка нормальности остатков (критерий Жарка–Бера)</t>
  </si>
  <si>
    <t>Норма</t>
  </si>
  <si>
    <t>Скоэшность остатков</t>
  </si>
  <si>
    <t>Эксцесс остатков</t>
  </si>
  <si>
    <t>Среднее остатков</t>
  </si>
  <si>
    <t>Статистика JB</t>
  </si>
  <si>
    <t>χ²(2), γ=0,95: 5,991</t>
  </si>
  <si>
    <t>JB &lt; 5,991 — гипотеза нормальности не отвергается</t>
  </si>
  <si>
    <t>p-уровень</t>
  </si>
  <si>
    <t>&gt; 0,05</t>
  </si>
  <si>
    <t>остатки распределены нормально</t>
  </si>
  <si>
    <t>Итоговые выводы</t>
  </si>
  <si>
    <t>1) Уравнение модели: y = 5374,40 + 1247,72·x1 − 590,04·x5. Каждый уровень квалификации добавляет около 1248 руб. к зарплате, а переход к следующему региону (от Минска к областям) снижает её примерно на 590 руб. при неизменных остальных факторах.
2) Значимость коэффициентов: |t̂| = 7,46 (a0), 4,81 (a1), −6,06 (a2) превышают tγ,53 = 2,40 при γ = 0,99 — все коэффициенты статистически значимы на уровне 99%. Доверительные интервалы не содержат нуля.
3) Адекватность: R² = 0.5395 (исправленный R²adj = 0.5221) — модель объясняет 53.9% изменчивости зарплаты. F-статистика F = 31.04 &gt; F0,99(2;53) = 5.03 — модель в целом статистически значима на уровне 99%.
4) Остатки: JB = 2.606 (p = 0.272) — нормальное распределение остатков не отвергается; среднее остатков = 0, классические предположения МНК по остаткам не нарушаются.
5) Ограничение: значение R² ниже условного порога 0,7 (как в ЛР №3), т.к. регион закодирован одним ordinal-числом; включение факторов x2–x4 либо dummy-переменных региона повысило бы объясняющую способность модели.</t>
  </si>
  <si>
    <t>Графики модели: y факт / y модель и остатки</t>
  </si>
  <si>
    <t>y (факт)</t>
  </si>
  <si>
    <t>ŷ (модель)</t>
  </si>
</sst>
</file>

<file path=xl/styles.xml><?xml version="1.0" encoding="utf-8"?>
<styleSheet xmlns="http://schemas.openxmlformats.org/spreadsheetml/2006/main">
  <numFmts count="7">
    <numFmt numFmtId="176" formatCode="0.00000000"/>
    <numFmt numFmtId="177" formatCode="0.000000"/>
    <numFmt numFmtId="42" formatCode="_(&quot;$&quot;* #,##0_);_(&quot;$&quot;* \(#,##0\);_(&quot;$&quot;* &quot;-&quot;_);_(@_)"/>
    <numFmt numFmtId="178" formatCode="0.0000"/>
    <numFmt numFmtId="179" formatCode="_ * #,##0.00_ ;_ * \-#,##0.00_ ;_ * &quot;-&quot;??_ ;_ @_ "/>
    <numFmt numFmtId="44" formatCode="_(&quot;$&quot;* #,##0.00_);_(&quot;$&quot;* \(#,##0.00\);_(&quot;$&quot;* &quot;-&quot;??_);_(@_)"/>
    <numFmt numFmtId="180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4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3" fillId="14" borderId="1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" fillId="26" borderId="15" applyNumberFormat="0" applyFont="0" applyAlignment="0" applyProtection="0">
      <alignment vertical="center"/>
    </xf>
    <xf numFmtId="0" fontId="22" fillId="33" borderId="10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4" borderId="10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21" fillId="32" borderId="16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78" fontId="0" fillId="0" borderId="1" xfId="0" applyNumberFormat="1" applyBorder="1"/>
    <xf numFmtId="177" fontId="0" fillId="0" borderId="1" xfId="0" applyNumberFormat="1" applyBorder="1"/>
    <xf numFmtId="178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4" borderId="1" xfId="0" applyFont="1" applyFill="1" applyBorder="1" applyAlignment="1">
      <alignment horizontal="center" vertical="center" wrapText="1"/>
    </xf>
    <xf numFmtId="178" fontId="2" fillId="4" borderId="1" xfId="0" applyNumberFormat="1" applyFont="1" applyFill="1" applyBorder="1"/>
    <xf numFmtId="177" fontId="2" fillId="4" borderId="1" xfId="0" applyNumberFormat="1" applyFont="1" applyFill="1" applyBorder="1"/>
    <xf numFmtId="0" fontId="2" fillId="2" borderId="1" xfId="0" applyFont="1" applyFill="1" applyBorder="1"/>
    <xf numFmtId="176" fontId="0" fillId="0" borderId="1" xfId="0" applyNumberFormat="1" applyBorder="1" applyAlignment="1">
      <alignment horizontal="center" vertical="center" wrapText="1"/>
    </xf>
    <xf numFmtId="0" fontId="0" fillId="2" borderId="1" xfId="0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Фактическая и расчётная y (ПЛР)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Графики!$B$3</c:f>
              <c:strCache>
                <c:ptCount val="1"/>
                <c:pt idx="0">
                  <c:v>y (факт)</c:v>
                </c:pt>
              </c:strCache>
            </c:strRef>
          </c:tx>
          <c:spPr>
            <a:ln w="15000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4"/>
            <c:spPr>
              <a:ln w="9525" cap="flat" cmpd="sng" algn="ctr">
                <a:solidFill>
                  <a:schemeClr val="accent3">
                    <a:shade val="76667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Графики!$A$4:$A$59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Графики!$B$4:$B$59</c:f>
              <c:numCache>
                <c:formatCode>#,##0.00</c:formatCode>
                <c:ptCount val="56"/>
                <c:pt idx="0">
                  <c:v>11077.42</c:v>
                </c:pt>
                <c:pt idx="1">
                  <c:v>9535.83</c:v>
                </c:pt>
                <c:pt idx="2">
                  <c:v>10047.37</c:v>
                </c:pt>
                <c:pt idx="3">
                  <c:v>10234.52</c:v>
                </c:pt>
                <c:pt idx="4">
                  <c:v>7931.6</c:v>
                </c:pt>
                <c:pt idx="5">
                  <c:v>8928.13</c:v>
                </c:pt>
                <c:pt idx="6">
                  <c:v>7038.8</c:v>
                </c:pt>
                <c:pt idx="7">
                  <c:v>12092.95</c:v>
                </c:pt>
                <c:pt idx="8">
                  <c:v>5871.08</c:v>
                </c:pt>
                <c:pt idx="9">
                  <c:v>6600.79</c:v>
                </c:pt>
                <c:pt idx="10">
                  <c:v>5237.6</c:v>
                </c:pt>
                <c:pt idx="11">
                  <c:v>8170.54</c:v>
                </c:pt>
                <c:pt idx="12">
                  <c:v>6130.57</c:v>
                </c:pt>
                <c:pt idx="13">
                  <c:v>4719.51</c:v>
                </c:pt>
                <c:pt idx="14">
                  <c:v>6174.22</c:v>
                </c:pt>
                <c:pt idx="15">
                  <c:v>4584.43</c:v>
                </c:pt>
                <c:pt idx="16">
                  <c:v>5835.63</c:v>
                </c:pt>
                <c:pt idx="17">
                  <c:v>6172.73</c:v>
                </c:pt>
                <c:pt idx="18">
                  <c:v>3928.21</c:v>
                </c:pt>
                <c:pt idx="19">
                  <c:v>5036.8</c:v>
                </c:pt>
                <c:pt idx="20">
                  <c:v>8082.06</c:v>
                </c:pt>
                <c:pt idx="21">
                  <c:v>5204.11</c:v>
                </c:pt>
                <c:pt idx="22">
                  <c:v>4539.66</c:v>
                </c:pt>
                <c:pt idx="23">
                  <c:v>5067.67</c:v>
                </c:pt>
                <c:pt idx="24">
                  <c:v>3014.19</c:v>
                </c:pt>
                <c:pt idx="25">
                  <c:v>5311.23</c:v>
                </c:pt>
                <c:pt idx="26">
                  <c:v>6447.94</c:v>
                </c:pt>
                <c:pt idx="27">
                  <c:v>5169.06</c:v>
                </c:pt>
                <c:pt idx="28">
                  <c:v>4521.64</c:v>
                </c:pt>
                <c:pt idx="29">
                  <c:v>4394.61</c:v>
                </c:pt>
                <c:pt idx="30">
                  <c:v>3578.91</c:v>
                </c:pt>
                <c:pt idx="31">
                  <c:v>2616.96</c:v>
                </c:pt>
                <c:pt idx="32">
                  <c:v>2419.72</c:v>
                </c:pt>
                <c:pt idx="33">
                  <c:v>6580.8</c:v>
                </c:pt>
                <c:pt idx="34">
                  <c:v>4954.49</c:v>
                </c:pt>
                <c:pt idx="35">
                  <c:v>2546.43</c:v>
                </c:pt>
                <c:pt idx="36">
                  <c:v>4197.94</c:v>
                </c:pt>
                <c:pt idx="37">
                  <c:v>3917.25</c:v>
                </c:pt>
                <c:pt idx="38">
                  <c:v>6302.02</c:v>
                </c:pt>
                <c:pt idx="39">
                  <c:v>6922.03</c:v>
                </c:pt>
                <c:pt idx="40">
                  <c:v>5368.33</c:v>
                </c:pt>
                <c:pt idx="41">
                  <c:v>3612.47</c:v>
                </c:pt>
                <c:pt idx="42">
                  <c:v>5343.45</c:v>
                </c:pt>
                <c:pt idx="43">
                  <c:v>7822.57</c:v>
                </c:pt>
                <c:pt idx="44">
                  <c:v>4094.37</c:v>
                </c:pt>
                <c:pt idx="45">
                  <c:v>5754.89</c:v>
                </c:pt>
                <c:pt idx="46">
                  <c:v>4462.8</c:v>
                </c:pt>
                <c:pt idx="47">
                  <c:v>3694.63</c:v>
                </c:pt>
                <c:pt idx="48">
                  <c:v>4274.15</c:v>
                </c:pt>
                <c:pt idx="49">
                  <c:v>4977.98</c:v>
                </c:pt>
                <c:pt idx="50">
                  <c:v>5258.77</c:v>
                </c:pt>
                <c:pt idx="51">
                  <c:v>3515.77</c:v>
                </c:pt>
                <c:pt idx="52">
                  <c:v>4654.12</c:v>
                </c:pt>
                <c:pt idx="53">
                  <c:v>5533.85</c:v>
                </c:pt>
                <c:pt idx="54">
                  <c:v>5490.57</c:v>
                </c:pt>
                <c:pt idx="55">
                  <c:v>4776.52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Графики!$C$3</c:f>
              <c:strCache>
                <c:ptCount val="1"/>
                <c:pt idx="0">
                  <c:v>ŷ (модель)</c:v>
                </c:pt>
              </c:strCache>
            </c:strRef>
          </c:tx>
          <c:spPr>
            <a:ln w="15000" cap="rnd" cmpd="sng" algn="ctr">
              <a:solidFill>
                <a:schemeClr val="accent3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4"/>
            <c:spPr>
              <a:ln w="9525" cap="flat" cmpd="sng" algn="ctr">
                <a:solidFill>
                  <a:schemeClr val="accent3">
                    <a:tint val="76667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Графики!$A$4:$A$59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Графики!$C$4:$C$59</c:f>
              <c:numCache>
                <c:formatCode>#,##0.00</c:formatCode>
                <c:ptCount val="56"/>
                <c:pt idx="0">
                  <c:v>7279.81</c:v>
                </c:pt>
                <c:pt idx="1">
                  <c:v>7279.81</c:v>
                </c:pt>
                <c:pt idx="2">
                  <c:v>8527.53</c:v>
                </c:pt>
                <c:pt idx="3">
                  <c:v>7279.81</c:v>
                </c:pt>
                <c:pt idx="4">
                  <c:v>8527.53</c:v>
                </c:pt>
                <c:pt idx="5">
                  <c:v>7279.81</c:v>
                </c:pt>
                <c:pt idx="6">
                  <c:v>7279.81</c:v>
                </c:pt>
                <c:pt idx="7">
                  <c:v>8527.53</c:v>
                </c:pt>
                <c:pt idx="8">
                  <c:v>6689.77</c:v>
                </c:pt>
                <c:pt idx="9">
                  <c:v>7937.5</c:v>
                </c:pt>
                <c:pt idx="10">
                  <c:v>6689.77</c:v>
                </c:pt>
                <c:pt idx="11">
                  <c:v>7937.5</c:v>
                </c:pt>
                <c:pt idx="12">
                  <c:v>6689.77</c:v>
                </c:pt>
                <c:pt idx="13">
                  <c:v>5442.05</c:v>
                </c:pt>
                <c:pt idx="14">
                  <c:v>6689.77</c:v>
                </c:pt>
                <c:pt idx="15">
                  <c:v>5442.05</c:v>
                </c:pt>
                <c:pt idx="16">
                  <c:v>7347.46</c:v>
                </c:pt>
                <c:pt idx="17">
                  <c:v>6099.74</c:v>
                </c:pt>
                <c:pt idx="18">
                  <c:v>6099.74</c:v>
                </c:pt>
                <c:pt idx="19">
                  <c:v>7347.46</c:v>
                </c:pt>
                <c:pt idx="20">
                  <c:v>7347.46</c:v>
                </c:pt>
                <c:pt idx="21">
                  <c:v>7347.46</c:v>
                </c:pt>
                <c:pt idx="22">
                  <c:v>4852.01</c:v>
                </c:pt>
                <c:pt idx="23">
                  <c:v>7347.46</c:v>
                </c:pt>
                <c:pt idx="24">
                  <c:v>4261.98</c:v>
                </c:pt>
                <c:pt idx="25">
                  <c:v>5509.7</c:v>
                </c:pt>
                <c:pt idx="26">
                  <c:v>5509.7</c:v>
                </c:pt>
                <c:pt idx="27">
                  <c:v>5509.7</c:v>
                </c:pt>
                <c:pt idx="28">
                  <c:v>5509.7</c:v>
                </c:pt>
                <c:pt idx="29">
                  <c:v>5509.7</c:v>
                </c:pt>
                <c:pt idx="30">
                  <c:v>6757.42</c:v>
                </c:pt>
                <c:pt idx="31">
                  <c:v>4261.98</c:v>
                </c:pt>
                <c:pt idx="32">
                  <c:v>3671.94</c:v>
                </c:pt>
                <c:pt idx="33">
                  <c:v>6167.39</c:v>
                </c:pt>
                <c:pt idx="34">
                  <c:v>4919.66</c:v>
                </c:pt>
                <c:pt idx="35">
                  <c:v>3671.94</c:v>
                </c:pt>
                <c:pt idx="36">
                  <c:v>4919.66</c:v>
                </c:pt>
                <c:pt idx="37">
                  <c:v>3671.94</c:v>
                </c:pt>
                <c:pt idx="38">
                  <c:v>4919.66</c:v>
                </c:pt>
                <c:pt idx="39">
                  <c:v>6167.39</c:v>
                </c:pt>
                <c:pt idx="40">
                  <c:v>4329.63</c:v>
                </c:pt>
                <c:pt idx="41">
                  <c:v>3081.9</c:v>
                </c:pt>
                <c:pt idx="42">
                  <c:v>5577.35</c:v>
                </c:pt>
                <c:pt idx="43">
                  <c:v>5577.35</c:v>
                </c:pt>
                <c:pt idx="44">
                  <c:v>4329.63</c:v>
                </c:pt>
                <c:pt idx="45">
                  <c:v>5577.35</c:v>
                </c:pt>
                <c:pt idx="46">
                  <c:v>4329.63</c:v>
                </c:pt>
                <c:pt idx="47">
                  <c:v>3081.9</c:v>
                </c:pt>
                <c:pt idx="48">
                  <c:v>2491.87</c:v>
                </c:pt>
                <c:pt idx="49">
                  <c:v>4987.31</c:v>
                </c:pt>
                <c:pt idx="50">
                  <c:v>4987.31</c:v>
                </c:pt>
                <c:pt idx="51">
                  <c:v>2491.87</c:v>
                </c:pt>
                <c:pt idx="52">
                  <c:v>4987.31</c:v>
                </c:pt>
                <c:pt idx="53">
                  <c:v>4987.31</c:v>
                </c:pt>
                <c:pt idx="54">
                  <c:v>4987.31</c:v>
                </c:pt>
                <c:pt idx="55">
                  <c:v>3739.59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y, руб.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№ наблюдения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Остатки модели e = y − ŷ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Графики!$D$3</c:f>
              <c:strCache>
                <c:ptCount val="1"/>
                <c:pt idx="0">
                  <c:v>e (остаток)</c:v>
                </c:pt>
              </c:strCache>
            </c:strRef>
          </c:tx>
          <c:spPr>
            <a:ln w="47625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Графики!$A$4:$A$59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Графики!$D$4:$D$59</c:f>
              <c:numCache>
                <c:formatCode>#,##0.00</c:formatCode>
                <c:ptCount val="56"/>
                <c:pt idx="0">
                  <c:v>3797.61</c:v>
                </c:pt>
                <c:pt idx="1">
                  <c:v>2256.02</c:v>
                </c:pt>
                <c:pt idx="2">
                  <c:v>1519.84</c:v>
                </c:pt>
                <c:pt idx="3">
                  <c:v>2954.72</c:v>
                </c:pt>
                <c:pt idx="4">
                  <c:v>-595.94</c:v>
                </c:pt>
                <c:pt idx="5">
                  <c:v>1648.32</c:v>
                </c:pt>
                <c:pt idx="6">
                  <c:v>-241</c:v>
                </c:pt>
                <c:pt idx="7">
                  <c:v>3565.42</c:v>
                </c:pt>
                <c:pt idx="8">
                  <c:v>-818.69</c:v>
                </c:pt>
                <c:pt idx="9">
                  <c:v>-1336.71</c:v>
                </c:pt>
                <c:pt idx="10">
                  <c:v>-1452.17</c:v>
                </c:pt>
                <c:pt idx="11">
                  <c:v>233.04</c:v>
                </c:pt>
                <c:pt idx="12">
                  <c:v>-559.21</c:v>
                </c:pt>
                <c:pt idx="13">
                  <c:v>-722.54</c:v>
                </c:pt>
                <c:pt idx="14">
                  <c:v>-515.55</c:v>
                </c:pt>
                <c:pt idx="15">
                  <c:v>-857.62</c:v>
                </c:pt>
                <c:pt idx="16">
                  <c:v>-1511.83</c:v>
                </c:pt>
                <c:pt idx="17">
                  <c:v>72.99</c:v>
                </c:pt>
                <c:pt idx="18">
                  <c:v>-2171.52</c:v>
                </c:pt>
                <c:pt idx="19">
                  <c:v>-2310.66</c:v>
                </c:pt>
                <c:pt idx="20">
                  <c:v>734.6</c:v>
                </c:pt>
                <c:pt idx="21">
                  <c:v>-2143.34</c:v>
                </c:pt>
                <c:pt idx="22">
                  <c:v>-312.35</c:v>
                </c:pt>
                <c:pt idx="23">
                  <c:v>-2279.79</c:v>
                </c:pt>
                <c:pt idx="24">
                  <c:v>-1247.79</c:v>
                </c:pt>
                <c:pt idx="25">
                  <c:v>-198.47</c:v>
                </c:pt>
                <c:pt idx="26">
                  <c:v>938.24</c:v>
                </c:pt>
                <c:pt idx="27">
                  <c:v>-340.64</c:v>
                </c:pt>
                <c:pt idx="28">
                  <c:v>-988.06</c:v>
                </c:pt>
                <c:pt idx="29">
                  <c:v>-1115.09</c:v>
                </c:pt>
                <c:pt idx="30">
                  <c:v>-3178.52</c:v>
                </c:pt>
                <c:pt idx="31">
                  <c:v>-1645.02</c:v>
                </c:pt>
                <c:pt idx="32">
                  <c:v>-1252.22</c:v>
                </c:pt>
                <c:pt idx="33">
                  <c:v>413.41</c:v>
                </c:pt>
                <c:pt idx="34">
                  <c:v>34.82</c:v>
                </c:pt>
                <c:pt idx="35">
                  <c:v>-1125.51</c:v>
                </c:pt>
                <c:pt idx="36">
                  <c:v>-721.72</c:v>
                </c:pt>
                <c:pt idx="37">
                  <c:v>245.31</c:v>
                </c:pt>
                <c:pt idx="38">
                  <c:v>1382.36</c:v>
                </c:pt>
                <c:pt idx="39">
                  <c:v>754.64</c:v>
                </c:pt>
                <c:pt idx="40">
                  <c:v>1038.71</c:v>
                </c:pt>
                <c:pt idx="41">
                  <c:v>530.57</c:v>
                </c:pt>
                <c:pt idx="42">
                  <c:v>-233.9</c:v>
                </c:pt>
                <c:pt idx="43">
                  <c:v>2245.21</c:v>
                </c:pt>
                <c:pt idx="44">
                  <c:v>-235.26</c:v>
                </c:pt>
                <c:pt idx="45">
                  <c:v>177.54</c:v>
                </c:pt>
                <c:pt idx="46">
                  <c:v>133.18</c:v>
                </c:pt>
                <c:pt idx="47">
                  <c:v>612.73</c:v>
                </c:pt>
                <c:pt idx="48">
                  <c:v>1782.28</c:v>
                </c:pt>
                <c:pt idx="49">
                  <c:v>-9.33</c:v>
                </c:pt>
                <c:pt idx="50">
                  <c:v>271.46</c:v>
                </c:pt>
                <c:pt idx="51">
                  <c:v>1023.9</c:v>
                </c:pt>
                <c:pt idx="52">
                  <c:v>-333.2</c:v>
                </c:pt>
                <c:pt idx="53">
                  <c:v>546.54</c:v>
                </c:pt>
                <c:pt idx="54">
                  <c:v>503.26</c:v>
                </c:pt>
                <c:pt idx="55">
                  <c:v>1036.93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e, руб.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№ наблюдения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2</xdr:row>
      <xdr:rowOff>0</xdr:rowOff>
    </xdr:from>
    <xdr:ext cx="7920000" cy="3600000"/>
    <xdr:graphicFrame>
      <xdr:nvGraphicFramePr>
        <xdr:cNvPr id="2" name="Chart 1"/>
        <xdr:cNvGraphicFramePr/>
      </xdr:nvGraphicFramePr>
      <xdr:xfrm>
        <a:off x="3874770" y="2233295"/>
        <a:ext cx="7919720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23</xdr:row>
      <xdr:rowOff>0</xdr:rowOff>
    </xdr:from>
    <xdr:ext cx="7920000" cy="3600000"/>
    <xdr:graphicFrame>
      <xdr:nvGraphicFramePr>
        <xdr:cNvPr id="3" name="Chart 2"/>
        <xdr:cNvGraphicFramePr/>
      </xdr:nvGraphicFramePr>
      <xdr:xfrm>
        <a:off x="3874770" y="6127750"/>
        <a:ext cx="7919720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4.6" outlineLevelCol="3"/>
  <cols>
    <col min="1" max="1" width="60.141592920354" customWidth="1"/>
    <col min="2" max="2" width="14" customWidth="1"/>
    <col min="3" max="3" width="13" customWidth="1"/>
    <col min="4" max="4" width="12" customWidth="1"/>
  </cols>
  <sheetData>
    <row r="1" ht="40" customHeight="1" spans="1:1">
      <c r="A1" s="1" t="s">
        <v>0</v>
      </c>
    </row>
    <row r="2" ht="14.65" spans="1:1">
      <c r="A2" s="6" t="s">
        <v>1</v>
      </c>
    </row>
    <row r="4" ht="14.65" spans="1:4">
      <c r="A4" s="2" t="s">
        <v>2</v>
      </c>
      <c r="B4" s="2" t="s">
        <v>3</v>
      </c>
      <c r="C4" s="2" t="s">
        <v>4</v>
      </c>
      <c r="D4" s="2" t="s">
        <v>5</v>
      </c>
    </row>
    <row r="5" spans="1:4">
      <c r="A5" s="3">
        <v>1</v>
      </c>
      <c r="B5" s="4">
        <v>11077.4190243356</v>
      </c>
      <c r="C5" s="3">
        <v>2</v>
      </c>
      <c r="D5" s="3">
        <v>1</v>
      </c>
    </row>
    <row r="6" spans="1:4">
      <c r="A6" s="3">
        <v>2</v>
      </c>
      <c r="B6" s="4">
        <v>9535.82885146363</v>
      </c>
      <c r="C6" s="3">
        <v>2</v>
      </c>
      <c r="D6" s="3">
        <v>1</v>
      </c>
    </row>
    <row r="7" spans="1:4">
      <c r="A7" s="3">
        <v>3</v>
      </c>
      <c r="B7" s="4">
        <v>10047.3721772553</v>
      </c>
      <c r="C7" s="3">
        <v>3</v>
      </c>
      <c r="D7" s="3">
        <v>1</v>
      </c>
    </row>
    <row r="8" spans="1:4">
      <c r="A8" s="3">
        <v>4</v>
      </c>
      <c r="B8" s="4">
        <v>10234.5248655682</v>
      </c>
      <c r="C8" s="3">
        <v>2</v>
      </c>
      <c r="D8" s="3">
        <v>1</v>
      </c>
    </row>
    <row r="9" spans="1:4">
      <c r="A9" s="3">
        <v>5</v>
      </c>
      <c r="B9" s="4">
        <v>7931.59537562528</v>
      </c>
      <c r="C9" s="3">
        <v>3</v>
      </c>
      <c r="D9" s="3">
        <v>1</v>
      </c>
    </row>
    <row r="10" spans="1:4">
      <c r="A10" s="3">
        <v>6</v>
      </c>
      <c r="B10" s="4">
        <v>8928.1257519108</v>
      </c>
      <c r="C10" s="3">
        <v>2</v>
      </c>
      <c r="D10" s="3">
        <v>1</v>
      </c>
    </row>
    <row r="11" spans="1:4">
      <c r="A11" s="3">
        <v>7</v>
      </c>
      <c r="B11" s="4">
        <v>7038.80499547258</v>
      </c>
      <c r="C11" s="3">
        <v>2</v>
      </c>
      <c r="D11" s="3">
        <v>1</v>
      </c>
    </row>
    <row r="12" spans="1:4">
      <c r="A12" s="3">
        <v>8</v>
      </c>
      <c r="B12" s="4">
        <v>12092.9508363574</v>
      </c>
      <c r="C12" s="3">
        <v>3</v>
      </c>
      <c r="D12" s="3">
        <v>1</v>
      </c>
    </row>
    <row r="13" spans="1:4">
      <c r="A13" s="3">
        <v>9</v>
      </c>
      <c r="B13" s="4">
        <v>5871.0822728254</v>
      </c>
      <c r="C13" s="3">
        <v>2</v>
      </c>
      <c r="D13" s="3">
        <v>2</v>
      </c>
    </row>
    <row r="14" spans="1:4">
      <c r="A14" s="3">
        <v>10</v>
      </c>
      <c r="B14" s="4">
        <v>6600.7890652238</v>
      </c>
      <c r="C14" s="3">
        <v>3</v>
      </c>
      <c r="D14" s="3">
        <v>2</v>
      </c>
    </row>
    <row r="15" spans="1:4">
      <c r="A15" s="3">
        <v>11</v>
      </c>
      <c r="B15" s="4">
        <v>5237.60139236809</v>
      </c>
      <c r="C15" s="3">
        <v>2</v>
      </c>
      <c r="D15" s="3">
        <v>2</v>
      </c>
    </row>
    <row r="16" spans="1:4">
      <c r="A16" s="3">
        <v>12</v>
      </c>
      <c r="B16" s="4">
        <v>8170.53700199114</v>
      </c>
      <c r="C16" s="3">
        <v>3</v>
      </c>
      <c r="D16" s="3">
        <v>2</v>
      </c>
    </row>
    <row r="17" spans="1:4">
      <c r="A17" s="3">
        <v>13</v>
      </c>
      <c r="B17" s="4">
        <v>6130.56663398945</v>
      </c>
      <c r="C17" s="3">
        <v>2</v>
      </c>
      <c r="D17" s="3">
        <v>2</v>
      </c>
    </row>
    <row r="18" spans="1:4">
      <c r="A18" s="3">
        <v>14</v>
      </c>
      <c r="B18" s="4">
        <v>4719.5094031728</v>
      </c>
      <c r="C18" s="3">
        <v>1</v>
      </c>
      <c r="D18" s="3">
        <v>2</v>
      </c>
    </row>
    <row r="19" spans="1:4">
      <c r="A19" s="3">
        <v>15</v>
      </c>
      <c r="B19" s="4">
        <v>6174.22418779187</v>
      </c>
      <c r="C19" s="3">
        <v>2</v>
      </c>
      <c r="D19" s="3">
        <v>2</v>
      </c>
    </row>
    <row r="20" spans="1:4">
      <c r="A20" s="3">
        <v>16</v>
      </c>
      <c r="B20" s="4">
        <v>4584.42637143935</v>
      </c>
      <c r="C20" s="3">
        <v>1</v>
      </c>
      <c r="D20" s="3">
        <v>2</v>
      </c>
    </row>
    <row r="21" spans="1:4">
      <c r="A21" s="3">
        <v>17</v>
      </c>
      <c r="B21" s="4">
        <v>5835.62643328331</v>
      </c>
      <c r="C21" s="3">
        <v>3</v>
      </c>
      <c r="D21" s="3">
        <v>3</v>
      </c>
    </row>
    <row r="22" spans="1:4">
      <c r="A22" s="3">
        <v>18</v>
      </c>
      <c r="B22" s="4">
        <v>6172.72944966707</v>
      </c>
      <c r="C22" s="3">
        <v>2</v>
      </c>
      <c r="D22" s="3">
        <v>3</v>
      </c>
    </row>
    <row r="23" spans="1:4">
      <c r="A23" s="3">
        <v>19</v>
      </c>
      <c r="B23" s="4">
        <v>3928.21370740098</v>
      </c>
      <c r="C23" s="3">
        <v>2</v>
      </c>
      <c r="D23" s="3">
        <v>3</v>
      </c>
    </row>
    <row r="24" spans="1:4">
      <c r="A24" s="3">
        <v>20</v>
      </c>
      <c r="B24" s="4">
        <v>5036.79667675366</v>
      </c>
      <c r="C24" s="3">
        <v>3</v>
      </c>
      <c r="D24" s="3">
        <v>3</v>
      </c>
    </row>
    <row r="25" spans="1:4">
      <c r="A25" s="3">
        <v>21</v>
      </c>
      <c r="B25" s="4">
        <v>8082.0562493367</v>
      </c>
      <c r="C25" s="3">
        <v>3</v>
      </c>
      <c r="D25" s="3">
        <v>3</v>
      </c>
    </row>
    <row r="26" spans="1:4">
      <c r="A26" s="3">
        <v>22</v>
      </c>
      <c r="B26" s="4">
        <v>5204.11476353646</v>
      </c>
      <c r="C26" s="3">
        <v>3</v>
      </c>
      <c r="D26" s="3">
        <v>3</v>
      </c>
    </row>
    <row r="27" spans="1:4">
      <c r="A27" s="3">
        <v>23</v>
      </c>
      <c r="B27" s="4">
        <v>4539.66268205041</v>
      </c>
      <c r="C27" s="3">
        <v>1</v>
      </c>
      <c r="D27" s="3">
        <v>3</v>
      </c>
    </row>
    <row r="28" spans="1:4">
      <c r="A28" s="3">
        <v>24</v>
      </c>
      <c r="B28" s="4">
        <v>5067.66846260848</v>
      </c>
      <c r="C28" s="3">
        <v>3</v>
      </c>
      <c r="D28" s="3">
        <v>3</v>
      </c>
    </row>
    <row r="29" spans="1:4">
      <c r="A29" s="3">
        <v>25</v>
      </c>
      <c r="B29" s="4">
        <v>3014.18531615978</v>
      </c>
      <c r="C29" s="3">
        <v>1</v>
      </c>
      <c r="D29" s="3">
        <v>4</v>
      </c>
    </row>
    <row r="30" spans="1:4">
      <c r="A30" s="3">
        <v>26</v>
      </c>
      <c r="B30" s="4">
        <v>5311.22679106052</v>
      </c>
      <c r="C30" s="3">
        <v>2</v>
      </c>
      <c r="D30" s="3">
        <v>4</v>
      </c>
    </row>
    <row r="31" spans="1:4">
      <c r="A31" s="3">
        <v>27</v>
      </c>
      <c r="B31" s="4">
        <v>6447.94213711042</v>
      </c>
      <c r="C31" s="3">
        <v>2</v>
      </c>
      <c r="D31" s="3">
        <v>4</v>
      </c>
    </row>
    <row r="32" spans="1:4">
      <c r="A32" s="3">
        <v>28</v>
      </c>
      <c r="B32" s="4">
        <v>5169.05619651398</v>
      </c>
      <c r="C32" s="3">
        <v>2</v>
      </c>
      <c r="D32" s="3">
        <v>4</v>
      </c>
    </row>
    <row r="33" spans="1:4">
      <c r="A33" s="3">
        <v>29</v>
      </c>
      <c r="B33" s="4">
        <v>4521.63885465612</v>
      </c>
      <c r="C33" s="3">
        <v>2</v>
      </c>
      <c r="D33" s="3">
        <v>4</v>
      </c>
    </row>
    <row r="34" spans="1:4">
      <c r="A34" s="3">
        <v>30</v>
      </c>
      <c r="B34" s="4">
        <v>4394.60799000347</v>
      </c>
      <c r="C34" s="3">
        <v>2</v>
      </c>
      <c r="D34" s="3">
        <v>4</v>
      </c>
    </row>
    <row r="35" spans="1:4">
      <c r="A35" s="3">
        <v>31</v>
      </c>
      <c r="B35" s="4">
        <v>3578.90514020252</v>
      </c>
      <c r="C35" s="3">
        <v>3</v>
      </c>
      <c r="D35" s="3">
        <v>4</v>
      </c>
    </row>
    <row r="36" spans="1:4">
      <c r="A36" s="3">
        <v>32</v>
      </c>
      <c r="B36" s="4">
        <v>2616.95690639123</v>
      </c>
      <c r="C36" s="3">
        <v>1</v>
      </c>
      <c r="D36" s="3">
        <v>4</v>
      </c>
    </row>
    <row r="37" spans="1:4">
      <c r="A37" s="3">
        <v>33</v>
      </c>
      <c r="B37" s="4">
        <v>2419.72381137112</v>
      </c>
      <c r="C37" s="3">
        <v>1</v>
      </c>
      <c r="D37" s="3">
        <v>5</v>
      </c>
    </row>
    <row r="38" spans="1:4">
      <c r="A38" s="3">
        <v>34</v>
      </c>
      <c r="B38" s="4">
        <v>6580.79972312537</v>
      </c>
      <c r="C38" s="3">
        <v>3</v>
      </c>
      <c r="D38" s="3">
        <v>5</v>
      </c>
    </row>
    <row r="39" spans="1:4">
      <c r="A39" s="3">
        <v>35</v>
      </c>
      <c r="B39" s="4">
        <v>4954.48516641975</v>
      </c>
      <c r="C39" s="3">
        <v>2</v>
      </c>
      <c r="D39" s="3">
        <v>5</v>
      </c>
    </row>
    <row r="40" spans="1:4">
      <c r="A40" s="3">
        <v>36</v>
      </c>
      <c r="B40" s="4">
        <v>2546.42842273709</v>
      </c>
      <c r="C40" s="3">
        <v>1</v>
      </c>
      <c r="D40" s="3">
        <v>5</v>
      </c>
    </row>
    <row r="41" spans="1:4">
      <c r="A41" s="3">
        <v>37</v>
      </c>
      <c r="B41" s="4">
        <v>4197.94445448494</v>
      </c>
      <c r="C41" s="3">
        <v>2</v>
      </c>
      <c r="D41" s="3">
        <v>5</v>
      </c>
    </row>
    <row r="42" spans="1:4">
      <c r="A42" s="3">
        <v>38</v>
      </c>
      <c r="B42" s="4">
        <v>3917.24923720593</v>
      </c>
      <c r="C42" s="3">
        <v>1</v>
      </c>
      <c r="D42" s="3">
        <v>5</v>
      </c>
    </row>
    <row r="43" spans="1:4">
      <c r="A43" s="3">
        <v>39</v>
      </c>
      <c r="B43" s="4">
        <v>6302.02032435355</v>
      </c>
      <c r="C43" s="3">
        <v>2</v>
      </c>
      <c r="D43" s="3">
        <v>5</v>
      </c>
    </row>
    <row r="44" spans="1:4">
      <c r="A44" s="3">
        <v>40</v>
      </c>
      <c r="B44" s="4">
        <v>6922.02929398989</v>
      </c>
      <c r="C44" s="3">
        <v>3</v>
      </c>
      <c r="D44" s="3">
        <v>5</v>
      </c>
    </row>
    <row r="45" spans="1:4">
      <c r="A45" s="3">
        <v>41</v>
      </c>
      <c r="B45" s="4">
        <v>5368.33208515419</v>
      </c>
      <c r="C45" s="3">
        <v>2</v>
      </c>
      <c r="D45" s="3">
        <v>6</v>
      </c>
    </row>
    <row r="46" spans="1:4">
      <c r="A46" s="3">
        <v>42</v>
      </c>
      <c r="B46" s="4">
        <v>3612.47019436703</v>
      </c>
      <c r="C46" s="3">
        <v>1</v>
      </c>
      <c r="D46" s="3">
        <v>6</v>
      </c>
    </row>
    <row r="47" spans="1:4">
      <c r="A47" s="3">
        <v>43</v>
      </c>
      <c r="B47" s="4">
        <v>5343.45246834677</v>
      </c>
      <c r="C47" s="3">
        <v>3</v>
      </c>
      <c r="D47" s="3">
        <v>6</v>
      </c>
    </row>
    <row r="48" spans="1:4">
      <c r="A48" s="3">
        <v>44</v>
      </c>
      <c r="B48" s="4">
        <v>7822.56505020534</v>
      </c>
      <c r="C48" s="3">
        <v>3</v>
      </c>
      <c r="D48" s="3">
        <v>6</v>
      </c>
    </row>
    <row r="49" spans="1:4">
      <c r="A49" s="3">
        <v>45</v>
      </c>
      <c r="B49" s="4">
        <v>4094.36950847591</v>
      </c>
      <c r="C49" s="3">
        <v>2</v>
      </c>
      <c r="D49" s="3">
        <v>6</v>
      </c>
    </row>
    <row r="50" spans="1:4">
      <c r="A50" s="3">
        <v>46</v>
      </c>
      <c r="B50" s="4">
        <v>5754.89243701934</v>
      </c>
      <c r="C50" s="3">
        <v>3</v>
      </c>
      <c r="D50" s="3">
        <v>6</v>
      </c>
    </row>
    <row r="51" spans="1:4">
      <c r="A51" s="3">
        <v>47</v>
      </c>
      <c r="B51" s="4">
        <v>4462.8046910072</v>
      </c>
      <c r="C51" s="3">
        <v>2</v>
      </c>
      <c r="D51" s="3">
        <v>6</v>
      </c>
    </row>
    <row r="52" spans="1:4">
      <c r="A52" s="3">
        <v>48</v>
      </c>
      <c r="B52" s="4">
        <v>3694.62978609145</v>
      </c>
      <c r="C52" s="3">
        <v>1</v>
      </c>
      <c r="D52" s="3">
        <v>6</v>
      </c>
    </row>
    <row r="53" spans="1:4">
      <c r="A53" s="3">
        <v>49</v>
      </c>
      <c r="B53" s="4">
        <v>4274.14946360834</v>
      </c>
      <c r="C53" s="3">
        <v>1</v>
      </c>
      <c r="D53" s="3">
        <v>7</v>
      </c>
    </row>
    <row r="54" spans="1:4">
      <c r="A54" s="3">
        <v>50</v>
      </c>
      <c r="B54" s="4">
        <v>4977.98222680516</v>
      </c>
      <c r="C54" s="3">
        <v>3</v>
      </c>
      <c r="D54" s="3">
        <v>7</v>
      </c>
    </row>
    <row r="55" spans="1:4">
      <c r="A55" s="3">
        <v>51</v>
      </c>
      <c r="B55" s="4">
        <v>5258.77362763056</v>
      </c>
      <c r="C55" s="3">
        <v>3</v>
      </c>
      <c r="D55" s="3">
        <v>7</v>
      </c>
    </row>
    <row r="56" spans="1:4">
      <c r="A56" s="3">
        <v>52</v>
      </c>
      <c r="B56" s="4">
        <v>3515.77077337432</v>
      </c>
      <c r="C56" s="3">
        <v>1</v>
      </c>
      <c r="D56" s="3">
        <v>7</v>
      </c>
    </row>
    <row r="57" spans="1:4">
      <c r="A57" s="3">
        <v>53</v>
      </c>
      <c r="B57" s="4">
        <v>4654.11597963456</v>
      </c>
      <c r="C57" s="3">
        <v>3</v>
      </c>
      <c r="D57" s="3">
        <v>7</v>
      </c>
    </row>
    <row r="58" spans="1:4">
      <c r="A58" s="3">
        <v>54</v>
      </c>
      <c r="B58" s="4">
        <v>5533.85377498079</v>
      </c>
      <c r="C58" s="3">
        <v>3</v>
      </c>
      <c r="D58" s="3">
        <v>7</v>
      </c>
    </row>
    <row r="59" spans="1:4">
      <c r="A59" s="3">
        <v>55</v>
      </c>
      <c r="B59" s="4">
        <v>5490.57040005913</v>
      </c>
      <c r="C59" s="3">
        <v>3</v>
      </c>
      <c r="D59" s="3">
        <v>7</v>
      </c>
    </row>
    <row r="60" spans="1:4">
      <c r="A60" s="3">
        <v>56</v>
      </c>
      <c r="B60" s="4">
        <v>4776.51923657869</v>
      </c>
      <c r="C60" s="3">
        <v>2</v>
      </c>
      <c r="D60" s="3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A1" sqref="A1"/>
    </sheetView>
  </sheetViews>
  <sheetFormatPr defaultColWidth="9" defaultRowHeight="14.6" outlineLevelCol="6"/>
  <cols>
    <col min="1" max="1" width="22" customWidth="1"/>
    <col min="2" max="3" width="12" customWidth="1"/>
    <col min="4" max="4" width="22" customWidth="1"/>
    <col min="5" max="6" width="12" customWidth="1"/>
  </cols>
  <sheetData>
    <row r="1" ht="64.5" spans="1:1">
      <c r="A1" s="1" t="s">
        <v>6</v>
      </c>
    </row>
    <row r="2" ht="43.9" spans="1:1">
      <c r="A2" s="6" t="s">
        <v>7</v>
      </c>
    </row>
    <row r="4" ht="43.9" spans="1:1">
      <c r="A4" s="5" t="s">
        <v>8</v>
      </c>
    </row>
    <row r="5" ht="14.65" spans="1:7">
      <c r="A5" s="25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ht="14.65" spans="1:7">
      <c r="A6" s="2" t="s">
        <v>10</v>
      </c>
      <c r="B6" s="9">
        <v>1</v>
      </c>
      <c r="C6" s="9">
        <v>0.469</v>
      </c>
      <c r="D6" s="9">
        <v>0.3068</v>
      </c>
      <c r="E6" s="9">
        <v>0.3911</v>
      </c>
      <c r="F6" s="9">
        <v>0.0957</v>
      </c>
      <c r="G6" s="9">
        <v>-0.5816</v>
      </c>
    </row>
    <row r="7" ht="14.65" spans="1:7">
      <c r="A7" s="2" t="s">
        <v>11</v>
      </c>
      <c r="B7" s="9">
        <v>0.469</v>
      </c>
      <c r="C7" s="9">
        <v>1</v>
      </c>
      <c r="D7" s="9">
        <v>0.1348</v>
      </c>
      <c r="E7" s="9">
        <v>-0.0791</v>
      </c>
      <c r="F7" s="9">
        <v>-0.0427</v>
      </c>
      <c r="G7" s="9">
        <v>-0.0357</v>
      </c>
    </row>
    <row r="8" ht="14.65" spans="1:7">
      <c r="A8" s="2" t="s">
        <v>12</v>
      </c>
      <c r="B8" s="9">
        <v>0.3068</v>
      </c>
      <c r="C8" s="9">
        <v>0.1348</v>
      </c>
      <c r="D8" s="9">
        <v>1</v>
      </c>
      <c r="E8" s="9">
        <v>-0.2334</v>
      </c>
      <c r="F8" s="9">
        <v>0.006</v>
      </c>
      <c r="G8" s="9">
        <v>-0.0847</v>
      </c>
    </row>
    <row r="9" ht="14.65" spans="1:7">
      <c r="A9" s="2" t="s">
        <v>13</v>
      </c>
      <c r="B9" s="9">
        <v>0.3911</v>
      </c>
      <c r="C9" s="9">
        <v>-0.0791</v>
      </c>
      <c r="D9" s="9">
        <v>-0.2334</v>
      </c>
      <c r="E9" s="9">
        <v>1</v>
      </c>
      <c r="F9" s="9">
        <v>-0.0723</v>
      </c>
      <c r="G9" s="9">
        <v>-0.0715</v>
      </c>
    </row>
    <row r="10" ht="14.65" spans="1:7">
      <c r="A10" s="2" t="s">
        <v>14</v>
      </c>
      <c r="B10" s="9">
        <v>0.0957</v>
      </c>
      <c r="C10" s="9">
        <v>-0.0427</v>
      </c>
      <c r="D10" s="9">
        <v>0.006</v>
      </c>
      <c r="E10" s="9">
        <v>-0.0723</v>
      </c>
      <c r="F10" s="9">
        <v>1</v>
      </c>
      <c r="G10" s="9">
        <v>-0.0474</v>
      </c>
    </row>
    <row r="11" ht="14.65" spans="1:7">
      <c r="A11" s="2" t="s">
        <v>15</v>
      </c>
      <c r="B11" s="9">
        <v>-0.5816</v>
      </c>
      <c r="C11" s="9">
        <v>-0.0357</v>
      </c>
      <c r="D11" s="9">
        <v>-0.0847</v>
      </c>
      <c r="E11" s="9">
        <v>-0.0715</v>
      </c>
      <c r="F11" s="9">
        <v>-0.0474</v>
      </c>
      <c r="G11" s="9">
        <v>1</v>
      </c>
    </row>
    <row r="13" ht="29.25" spans="1:1">
      <c r="A13" s="5" t="s">
        <v>16</v>
      </c>
    </row>
    <row r="14" ht="14.65" spans="1:4">
      <c r="A14" s="2" t="s">
        <v>17</v>
      </c>
      <c r="B14" s="2" t="s">
        <v>18</v>
      </c>
      <c r="C14" s="2" t="s">
        <v>19</v>
      </c>
      <c r="D14" s="2" t="s">
        <v>20</v>
      </c>
    </row>
    <row r="15" ht="14.65" spans="1:4">
      <c r="A15" s="6" t="s">
        <v>21</v>
      </c>
      <c r="B15" s="9">
        <v>0.469</v>
      </c>
      <c r="C15" s="9">
        <v>0.469</v>
      </c>
      <c r="D15" s="11" t="s">
        <v>22</v>
      </c>
    </row>
    <row r="16" ht="14.65" spans="1:4">
      <c r="A16" s="6" t="s">
        <v>23</v>
      </c>
      <c r="B16" s="9">
        <v>0.3068</v>
      </c>
      <c r="C16" s="9">
        <v>0.3068</v>
      </c>
      <c r="D16" s="3" t="s">
        <v>24</v>
      </c>
    </row>
    <row r="17" ht="14.65" spans="1:4">
      <c r="A17" s="6" t="s">
        <v>25</v>
      </c>
      <c r="B17" s="9">
        <v>0.3911</v>
      </c>
      <c r="C17" s="9">
        <v>0.3911</v>
      </c>
      <c r="D17" s="3" t="s">
        <v>24</v>
      </c>
    </row>
    <row r="18" ht="14.65" spans="1:4">
      <c r="A18" s="6" t="s">
        <v>26</v>
      </c>
      <c r="B18" s="9">
        <v>0.0957</v>
      </c>
      <c r="C18" s="9">
        <v>0.0957</v>
      </c>
      <c r="D18" s="3" t="s">
        <v>24</v>
      </c>
    </row>
    <row r="19" ht="14.65" spans="1:4">
      <c r="A19" s="6" t="s">
        <v>27</v>
      </c>
      <c r="B19" s="9">
        <v>-0.5816</v>
      </c>
      <c r="C19" s="9">
        <v>0.5816</v>
      </c>
      <c r="D19" s="11" t="s">
        <v>22</v>
      </c>
    </row>
    <row r="21" ht="29.25" spans="1:1">
      <c r="A21" s="5" t="s">
        <v>28</v>
      </c>
    </row>
    <row r="22" ht="14.65" spans="1:4">
      <c r="A22" s="25" t="s">
        <v>9</v>
      </c>
      <c r="B22" s="2" t="s">
        <v>10</v>
      </c>
      <c r="C22" s="2" t="s">
        <v>11</v>
      </c>
      <c r="D22" s="2" t="s">
        <v>15</v>
      </c>
    </row>
    <row r="23" ht="14.65" spans="1:4">
      <c r="A23" s="2" t="s">
        <v>10</v>
      </c>
      <c r="B23" s="9">
        <v>1</v>
      </c>
      <c r="C23" s="9">
        <v>0.469</v>
      </c>
      <c r="D23" s="9">
        <v>-0.5816</v>
      </c>
    </row>
    <row r="24" ht="14.65" spans="1:4">
      <c r="A24" s="2" t="s">
        <v>11</v>
      </c>
      <c r="B24" s="9">
        <v>0.469</v>
      </c>
      <c r="C24" s="9">
        <v>1</v>
      </c>
      <c r="D24" s="9">
        <v>-0.0357</v>
      </c>
    </row>
    <row r="25" ht="14.65" spans="1:4">
      <c r="A25" s="2" t="s">
        <v>15</v>
      </c>
      <c r="B25" s="9">
        <v>-0.5816</v>
      </c>
      <c r="C25" s="9">
        <v>-0.0357</v>
      </c>
      <c r="D25" s="9">
        <v>1</v>
      </c>
    </row>
    <row r="27" spans="1:5">
      <c r="A27" s="12" t="s">
        <v>29</v>
      </c>
      <c r="B27" s="13"/>
      <c r="C27" s="13"/>
      <c r="D27" s="13"/>
      <c r="E27" s="14"/>
    </row>
    <row r="28" spans="1:5">
      <c r="A28" s="17"/>
      <c r="B28" s="18"/>
      <c r="C28" s="18"/>
      <c r="D28" s="18"/>
      <c r="E28" s="19"/>
    </row>
  </sheetData>
  <mergeCells count="1">
    <mergeCell ref="A27:E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9"/>
  <sheetViews>
    <sheetView tabSelected="1" workbookViewId="0">
      <selection activeCell="F2" sqref="F2"/>
    </sheetView>
  </sheetViews>
  <sheetFormatPr defaultColWidth="9" defaultRowHeight="14.6" outlineLevelCol="6"/>
  <cols>
    <col min="1" max="1" width="22" customWidth="1"/>
    <col min="2" max="5" width="14" customWidth="1"/>
    <col min="6" max="6" width="24" customWidth="1"/>
    <col min="7" max="7" width="16" customWidth="1"/>
  </cols>
  <sheetData>
    <row r="1" ht="64.5" spans="1:1">
      <c r="A1" s="1" t="s">
        <v>30</v>
      </c>
    </row>
    <row r="2" ht="58.5" spans="1:1">
      <c r="A2" s="6" t="s">
        <v>31</v>
      </c>
    </row>
    <row r="4" ht="14.65" spans="1:7">
      <c r="A4" s="2" t="s">
        <v>32</v>
      </c>
      <c r="B4" s="2" t="s">
        <v>10</v>
      </c>
      <c r="C4" s="2" t="s">
        <v>11</v>
      </c>
      <c r="D4" s="2" t="s">
        <v>15</v>
      </c>
      <c r="E4" s="2" t="s">
        <v>33</v>
      </c>
      <c r="F4" s="2" t="s">
        <v>34</v>
      </c>
      <c r="G4" s="2" t="s">
        <v>35</v>
      </c>
    </row>
    <row r="5" spans="1:7">
      <c r="A5" s="3">
        <v>1</v>
      </c>
      <c r="B5" s="4">
        <v>11077.4190243356</v>
      </c>
      <c r="C5" s="3">
        <v>2</v>
      </c>
      <c r="D5" s="3">
        <v>1</v>
      </c>
      <c r="E5" s="4">
        <v>7279.8081</v>
      </c>
      <c r="F5" s="4">
        <v>3797.611</v>
      </c>
      <c r="G5" s="7">
        <v>14421848.9301</v>
      </c>
    </row>
    <row r="6" spans="1:7">
      <c r="A6" s="3">
        <v>2</v>
      </c>
      <c r="B6" s="4">
        <v>9535.82885146363</v>
      </c>
      <c r="C6" s="3">
        <v>2</v>
      </c>
      <c r="D6" s="3">
        <v>1</v>
      </c>
      <c r="E6" s="4">
        <v>7279.8081</v>
      </c>
      <c r="F6" s="4">
        <v>2256.0208</v>
      </c>
      <c r="G6" s="7">
        <v>5089629.7483</v>
      </c>
    </row>
    <row r="7" spans="1:7">
      <c r="A7" s="3">
        <v>3</v>
      </c>
      <c r="B7" s="4">
        <v>10047.3721772553</v>
      </c>
      <c r="C7" s="3">
        <v>3</v>
      </c>
      <c r="D7" s="3">
        <v>1</v>
      </c>
      <c r="E7" s="4">
        <v>8527.5318</v>
      </c>
      <c r="F7" s="4">
        <v>1519.8404</v>
      </c>
      <c r="G7" s="7">
        <v>2309914.8848</v>
      </c>
    </row>
    <row r="8" spans="1:7">
      <c r="A8" s="3">
        <v>4</v>
      </c>
      <c r="B8" s="4">
        <v>10234.5248655682</v>
      </c>
      <c r="C8" s="3">
        <v>2</v>
      </c>
      <c r="D8" s="3">
        <v>1</v>
      </c>
      <c r="E8" s="4">
        <v>7279.8081</v>
      </c>
      <c r="F8" s="4">
        <v>2954.7168</v>
      </c>
      <c r="G8" s="7">
        <v>8730351.3183</v>
      </c>
    </row>
    <row r="9" spans="1:7">
      <c r="A9" s="3">
        <v>5</v>
      </c>
      <c r="B9" s="4">
        <v>7931.59537562528</v>
      </c>
      <c r="C9" s="3">
        <v>3</v>
      </c>
      <c r="D9" s="3">
        <v>1</v>
      </c>
      <c r="E9" s="4">
        <v>8527.5318</v>
      </c>
      <c r="F9" s="4">
        <v>-595.9364</v>
      </c>
      <c r="G9" s="7">
        <v>355140.1778</v>
      </c>
    </row>
    <row r="10" spans="1:7">
      <c r="A10" s="3">
        <v>6</v>
      </c>
      <c r="B10" s="4">
        <v>8928.1257519108</v>
      </c>
      <c r="C10" s="3">
        <v>2</v>
      </c>
      <c r="D10" s="3">
        <v>1</v>
      </c>
      <c r="E10" s="4">
        <v>7279.8081</v>
      </c>
      <c r="F10" s="4">
        <v>1648.3177</v>
      </c>
      <c r="G10" s="7">
        <v>2716951.1673</v>
      </c>
    </row>
    <row r="11" spans="1:7">
      <c r="A11" s="3">
        <v>7</v>
      </c>
      <c r="B11" s="4">
        <v>7038.80499547258</v>
      </c>
      <c r="C11" s="3">
        <v>2</v>
      </c>
      <c r="D11" s="3">
        <v>1</v>
      </c>
      <c r="E11" s="4">
        <v>7279.8081</v>
      </c>
      <c r="F11" s="4">
        <v>-241.0031</v>
      </c>
      <c r="G11" s="7">
        <v>58082.4839</v>
      </c>
    </row>
    <row r="12" spans="1:7">
      <c r="A12" s="3">
        <v>8</v>
      </c>
      <c r="B12" s="4">
        <v>12092.9508363574</v>
      </c>
      <c r="C12" s="3">
        <v>3</v>
      </c>
      <c r="D12" s="3">
        <v>1</v>
      </c>
      <c r="E12" s="4">
        <v>8527.5318</v>
      </c>
      <c r="F12" s="4">
        <v>3565.4191</v>
      </c>
      <c r="G12" s="7">
        <v>12712213.1688</v>
      </c>
    </row>
    <row r="13" spans="1:7">
      <c r="A13" s="3">
        <v>9</v>
      </c>
      <c r="B13" s="4">
        <v>5871.0822728254</v>
      </c>
      <c r="C13" s="3">
        <v>2</v>
      </c>
      <c r="D13" s="3">
        <v>2</v>
      </c>
      <c r="E13" s="4">
        <v>6689.7718</v>
      </c>
      <c r="F13" s="4">
        <v>-818.6896</v>
      </c>
      <c r="G13" s="7">
        <v>670252.6081</v>
      </c>
    </row>
    <row r="14" spans="1:7">
      <c r="A14" s="3">
        <v>10</v>
      </c>
      <c r="B14" s="4">
        <v>6600.7890652238</v>
      </c>
      <c r="C14" s="3">
        <v>3</v>
      </c>
      <c r="D14" s="3">
        <v>2</v>
      </c>
      <c r="E14" s="4">
        <v>7937.4955</v>
      </c>
      <c r="F14" s="4">
        <v>-1336.7065</v>
      </c>
      <c r="G14" s="7">
        <v>1786784.1713</v>
      </c>
    </row>
    <row r="15" spans="1:7">
      <c r="A15" s="3">
        <v>11</v>
      </c>
      <c r="B15" s="4">
        <v>5237.60139236809</v>
      </c>
      <c r="C15" s="3">
        <v>2</v>
      </c>
      <c r="D15" s="3">
        <v>2</v>
      </c>
      <c r="E15" s="4">
        <v>6689.7718</v>
      </c>
      <c r="F15" s="4">
        <v>-1452.1704</v>
      </c>
      <c r="G15" s="7">
        <v>2108799.0102</v>
      </c>
    </row>
    <row r="16" spans="1:7">
      <c r="A16" s="3">
        <v>12</v>
      </c>
      <c r="B16" s="4">
        <v>8170.53700199114</v>
      </c>
      <c r="C16" s="3">
        <v>3</v>
      </c>
      <c r="D16" s="3">
        <v>2</v>
      </c>
      <c r="E16" s="4">
        <v>7937.4955</v>
      </c>
      <c r="F16" s="4">
        <v>233.0415</v>
      </c>
      <c r="G16" s="7">
        <v>54308.328</v>
      </c>
    </row>
    <row r="17" spans="1:7">
      <c r="A17" s="3">
        <v>13</v>
      </c>
      <c r="B17" s="4">
        <v>6130.56663398945</v>
      </c>
      <c r="C17" s="3">
        <v>2</v>
      </c>
      <c r="D17" s="3">
        <v>2</v>
      </c>
      <c r="E17" s="4">
        <v>6689.7718</v>
      </c>
      <c r="F17" s="4">
        <v>-559.2052</v>
      </c>
      <c r="G17" s="7">
        <v>312710.4629</v>
      </c>
    </row>
    <row r="18" spans="1:7">
      <c r="A18" s="3">
        <v>14</v>
      </c>
      <c r="B18" s="4">
        <v>4719.5094031728</v>
      </c>
      <c r="C18" s="3">
        <v>1</v>
      </c>
      <c r="D18" s="3">
        <v>2</v>
      </c>
      <c r="E18" s="4">
        <v>5442.0482</v>
      </c>
      <c r="F18" s="4">
        <v>-722.5387</v>
      </c>
      <c r="G18" s="7">
        <v>522062.2427</v>
      </c>
    </row>
    <row r="19" spans="1:7">
      <c r="A19" s="3">
        <v>15</v>
      </c>
      <c r="B19" s="4">
        <v>6174.22418779187</v>
      </c>
      <c r="C19" s="3">
        <v>2</v>
      </c>
      <c r="D19" s="3">
        <v>2</v>
      </c>
      <c r="E19" s="4">
        <v>6689.7718</v>
      </c>
      <c r="F19" s="4">
        <v>-515.5477</v>
      </c>
      <c r="G19" s="7">
        <v>265789.3821</v>
      </c>
    </row>
    <row r="20" spans="1:7">
      <c r="A20" s="3">
        <v>16</v>
      </c>
      <c r="B20" s="4">
        <v>4584.42637143935</v>
      </c>
      <c r="C20" s="3">
        <v>1</v>
      </c>
      <c r="D20" s="3">
        <v>2</v>
      </c>
      <c r="E20" s="4">
        <v>5442.0482</v>
      </c>
      <c r="F20" s="4">
        <v>-857.6218</v>
      </c>
      <c r="G20" s="7">
        <v>735515.1175</v>
      </c>
    </row>
    <row r="21" spans="1:7">
      <c r="A21" s="3">
        <v>17</v>
      </c>
      <c r="B21" s="4">
        <v>5835.62643328331</v>
      </c>
      <c r="C21" s="3">
        <v>3</v>
      </c>
      <c r="D21" s="3">
        <v>3</v>
      </c>
      <c r="E21" s="4">
        <v>7347.4593</v>
      </c>
      <c r="F21" s="4">
        <v>-1511.8329</v>
      </c>
      <c r="G21" s="7">
        <v>2285638.6041</v>
      </c>
    </row>
    <row r="22" spans="1:7">
      <c r="A22" s="3">
        <v>18</v>
      </c>
      <c r="B22" s="4">
        <v>6172.72944966707</v>
      </c>
      <c r="C22" s="3">
        <v>2</v>
      </c>
      <c r="D22" s="3">
        <v>3</v>
      </c>
      <c r="E22" s="4">
        <v>6099.7356</v>
      </c>
      <c r="F22" s="4">
        <v>72.9938</v>
      </c>
      <c r="G22" s="7">
        <v>5328.1011</v>
      </c>
    </row>
    <row r="23" spans="1:7">
      <c r="A23" s="3">
        <v>19</v>
      </c>
      <c r="B23" s="4">
        <v>3928.21370740098</v>
      </c>
      <c r="C23" s="3">
        <v>2</v>
      </c>
      <c r="D23" s="3">
        <v>3</v>
      </c>
      <c r="E23" s="4">
        <v>6099.7356</v>
      </c>
      <c r="F23" s="4">
        <v>-2171.5219</v>
      </c>
      <c r="G23" s="7">
        <v>4715507.3596</v>
      </c>
    </row>
    <row r="24" spans="1:7">
      <c r="A24" s="3">
        <v>20</v>
      </c>
      <c r="B24" s="4">
        <v>5036.79667675366</v>
      </c>
      <c r="C24" s="3">
        <v>3</v>
      </c>
      <c r="D24" s="3">
        <v>3</v>
      </c>
      <c r="E24" s="4">
        <v>7347.4593</v>
      </c>
      <c r="F24" s="4">
        <v>-2310.6626</v>
      </c>
      <c r="G24" s="7">
        <v>5339161.739</v>
      </c>
    </row>
    <row r="25" spans="1:7">
      <c r="A25" s="3">
        <v>21</v>
      </c>
      <c r="B25" s="4">
        <v>8082.0562493367</v>
      </c>
      <c r="C25" s="3">
        <v>3</v>
      </c>
      <c r="D25" s="3">
        <v>3</v>
      </c>
      <c r="E25" s="4">
        <v>7347.4593</v>
      </c>
      <c r="F25" s="4">
        <v>734.597</v>
      </c>
      <c r="G25" s="7">
        <v>539632.6842</v>
      </c>
    </row>
    <row r="26" spans="1:7">
      <c r="A26" s="3">
        <v>22</v>
      </c>
      <c r="B26" s="4">
        <v>5204.11476353646</v>
      </c>
      <c r="C26" s="3">
        <v>3</v>
      </c>
      <c r="D26" s="3">
        <v>3</v>
      </c>
      <c r="E26" s="4">
        <v>7347.4593</v>
      </c>
      <c r="F26" s="4">
        <v>-2143.3445</v>
      </c>
      <c r="G26" s="7">
        <v>4593925.7839</v>
      </c>
    </row>
    <row r="27" spans="1:7">
      <c r="A27" s="3">
        <v>23</v>
      </c>
      <c r="B27" s="4">
        <v>4539.66268205041</v>
      </c>
      <c r="C27" s="3">
        <v>1</v>
      </c>
      <c r="D27" s="3">
        <v>3</v>
      </c>
      <c r="E27" s="4">
        <v>4852.0119</v>
      </c>
      <c r="F27" s="4">
        <v>-312.3492</v>
      </c>
      <c r="G27" s="7">
        <v>97562.0451</v>
      </c>
    </row>
    <row r="28" spans="1:7">
      <c r="A28" s="3">
        <v>24</v>
      </c>
      <c r="B28" s="4">
        <v>5067.66846260848</v>
      </c>
      <c r="C28" s="3">
        <v>3</v>
      </c>
      <c r="D28" s="3">
        <v>3</v>
      </c>
      <c r="E28" s="4">
        <v>7347.4593</v>
      </c>
      <c r="F28" s="4">
        <v>-2279.7908</v>
      </c>
      <c r="G28" s="7">
        <v>5197446.2431</v>
      </c>
    </row>
    <row r="29" spans="1:7">
      <c r="A29" s="3">
        <v>25</v>
      </c>
      <c r="B29" s="4">
        <v>3014.18531615978</v>
      </c>
      <c r="C29" s="3">
        <v>1</v>
      </c>
      <c r="D29" s="3">
        <v>4</v>
      </c>
      <c r="E29" s="4">
        <v>4261.9757</v>
      </c>
      <c r="F29" s="4">
        <v>-1247.7904</v>
      </c>
      <c r="G29" s="7">
        <v>1556980.8026</v>
      </c>
    </row>
    <row r="30" spans="1:7">
      <c r="A30" s="3">
        <v>26</v>
      </c>
      <c r="B30" s="4">
        <v>5311.22679106052</v>
      </c>
      <c r="C30" s="3">
        <v>2</v>
      </c>
      <c r="D30" s="3">
        <v>4</v>
      </c>
      <c r="E30" s="4">
        <v>5509.6994</v>
      </c>
      <c r="F30" s="4">
        <v>-198.4726</v>
      </c>
      <c r="G30" s="7">
        <v>39391.3659</v>
      </c>
    </row>
    <row r="31" spans="1:7">
      <c r="A31" s="3">
        <v>27</v>
      </c>
      <c r="B31" s="4">
        <v>6447.94213711042</v>
      </c>
      <c r="C31" s="3">
        <v>2</v>
      </c>
      <c r="D31" s="3">
        <v>4</v>
      </c>
      <c r="E31" s="4">
        <v>5509.6994</v>
      </c>
      <c r="F31" s="4">
        <v>938.2428</v>
      </c>
      <c r="G31" s="7">
        <v>880299.484</v>
      </c>
    </row>
    <row r="32" spans="1:7">
      <c r="A32" s="3">
        <v>28</v>
      </c>
      <c r="B32" s="4">
        <v>5169.05619651398</v>
      </c>
      <c r="C32" s="3">
        <v>2</v>
      </c>
      <c r="D32" s="3">
        <v>4</v>
      </c>
      <c r="E32" s="4">
        <v>5509.6994</v>
      </c>
      <c r="F32" s="4">
        <v>-340.6432</v>
      </c>
      <c r="G32" s="7">
        <v>116037.7738</v>
      </c>
    </row>
    <row r="33" spans="1:7">
      <c r="A33" s="3">
        <v>29</v>
      </c>
      <c r="B33" s="4">
        <v>4521.63885465612</v>
      </c>
      <c r="C33" s="3">
        <v>2</v>
      </c>
      <c r="D33" s="3">
        <v>4</v>
      </c>
      <c r="E33" s="4">
        <v>5509.6994</v>
      </c>
      <c r="F33" s="4">
        <v>-988.0605</v>
      </c>
      <c r="G33" s="7">
        <v>976263.5883</v>
      </c>
    </row>
    <row r="34" spans="1:7">
      <c r="A34" s="3">
        <v>30</v>
      </c>
      <c r="B34" s="4">
        <v>4394.60799000347</v>
      </c>
      <c r="C34" s="3">
        <v>2</v>
      </c>
      <c r="D34" s="3">
        <v>4</v>
      </c>
      <c r="E34" s="4">
        <v>5509.6994</v>
      </c>
      <c r="F34" s="4">
        <v>-1115.0914</v>
      </c>
      <c r="G34" s="7">
        <v>1243428.7929</v>
      </c>
    </row>
    <row r="35" spans="1:7">
      <c r="A35" s="3">
        <v>31</v>
      </c>
      <c r="B35" s="4">
        <v>3578.90514020252</v>
      </c>
      <c r="C35" s="3">
        <v>3</v>
      </c>
      <c r="D35" s="3">
        <v>4</v>
      </c>
      <c r="E35" s="4">
        <v>6757.4231</v>
      </c>
      <c r="F35" s="4">
        <v>-3178.5179</v>
      </c>
      <c r="G35" s="7">
        <v>10102976.1804</v>
      </c>
    </row>
    <row r="36" spans="1:7">
      <c r="A36" s="3">
        <v>32</v>
      </c>
      <c r="B36" s="4">
        <v>2616.95690639123</v>
      </c>
      <c r="C36" s="3">
        <v>1</v>
      </c>
      <c r="D36" s="3">
        <v>4</v>
      </c>
      <c r="E36" s="4">
        <v>4261.9757</v>
      </c>
      <c r="F36" s="4">
        <v>-1645.0188</v>
      </c>
      <c r="G36" s="7">
        <v>2706086.7794</v>
      </c>
    </row>
    <row r="37" spans="1:7">
      <c r="A37" s="3">
        <v>33</v>
      </c>
      <c r="B37" s="4">
        <v>2419.72381137112</v>
      </c>
      <c r="C37" s="3">
        <v>1</v>
      </c>
      <c r="D37" s="3">
        <v>5</v>
      </c>
      <c r="E37" s="4">
        <v>3671.9395</v>
      </c>
      <c r="F37" s="4">
        <v>-1252.2156</v>
      </c>
      <c r="G37" s="7">
        <v>1568044.0072</v>
      </c>
    </row>
    <row r="38" spans="1:7">
      <c r="A38" s="3">
        <v>34</v>
      </c>
      <c r="B38" s="4">
        <v>6580.79972312537</v>
      </c>
      <c r="C38" s="3">
        <v>3</v>
      </c>
      <c r="D38" s="3">
        <v>5</v>
      </c>
      <c r="E38" s="4">
        <v>6167.3868</v>
      </c>
      <c r="F38" s="4">
        <v>413.4129</v>
      </c>
      <c r="G38" s="7">
        <v>170910.2214</v>
      </c>
    </row>
    <row r="39" spans="1:7">
      <c r="A39" s="3">
        <v>35</v>
      </c>
      <c r="B39" s="4">
        <v>4954.48516641975</v>
      </c>
      <c r="C39" s="3">
        <v>2</v>
      </c>
      <c r="D39" s="3">
        <v>5</v>
      </c>
      <c r="E39" s="4">
        <v>4919.6631</v>
      </c>
      <c r="F39" s="4">
        <v>34.822</v>
      </c>
      <c r="G39" s="7">
        <v>1212.5736</v>
      </c>
    </row>
    <row r="40" spans="1:7">
      <c r="A40" s="3">
        <v>36</v>
      </c>
      <c r="B40" s="4">
        <v>2546.42842273709</v>
      </c>
      <c r="C40" s="3">
        <v>1</v>
      </c>
      <c r="D40" s="3">
        <v>5</v>
      </c>
      <c r="E40" s="4">
        <v>3671.9395</v>
      </c>
      <c r="F40" s="4">
        <v>-1125.511</v>
      </c>
      <c r="G40" s="7">
        <v>1266775.0739</v>
      </c>
    </row>
    <row r="41" spans="1:7">
      <c r="A41" s="3">
        <v>37</v>
      </c>
      <c r="B41" s="4">
        <v>4197.94445448494</v>
      </c>
      <c r="C41" s="3">
        <v>2</v>
      </c>
      <c r="D41" s="3">
        <v>5</v>
      </c>
      <c r="E41" s="4">
        <v>4919.6631</v>
      </c>
      <c r="F41" s="4">
        <v>-721.7187</v>
      </c>
      <c r="G41" s="7">
        <v>520877.8605</v>
      </c>
    </row>
    <row r="42" spans="1:7">
      <c r="A42" s="3">
        <v>38</v>
      </c>
      <c r="B42" s="4">
        <v>3917.24923720593</v>
      </c>
      <c r="C42" s="3">
        <v>1</v>
      </c>
      <c r="D42" s="3">
        <v>5</v>
      </c>
      <c r="E42" s="4">
        <v>3671.9395</v>
      </c>
      <c r="F42" s="4">
        <v>245.3098</v>
      </c>
      <c r="G42" s="7">
        <v>60176.8914</v>
      </c>
    </row>
    <row r="43" spans="1:7">
      <c r="A43" s="3">
        <v>39</v>
      </c>
      <c r="B43" s="4">
        <v>6302.02032435355</v>
      </c>
      <c r="C43" s="3">
        <v>2</v>
      </c>
      <c r="D43" s="3">
        <v>5</v>
      </c>
      <c r="E43" s="4">
        <v>4919.6631</v>
      </c>
      <c r="F43" s="4">
        <v>1382.3572</v>
      </c>
      <c r="G43" s="7">
        <v>1910911.3862</v>
      </c>
    </row>
    <row r="44" spans="1:7">
      <c r="A44" s="3">
        <v>40</v>
      </c>
      <c r="B44" s="4">
        <v>6922.02929398989</v>
      </c>
      <c r="C44" s="3">
        <v>3</v>
      </c>
      <c r="D44" s="3">
        <v>5</v>
      </c>
      <c r="E44" s="4">
        <v>6167.3868</v>
      </c>
      <c r="F44" s="4">
        <v>754.6425</v>
      </c>
      <c r="G44" s="7">
        <v>569485.2506</v>
      </c>
    </row>
    <row r="45" spans="1:7">
      <c r="A45" s="3">
        <v>41</v>
      </c>
      <c r="B45" s="4">
        <v>5368.33208515419</v>
      </c>
      <c r="C45" s="3">
        <v>2</v>
      </c>
      <c r="D45" s="3">
        <v>6</v>
      </c>
      <c r="E45" s="4">
        <v>4329.6269</v>
      </c>
      <c r="F45" s="4">
        <v>1038.7052</v>
      </c>
      <c r="G45" s="7">
        <v>1078908.4492</v>
      </c>
    </row>
    <row r="46" spans="1:7">
      <c r="A46" s="3">
        <v>42</v>
      </c>
      <c r="B46" s="4">
        <v>3612.47019436703</v>
      </c>
      <c r="C46" s="3">
        <v>1</v>
      </c>
      <c r="D46" s="3">
        <v>6</v>
      </c>
      <c r="E46" s="4">
        <v>3081.9032</v>
      </c>
      <c r="F46" s="4">
        <v>530.567</v>
      </c>
      <c r="G46" s="7">
        <v>281501.3174</v>
      </c>
    </row>
    <row r="47" spans="1:7">
      <c r="A47" s="3">
        <v>43</v>
      </c>
      <c r="B47" s="4">
        <v>5343.45246834677</v>
      </c>
      <c r="C47" s="3">
        <v>3</v>
      </c>
      <c r="D47" s="3">
        <v>6</v>
      </c>
      <c r="E47" s="4">
        <v>5577.3506</v>
      </c>
      <c r="F47" s="4">
        <v>-233.8981</v>
      </c>
      <c r="G47" s="7">
        <v>54708.3336</v>
      </c>
    </row>
    <row r="48" spans="1:7">
      <c r="A48" s="3">
        <v>44</v>
      </c>
      <c r="B48" s="4">
        <v>7822.56505020534</v>
      </c>
      <c r="C48" s="3">
        <v>3</v>
      </c>
      <c r="D48" s="3">
        <v>6</v>
      </c>
      <c r="E48" s="4">
        <v>5577.3506</v>
      </c>
      <c r="F48" s="4">
        <v>2245.2145</v>
      </c>
      <c r="G48" s="7">
        <v>5040987.9499</v>
      </c>
    </row>
    <row r="49" spans="1:7">
      <c r="A49" s="3">
        <v>45</v>
      </c>
      <c r="B49" s="4">
        <v>4094.36950847591</v>
      </c>
      <c r="C49" s="3">
        <v>2</v>
      </c>
      <c r="D49" s="3">
        <v>6</v>
      </c>
      <c r="E49" s="4">
        <v>4329.6269</v>
      </c>
      <c r="F49" s="4">
        <v>-235.2574</v>
      </c>
      <c r="G49" s="7">
        <v>55346.0431</v>
      </c>
    </row>
    <row r="50" spans="1:7">
      <c r="A50" s="3">
        <v>46</v>
      </c>
      <c r="B50" s="4">
        <v>5754.89243701934</v>
      </c>
      <c r="C50" s="3">
        <v>3</v>
      </c>
      <c r="D50" s="3">
        <v>6</v>
      </c>
      <c r="E50" s="4">
        <v>5577.3506</v>
      </c>
      <c r="F50" s="4">
        <v>177.5418</v>
      </c>
      <c r="G50" s="7">
        <v>31521.1057</v>
      </c>
    </row>
    <row r="51" spans="1:7">
      <c r="A51" s="3">
        <v>47</v>
      </c>
      <c r="B51" s="4">
        <v>4462.8046910072</v>
      </c>
      <c r="C51" s="3">
        <v>2</v>
      </c>
      <c r="D51" s="3">
        <v>6</v>
      </c>
      <c r="E51" s="4">
        <v>4329.6269</v>
      </c>
      <c r="F51" s="4">
        <v>133.1778</v>
      </c>
      <c r="G51" s="7">
        <v>17736.3224</v>
      </c>
    </row>
    <row r="52" spans="1:7">
      <c r="A52" s="3">
        <v>48</v>
      </c>
      <c r="B52" s="4">
        <v>3694.62978609145</v>
      </c>
      <c r="C52" s="3">
        <v>1</v>
      </c>
      <c r="D52" s="3">
        <v>6</v>
      </c>
      <c r="E52" s="4">
        <v>3081.9032</v>
      </c>
      <c r="F52" s="4">
        <v>612.7266</v>
      </c>
      <c r="G52" s="7">
        <v>375433.8484</v>
      </c>
    </row>
    <row r="53" spans="1:7">
      <c r="A53" s="3">
        <v>49</v>
      </c>
      <c r="B53" s="4">
        <v>4274.14946360834</v>
      </c>
      <c r="C53" s="3">
        <v>1</v>
      </c>
      <c r="D53" s="3">
        <v>7</v>
      </c>
      <c r="E53" s="4">
        <v>2491.867</v>
      </c>
      <c r="F53" s="4">
        <v>1782.2825</v>
      </c>
      <c r="G53" s="7">
        <v>3176530.8391</v>
      </c>
    </row>
    <row r="54" spans="1:7">
      <c r="A54" s="3">
        <v>50</v>
      </c>
      <c r="B54" s="4">
        <v>4977.98222680516</v>
      </c>
      <c r="C54" s="3">
        <v>3</v>
      </c>
      <c r="D54" s="3">
        <v>7</v>
      </c>
      <c r="E54" s="4">
        <v>4987.3144</v>
      </c>
      <c r="F54" s="4">
        <v>-9.3321</v>
      </c>
      <c r="G54" s="7">
        <v>87.0887</v>
      </c>
    </row>
    <row r="55" spans="1:7">
      <c r="A55" s="3">
        <v>51</v>
      </c>
      <c r="B55" s="4">
        <v>5258.77362763056</v>
      </c>
      <c r="C55" s="3">
        <v>3</v>
      </c>
      <c r="D55" s="3">
        <v>7</v>
      </c>
      <c r="E55" s="4">
        <v>4987.3144</v>
      </c>
      <c r="F55" s="4">
        <v>271.4593</v>
      </c>
      <c r="G55" s="7">
        <v>73690.1332</v>
      </c>
    </row>
    <row r="56" spans="1:7">
      <c r="A56" s="3">
        <v>52</v>
      </c>
      <c r="B56" s="4">
        <v>3515.77077337432</v>
      </c>
      <c r="C56" s="3">
        <v>1</v>
      </c>
      <c r="D56" s="3">
        <v>7</v>
      </c>
      <c r="E56" s="4">
        <v>2491.867</v>
      </c>
      <c r="F56" s="4">
        <v>1023.9038</v>
      </c>
      <c r="G56" s="7">
        <v>1048378.9711</v>
      </c>
    </row>
    <row r="57" spans="1:7">
      <c r="A57" s="3">
        <v>53</v>
      </c>
      <c r="B57" s="4">
        <v>4654.11597963456</v>
      </c>
      <c r="C57" s="3">
        <v>3</v>
      </c>
      <c r="D57" s="3">
        <v>7</v>
      </c>
      <c r="E57" s="4">
        <v>4987.3144</v>
      </c>
      <c r="F57" s="4">
        <v>-333.1984</v>
      </c>
      <c r="G57" s="7">
        <v>111021.1616</v>
      </c>
    </row>
    <row r="58" spans="1:7">
      <c r="A58" s="3">
        <v>54</v>
      </c>
      <c r="B58" s="4">
        <v>5533.85377498079</v>
      </c>
      <c r="C58" s="3">
        <v>3</v>
      </c>
      <c r="D58" s="3">
        <v>7</v>
      </c>
      <c r="E58" s="4">
        <v>4987.3144</v>
      </c>
      <c r="F58" s="4">
        <v>546.5394</v>
      </c>
      <c r="G58" s="7">
        <v>298705.3306</v>
      </c>
    </row>
    <row r="59" spans="1:7">
      <c r="A59" s="3">
        <v>55</v>
      </c>
      <c r="B59" s="4">
        <v>5490.57040005913</v>
      </c>
      <c r="C59" s="3">
        <v>3</v>
      </c>
      <c r="D59" s="3">
        <v>7</v>
      </c>
      <c r="E59" s="4">
        <v>4987.3144</v>
      </c>
      <c r="F59" s="4">
        <v>503.256</v>
      </c>
      <c r="G59" s="7">
        <v>253266.6405</v>
      </c>
    </row>
    <row r="60" spans="1:7">
      <c r="A60" s="3">
        <v>56</v>
      </c>
      <c r="B60" s="4">
        <v>4776.51923657869</v>
      </c>
      <c r="C60" s="3">
        <v>2</v>
      </c>
      <c r="D60" s="3">
        <v>7</v>
      </c>
      <c r="E60" s="4">
        <v>3739.5907</v>
      </c>
      <c r="F60" s="4">
        <v>1036.9286</v>
      </c>
      <c r="G60" s="7">
        <v>1075220.8472</v>
      </c>
    </row>
    <row r="61" ht="14.65" spans="1:7">
      <c r="A61" s="20" t="s">
        <v>36</v>
      </c>
      <c r="B61" s="21">
        <v>319772.6781</v>
      </c>
      <c r="C61" s="21">
        <v>121</v>
      </c>
      <c r="D61" s="21">
        <v>224</v>
      </c>
      <c r="E61" s="21">
        <v>319772.6781</v>
      </c>
      <c r="F61" s="21">
        <v>0</v>
      </c>
      <c r="G61" s="21">
        <v>112287458.176</v>
      </c>
    </row>
    <row r="62" ht="14.65" spans="1:7">
      <c r="A62" s="20" t="s">
        <v>37</v>
      </c>
      <c r="B62" s="22">
        <v>5710.226395</v>
      </c>
      <c r="C62" s="22">
        <v>2.160714</v>
      </c>
      <c r="D62" s="22">
        <v>4</v>
      </c>
      <c r="E62" s="22">
        <v>5710.226395</v>
      </c>
      <c r="F62" s="22">
        <v>0</v>
      </c>
      <c r="G62" s="22">
        <v>2005133.181714</v>
      </c>
    </row>
    <row r="64" ht="14.65" spans="1:1">
      <c r="A64" s="5" t="s">
        <v>38</v>
      </c>
    </row>
    <row r="65" ht="14.65" spans="1:4">
      <c r="A65" s="23" t="s">
        <v>9</v>
      </c>
      <c r="B65" s="2" t="s">
        <v>39</v>
      </c>
      <c r="C65" s="2" t="s">
        <v>11</v>
      </c>
      <c r="D65" s="2" t="s">
        <v>15</v>
      </c>
    </row>
    <row r="66" ht="14.65" spans="1:4">
      <c r="A66" s="2" t="s">
        <v>40</v>
      </c>
      <c r="B66" s="24">
        <v>0.2448723</v>
      </c>
      <c r="C66" s="24">
        <v>-0.07026491</v>
      </c>
      <c r="D66" s="24">
        <v>-0.01879819</v>
      </c>
    </row>
    <row r="67" ht="14.65" spans="1:4">
      <c r="A67" s="2" t="s">
        <v>11</v>
      </c>
      <c r="B67" s="24">
        <v>-0.07026491</v>
      </c>
      <c r="C67" s="24">
        <v>0.03173254</v>
      </c>
      <c r="D67" s="24">
        <v>0.00042499</v>
      </c>
    </row>
    <row r="68" ht="14.65" spans="1:4">
      <c r="A68" s="2" t="s">
        <v>15</v>
      </c>
      <c r="B68" s="24">
        <v>-0.01879819</v>
      </c>
      <c r="C68" s="24">
        <v>0.00042499</v>
      </c>
      <c r="D68" s="24">
        <v>0.00446998</v>
      </c>
    </row>
    <row r="70" ht="43.9" spans="1:1">
      <c r="A70" s="5" t="s">
        <v>41</v>
      </c>
    </row>
    <row r="71" ht="29.25" spans="1:4">
      <c r="A71" s="2" t="s">
        <v>42</v>
      </c>
      <c r="B71" s="2" t="s">
        <v>43</v>
      </c>
      <c r="C71" s="2" t="s">
        <v>44</v>
      </c>
      <c r="D71" s="2" t="s">
        <v>45</v>
      </c>
    </row>
    <row r="72" ht="14.65" spans="1:4">
      <c r="A72" s="6" t="s">
        <v>46</v>
      </c>
      <c r="B72" s="8">
        <v>5374.39693</v>
      </c>
      <c r="C72" s="8">
        <v>720.273641</v>
      </c>
      <c r="D72" s="8">
        <v>7.461604</v>
      </c>
    </row>
    <row r="73" ht="14.65" spans="1:4">
      <c r="A73" s="6" t="s">
        <v>47</v>
      </c>
      <c r="B73" s="8">
        <v>1247.723689</v>
      </c>
      <c r="C73" s="8">
        <v>259.286621</v>
      </c>
      <c r="D73" s="8">
        <v>4.812141</v>
      </c>
    </row>
    <row r="74" ht="14.65" spans="1:4">
      <c r="A74" s="6" t="s">
        <v>48</v>
      </c>
      <c r="B74" s="8">
        <v>-590.036234</v>
      </c>
      <c r="C74" s="8">
        <v>97.315129</v>
      </c>
      <c r="D74" s="8">
        <v>-6.06315</v>
      </c>
    </row>
    <row r="75" ht="73.15" spans="1:1">
      <c r="A75" s="6" t="s">
        <v>49</v>
      </c>
    </row>
    <row r="77" ht="73.15" spans="1:1">
      <c r="A77" s="5" t="s">
        <v>50</v>
      </c>
    </row>
    <row r="78" ht="14.65" spans="1:6">
      <c r="A78" s="2" t="s">
        <v>51</v>
      </c>
      <c r="B78" s="2" t="s">
        <v>52</v>
      </c>
      <c r="C78" s="2" t="s">
        <v>53</v>
      </c>
      <c r="D78" s="2" t="s">
        <v>54</v>
      </c>
      <c r="E78" s="2" t="s">
        <v>55</v>
      </c>
      <c r="F78" s="2" t="s">
        <v>56</v>
      </c>
    </row>
    <row r="79" ht="14.65" spans="1:6">
      <c r="A79" s="10">
        <v>0.9</v>
      </c>
      <c r="B79" s="8">
        <v>1.29773</v>
      </c>
      <c r="C79" s="9">
        <v>7.4616</v>
      </c>
      <c r="D79" s="9">
        <v>4.8121</v>
      </c>
      <c r="E79" s="9">
        <v>6.0632</v>
      </c>
      <c r="F79" s="11" t="s">
        <v>57</v>
      </c>
    </row>
    <row r="80" ht="14.65" spans="1:6">
      <c r="A80" s="10">
        <v>0.95</v>
      </c>
      <c r="B80" s="8">
        <v>1.674116</v>
      </c>
      <c r="C80" s="9">
        <v>7.4616</v>
      </c>
      <c r="D80" s="9">
        <v>4.8121</v>
      </c>
      <c r="E80" s="9">
        <v>6.0632</v>
      </c>
      <c r="F80" s="11" t="s">
        <v>57</v>
      </c>
    </row>
    <row r="81" ht="14.65" spans="1:6">
      <c r="A81" s="10">
        <v>0.99</v>
      </c>
      <c r="B81" s="8">
        <v>2.39879</v>
      </c>
      <c r="C81" s="9">
        <v>7.4616</v>
      </c>
      <c r="D81" s="9">
        <v>4.8121</v>
      </c>
      <c r="E81" s="9">
        <v>6.0632</v>
      </c>
      <c r="F81" s="11" t="s">
        <v>57</v>
      </c>
    </row>
    <row r="82" ht="73.15" spans="1:1">
      <c r="A82" s="5" t="s">
        <v>58</v>
      </c>
    </row>
    <row r="83" ht="14.65" spans="1:5">
      <c r="A83" s="2" t="s">
        <v>51</v>
      </c>
      <c r="B83" s="2" t="s">
        <v>59</v>
      </c>
      <c r="C83" s="2" t="s">
        <v>60</v>
      </c>
      <c r="D83" s="2" t="s">
        <v>61</v>
      </c>
      <c r="E83" s="2" t="s">
        <v>62</v>
      </c>
    </row>
    <row r="84" ht="14.65" spans="1:5">
      <c r="A84" s="10">
        <v>0.9</v>
      </c>
      <c r="B84" s="3" t="s">
        <v>63</v>
      </c>
      <c r="C84" s="7">
        <v>4439.6763</v>
      </c>
      <c r="D84" s="7">
        <v>911.2397</v>
      </c>
      <c r="E84" s="7">
        <v>-716.325</v>
      </c>
    </row>
    <row r="85" ht="14.65" spans="1:5">
      <c r="A85" s="10">
        <v>0.9</v>
      </c>
      <c r="B85" s="3" t="s">
        <v>64</v>
      </c>
      <c r="C85" s="7">
        <v>6309.1175</v>
      </c>
      <c r="D85" s="7">
        <v>1584.2077</v>
      </c>
      <c r="E85" s="7">
        <v>-463.7475</v>
      </c>
    </row>
    <row r="86" ht="14.65" spans="1:5">
      <c r="A86" s="10">
        <v>0.95</v>
      </c>
      <c r="B86" s="3" t="s">
        <v>63</v>
      </c>
      <c r="C86" s="7">
        <v>4168.5751</v>
      </c>
      <c r="D86" s="7">
        <v>813.6477</v>
      </c>
      <c r="E86" s="7">
        <v>-752.9531</v>
      </c>
    </row>
    <row r="87" ht="14.65" spans="1:5">
      <c r="A87" s="10">
        <v>0.95</v>
      </c>
      <c r="B87" s="3" t="s">
        <v>64</v>
      </c>
      <c r="C87" s="7">
        <v>6580.2187</v>
      </c>
      <c r="D87" s="7">
        <v>1681.7996</v>
      </c>
      <c r="E87" s="7">
        <v>-427.1194</v>
      </c>
    </row>
    <row r="88" ht="14.65" spans="1:5">
      <c r="A88" s="10">
        <v>0.99</v>
      </c>
      <c r="B88" s="3" t="s">
        <v>63</v>
      </c>
      <c r="C88" s="7">
        <v>3646.6118</v>
      </c>
      <c r="D88" s="7">
        <v>625.7496</v>
      </c>
      <c r="E88" s="7">
        <v>-823.4748</v>
      </c>
    </row>
    <row r="89" ht="14.65" spans="1:5">
      <c r="A89" s="10">
        <v>0.99</v>
      </c>
      <c r="B89" s="3" t="s">
        <v>64</v>
      </c>
      <c r="C89" s="7">
        <v>7102.182</v>
      </c>
      <c r="D89" s="7">
        <v>1869.6978</v>
      </c>
      <c r="E89" s="7">
        <v>-356.5977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A1" sqref="A1"/>
    </sheetView>
  </sheetViews>
  <sheetFormatPr defaultColWidth="9" defaultRowHeight="14.6" outlineLevelCol="3"/>
  <cols>
    <col min="1" max="1" width="34" customWidth="1"/>
    <col min="2" max="2" width="16" customWidth="1"/>
    <col min="3" max="3" width="24" customWidth="1"/>
    <col min="4" max="4" width="44" customWidth="1"/>
  </cols>
  <sheetData>
    <row r="1" ht="32.25" spans="1:1">
      <c r="A1" s="1" t="s">
        <v>65</v>
      </c>
    </row>
    <row r="3" ht="14.65" spans="1:1">
      <c r="A3" s="5" t="s">
        <v>66</v>
      </c>
    </row>
    <row r="4" ht="14.65" spans="1:3">
      <c r="A4" s="2" t="s">
        <v>67</v>
      </c>
      <c r="B4" s="2" t="s">
        <v>68</v>
      </c>
      <c r="C4" s="2" t="s">
        <v>69</v>
      </c>
    </row>
    <row r="5" ht="14.65" spans="1:3">
      <c r="A5" s="6" t="s">
        <v>70</v>
      </c>
      <c r="B5" s="7">
        <v>243811703.35</v>
      </c>
      <c r="C5" s="3" t="s">
        <v>71</v>
      </c>
    </row>
    <row r="6" ht="14.65" spans="1:3">
      <c r="A6" s="6" t="s">
        <v>72</v>
      </c>
      <c r="B6" s="7">
        <v>131524245.1741</v>
      </c>
      <c r="C6" s="3" t="s">
        <v>73</v>
      </c>
    </row>
    <row r="7" ht="14.65" spans="1:3">
      <c r="A7" s="6" t="s">
        <v>74</v>
      </c>
      <c r="B7" s="7">
        <v>112287458.176</v>
      </c>
      <c r="C7" s="3" t="s">
        <v>75</v>
      </c>
    </row>
    <row r="8" ht="14.65" spans="1:3">
      <c r="A8" s="6" t="s">
        <v>76</v>
      </c>
      <c r="B8" s="7">
        <v>2118631.2863</v>
      </c>
      <c r="C8" s="3" t="s">
        <v>77</v>
      </c>
    </row>
    <row r="10" ht="14.65" spans="1:1">
      <c r="A10" s="5" t="s">
        <v>78</v>
      </c>
    </row>
    <row r="11" ht="14.65" spans="1:3">
      <c r="A11" s="2" t="s">
        <v>67</v>
      </c>
      <c r="B11" s="2" t="s">
        <v>68</v>
      </c>
      <c r="C11" s="2" t="s">
        <v>79</v>
      </c>
    </row>
    <row r="12" ht="29.25" spans="1:3">
      <c r="A12" s="6" t="s">
        <v>80</v>
      </c>
      <c r="B12" s="8">
        <v>0.53945</v>
      </c>
      <c r="C12" s="6" t="s">
        <v>81</v>
      </c>
    </row>
    <row r="13" ht="14.65" spans="1:3">
      <c r="A13" s="6" t="s">
        <v>82</v>
      </c>
      <c r="B13" s="8">
        <v>0.522071</v>
      </c>
      <c r="C13" s="6" t="s">
        <v>83</v>
      </c>
    </row>
    <row r="14" ht="29.25" spans="1:3">
      <c r="A14" s="6" t="s">
        <v>84</v>
      </c>
      <c r="B14" s="8">
        <v>0.734473</v>
      </c>
      <c r="C14" s="6" t="s">
        <v>85</v>
      </c>
    </row>
    <row r="16" ht="29.25" spans="1:1">
      <c r="A16" s="5" t="s">
        <v>86</v>
      </c>
    </row>
    <row r="17" ht="14.65" spans="1:4">
      <c r="A17" s="2" t="s">
        <v>51</v>
      </c>
      <c r="B17" s="2" t="s">
        <v>87</v>
      </c>
      <c r="C17" s="2" t="s">
        <v>88</v>
      </c>
      <c r="D17" s="2" t="s">
        <v>56</v>
      </c>
    </row>
    <row r="18" ht="14.65" spans="1:4">
      <c r="A18" s="3" t="s">
        <v>89</v>
      </c>
      <c r="B18" s="3" t="s">
        <v>89</v>
      </c>
      <c r="C18" s="9">
        <v>31.0399</v>
      </c>
      <c r="D18" s="3" t="s">
        <v>90</v>
      </c>
    </row>
    <row r="19" ht="14.65" spans="1:4">
      <c r="A19" s="10">
        <v>0.9</v>
      </c>
      <c r="B19" s="8">
        <v>2.405582</v>
      </c>
      <c r="C19" s="9">
        <v>31.0399</v>
      </c>
      <c r="D19" s="11" t="s">
        <v>91</v>
      </c>
    </row>
    <row r="20" ht="14.65" spans="1:4">
      <c r="A20" s="10">
        <v>0.95</v>
      </c>
      <c r="B20" s="8">
        <v>3.171626</v>
      </c>
      <c r="C20" s="9">
        <v>31.0399</v>
      </c>
      <c r="D20" s="11" t="s">
        <v>91</v>
      </c>
    </row>
    <row r="21" ht="14.65" spans="1:4">
      <c r="A21" s="10">
        <v>0.99</v>
      </c>
      <c r="B21" s="8">
        <v>5.029535</v>
      </c>
      <c r="C21" s="9">
        <v>31.0399</v>
      </c>
      <c r="D21" s="11" t="s">
        <v>91</v>
      </c>
    </row>
    <row r="23" ht="29.25" spans="1:1">
      <c r="A23" s="5" t="s">
        <v>92</v>
      </c>
    </row>
    <row r="24" ht="14.65" spans="1:4">
      <c r="A24" s="2" t="s">
        <v>67</v>
      </c>
      <c r="B24" s="2" t="s">
        <v>68</v>
      </c>
      <c r="C24" s="2" t="s">
        <v>93</v>
      </c>
      <c r="D24" s="2" t="s">
        <v>56</v>
      </c>
    </row>
    <row r="25" ht="14.65" spans="1:3">
      <c r="A25" s="6" t="s">
        <v>94</v>
      </c>
      <c r="B25" s="7">
        <v>0.457</v>
      </c>
      <c r="C25" s="3">
        <v>0</v>
      </c>
    </row>
    <row r="26" ht="14.65" spans="1:3">
      <c r="A26" s="6" t="s">
        <v>95</v>
      </c>
      <c r="B26" s="7">
        <v>0.5305</v>
      </c>
      <c r="C26" s="3">
        <v>0</v>
      </c>
    </row>
    <row r="27" ht="14.65" spans="1:3">
      <c r="A27" s="6" t="s">
        <v>96</v>
      </c>
      <c r="B27" s="8">
        <v>0</v>
      </c>
      <c r="C27" s="3">
        <v>0</v>
      </c>
    </row>
    <row r="28" ht="14.65" spans="1:4">
      <c r="A28" s="6" t="s">
        <v>97</v>
      </c>
      <c r="B28" s="7">
        <v>2.6058</v>
      </c>
      <c r="C28" s="3" t="s">
        <v>98</v>
      </c>
      <c r="D28" s="11" t="s">
        <v>99</v>
      </c>
    </row>
    <row r="29" ht="14.65" spans="1:4">
      <c r="A29" s="6" t="s">
        <v>100</v>
      </c>
      <c r="B29" s="7">
        <v>0.2717</v>
      </c>
      <c r="C29" s="3" t="s">
        <v>101</v>
      </c>
      <c r="D29" s="11" t="s">
        <v>102</v>
      </c>
    </row>
    <row r="31" ht="14.65" spans="1:1">
      <c r="A31" s="5" t="s">
        <v>103</v>
      </c>
    </row>
    <row r="32" spans="1:4">
      <c r="A32" s="12" t="s">
        <v>104</v>
      </c>
      <c r="B32" s="13"/>
      <c r="C32" s="13"/>
      <c r="D32" s="14"/>
    </row>
    <row r="33" spans="1:4">
      <c r="A33" s="15"/>
      <c r="D33" s="16"/>
    </row>
    <row r="34" spans="1:4">
      <c r="A34" s="15"/>
      <c r="D34" s="16"/>
    </row>
    <row r="35" spans="1:4">
      <c r="A35" s="15"/>
      <c r="D35" s="16"/>
    </row>
    <row r="36" spans="1:4">
      <c r="A36" s="15"/>
      <c r="D36" s="16"/>
    </row>
    <row r="37" spans="1:4">
      <c r="A37" s="17"/>
      <c r="B37" s="18"/>
      <c r="C37" s="18"/>
      <c r="D37" s="19"/>
    </row>
  </sheetData>
  <mergeCells count="1">
    <mergeCell ref="A32:D3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workbookViewId="0">
      <selection activeCell="A1" sqref="A1"/>
    </sheetView>
  </sheetViews>
  <sheetFormatPr defaultColWidth="9" defaultRowHeight="14.6" outlineLevelCol="3"/>
  <cols>
    <col min="1" max="1" width="6" customWidth="1"/>
    <col min="2" max="4" width="13" customWidth="1"/>
  </cols>
  <sheetData>
    <row r="1" ht="161.25" spans="1:1">
      <c r="A1" s="1" t="s">
        <v>105</v>
      </c>
    </row>
    <row r="3" ht="14.65" spans="1:4">
      <c r="A3" s="2" t="s">
        <v>32</v>
      </c>
      <c r="B3" s="2" t="s">
        <v>106</v>
      </c>
      <c r="C3" s="2" t="s">
        <v>107</v>
      </c>
      <c r="D3" s="2" t="s">
        <v>34</v>
      </c>
    </row>
    <row r="4" spans="1:4">
      <c r="A4" s="3">
        <v>1</v>
      </c>
      <c r="B4" s="4">
        <v>11077.42</v>
      </c>
      <c r="C4" s="4">
        <v>7279.81</v>
      </c>
      <c r="D4" s="4">
        <v>3797.61</v>
      </c>
    </row>
    <row r="5" spans="1:4">
      <c r="A5" s="3">
        <v>2</v>
      </c>
      <c r="B5" s="4">
        <v>9535.83</v>
      </c>
      <c r="C5" s="4">
        <v>7279.81</v>
      </c>
      <c r="D5" s="4">
        <v>2256.02</v>
      </c>
    </row>
    <row r="6" spans="1:4">
      <c r="A6" s="3">
        <v>3</v>
      </c>
      <c r="B6" s="4">
        <v>10047.37</v>
      </c>
      <c r="C6" s="4">
        <v>8527.53</v>
      </c>
      <c r="D6" s="4">
        <v>1519.84</v>
      </c>
    </row>
    <row r="7" spans="1:4">
      <c r="A7" s="3">
        <v>4</v>
      </c>
      <c r="B7" s="4">
        <v>10234.52</v>
      </c>
      <c r="C7" s="4">
        <v>7279.81</v>
      </c>
      <c r="D7" s="4">
        <v>2954.72</v>
      </c>
    </row>
    <row r="8" spans="1:4">
      <c r="A8" s="3">
        <v>5</v>
      </c>
      <c r="B8" s="4">
        <v>7931.6</v>
      </c>
      <c r="C8" s="4">
        <v>8527.53</v>
      </c>
      <c r="D8" s="4">
        <v>-595.94</v>
      </c>
    </row>
    <row r="9" spans="1:4">
      <c r="A9" s="3">
        <v>6</v>
      </c>
      <c r="B9" s="4">
        <v>8928.13</v>
      </c>
      <c r="C9" s="4">
        <v>7279.81</v>
      </c>
      <c r="D9" s="4">
        <v>1648.32</v>
      </c>
    </row>
    <row r="10" spans="1:4">
      <c r="A10" s="3">
        <v>7</v>
      </c>
      <c r="B10" s="4">
        <v>7038.8</v>
      </c>
      <c r="C10" s="4">
        <v>7279.81</v>
      </c>
      <c r="D10" s="4">
        <v>-241</v>
      </c>
    </row>
    <row r="11" spans="1:4">
      <c r="A11" s="3">
        <v>8</v>
      </c>
      <c r="B11" s="4">
        <v>12092.95</v>
      </c>
      <c r="C11" s="4">
        <v>8527.53</v>
      </c>
      <c r="D11" s="4">
        <v>3565.42</v>
      </c>
    </row>
    <row r="12" spans="1:4">
      <c r="A12" s="3">
        <v>9</v>
      </c>
      <c r="B12" s="4">
        <v>5871.08</v>
      </c>
      <c r="C12" s="4">
        <v>6689.77</v>
      </c>
      <c r="D12" s="4">
        <v>-818.69</v>
      </c>
    </row>
    <row r="13" spans="1:4">
      <c r="A13" s="3">
        <v>10</v>
      </c>
      <c r="B13" s="4">
        <v>6600.79</v>
      </c>
      <c r="C13" s="4">
        <v>7937.5</v>
      </c>
      <c r="D13" s="4">
        <v>-1336.71</v>
      </c>
    </row>
    <row r="14" spans="1:4">
      <c r="A14" s="3">
        <v>11</v>
      </c>
      <c r="B14" s="4">
        <v>5237.6</v>
      </c>
      <c r="C14" s="4">
        <v>6689.77</v>
      </c>
      <c r="D14" s="4">
        <v>-1452.17</v>
      </c>
    </row>
    <row r="15" spans="1:4">
      <c r="A15" s="3">
        <v>12</v>
      </c>
      <c r="B15" s="4">
        <v>8170.54</v>
      </c>
      <c r="C15" s="4">
        <v>7937.5</v>
      </c>
      <c r="D15" s="4">
        <v>233.04</v>
      </c>
    </row>
    <row r="16" spans="1:4">
      <c r="A16" s="3">
        <v>13</v>
      </c>
      <c r="B16" s="4">
        <v>6130.57</v>
      </c>
      <c r="C16" s="4">
        <v>6689.77</v>
      </c>
      <c r="D16" s="4">
        <v>-559.21</v>
      </c>
    </row>
    <row r="17" spans="1:4">
      <c r="A17" s="3">
        <v>14</v>
      </c>
      <c r="B17" s="4">
        <v>4719.51</v>
      </c>
      <c r="C17" s="4">
        <v>5442.05</v>
      </c>
      <c r="D17" s="4">
        <v>-722.54</v>
      </c>
    </row>
    <row r="18" spans="1:4">
      <c r="A18" s="3">
        <v>15</v>
      </c>
      <c r="B18" s="4">
        <v>6174.22</v>
      </c>
      <c r="C18" s="4">
        <v>6689.77</v>
      </c>
      <c r="D18" s="4">
        <v>-515.55</v>
      </c>
    </row>
    <row r="19" spans="1:4">
      <c r="A19" s="3">
        <v>16</v>
      </c>
      <c r="B19" s="4">
        <v>4584.43</v>
      </c>
      <c r="C19" s="4">
        <v>5442.05</v>
      </c>
      <c r="D19" s="4">
        <v>-857.62</v>
      </c>
    </row>
    <row r="20" spans="1:4">
      <c r="A20" s="3">
        <v>17</v>
      </c>
      <c r="B20" s="4">
        <v>5835.63</v>
      </c>
      <c r="C20" s="4">
        <v>7347.46</v>
      </c>
      <c r="D20" s="4">
        <v>-1511.83</v>
      </c>
    </row>
    <row r="21" spans="1:4">
      <c r="A21" s="3">
        <v>18</v>
      </c>
      <c r="B21" s="4">
        <v>6172.73</v>
      </c>
      <c r="C21" s="4">
        <v>6099.74</v>
      </c>
      <c r="D21" s="4">
        <v>72.99</v>
      </c>
    </row>
    <row r="22" spans="1:4">
      <c r="A22" s="3">
        <v>19</v>
      </c>
      <c r="B22" s="4">
        <v>3928.21</v>
      </c>
      <c r="C22" s="4">
        <v>6099.74</v>
      </c>
      <c r="D22" s="4">
        <v>-2171.52</v>
      </c>
    </row>
    <row r="23" spans="1:4">
      <c r="A23" s="3">
        <v>20</v>
      </c>
      <c r="B23" s="4">
        <v>5036.8</v>
      </c>
      <c r="C23" s="4">
        <v>7347.46</v>
      </c>
      <c r="D23" s="4">
        <v>-2310.66</v>
      </c>
    </row>
    <row r="24" spans="1:4">
      <c r="A24" s="3">
        <v>21</v>
      </c>
      <c r="B24" s="4">
        <v>8082.06</v>
      </c>
      <c r="C24" s="4">
        <v>7347.46</v>
      </c>
      <c r="D24" s="4">
        <v>734.6</v>
      </c>
    </row>
    <row r="25" spans="1:4">
      <c r="A25" s="3">
        <v>22</v>
      </c>
      <c r="B25" s="4">
        <v>5204.11</v>
      </c>
      <c r="C25" s="4">
        <v>7347.46</v>
      </c>
      <c r="D25" s="4">
        <v>-2143.34</v>
      </c>
    </row>
    <row r="26" spans="1:4">
      <c r="A26" s="3">
        <v>23</v>
      </c>
      <c r="B26" s="4">
        <v>4539.66</v>
      </c>
      <c r="C26" s="4">
        <v>4852.01</v>
      </c>
      <c r="D26" s="4">
        <v>-312.35</v>
      </c>
    </row>
    <row r="27" spans="1:4">
      <c r="A27" s="3">
        <v>24</v>
      </c>
      <c r="B27" s="4">
        <v>5067.67</v>
      </c>
      <c r="C27" s="4">
        <v>7347.46</v>
      </c>
      <c r="D27" s="4">
        <v>-2279.79</v>
      </c>
    </row>
    <row r="28" spans="1:4">
      <c r="A28" s="3">
        <v>25</v>
      </c>
      <c r="B28" s="4">
        <v>3014.19</v>
      </c>
      <c r="C28" s="4">
        <v>4261.98</v>
      </c>
      <c r="D28" s="4">
        <v>-1247.79</v>
      </c>
    </row>
    <row r="29" spans="1:4">
      <c r="A29" s="3">
        <v>26</v>
      </c>
      <c r="B29" s="4">
        <v>5311.23</v>
      </c>
      <c r="C29" s="4">
        <v>5509.7</v>
      </c>
      <c r="D29" s="4">
        <v>-198.47</v>
      </c>
    </row>
    <row r="30" spans="1:4">
      <c r="A30" s="3">
        <v>27</v>
      </c>
      <c r="B30" s="4">
        <v>6447.94</v>
      </c>
      <c r="C30" s="4">
        <v>5509.7</v>
      </c>
      <c r="D30" s="4">
        <v>938.24</v>
      </c>
    </row>
    <row r="31" spans="1:4">
      <c r="A31" s="3">
        <v>28</v>
      </c>
      <c r="B31" s="4">
        <v>5169.06</v>
      </c>
      <c r="C31" s="4">
        <v>5509.7</v>
      </c>
      <c r="D31" s="4">
        <v>-340.64</v>
      </c>
    </row>
    <row r="32" spans="1:4">
      <c r="A32" s="3">
        <v>29</v>
      </c>
      <c r="B32" s="4">
        <v>4521.64</v>
      </c>
      <c r="C32" s="4">
        <v>5509.7</v>
      </c>
      <c r="D32" s="4">
        <v>-988.06</v>
      </c>
    </row>
    <row r="33" spans="1:4">
      <c r="A33" s="3">
        <v>30</v>
      </c>
      <c r="B33" s="4">
        <v>4394.61</v>
      </c>
      <c r="C33" s="4">
        <v>5509.7</v>
      </c>
      <c r="D33" s="4">
        <v>-1115.09</v>
      </c>
    </row>
    <row r="34" spans="1:4">
      <c r="A34" s="3">
        <v>31</v>
      </c>
      <c r="B34" s="4">
        <v>3578.91</v>
      </c>
      <c r="C34" s="4">
        <v>6757.42</v>
      </c>
      <c r="D34" s="4">
        <v>-3178.52</v>
      </c>
    </row>
    <row r="35" spans="1:4">
      <c r="A35" s="3">
        <v>32</v>
      </c>
      <c r="B35" s="4">
        <v>2616.96</v>
      </c>
      <c r="C35" s="4">
        <v>4261.98</v>
      </c>
      <c r="D35" s="4">
        <v>-1645.02</v>
      </c>
    </row>
    <row r="36" spans="1:4">
      <c r="A36" s="3">
        <v>33</v>
      </c>
      <c r="B36" s="4">
        <v>2419.72</v>
      </c>
      <c r="C36" s="4">
        <v>3671.94</v>
      </c>
      <c r="D36" s="4">
        <v>-1252.22</v>
      </c>
    </row>
    <row r="37" spans="1:4">
      <c r="A37" s="3">
        <v>34</v>
      </c>
      <c r="B37" s="4">
        <v>6580.8</v>
      </c>
      <c r="C37" s="4">
        <v>6167.39</v>
      </c>
      <c r="D37" s="4">
        <v>413.41</v>
      </c>
    </row>
    <row r="38" spans="1:4">
      <c r="A38" s="3">
        <v>35</v>
      </c>
      <c r="B38" s="4">
        <v>4954.49</v>
      </c>
      <c r="C38" s="4">
        <v>4919.66</v>
      </c>
      <c r="D38" s="4">
        <v>34.82</v>
      </c>
    </row>
    <row r="39" spans="1:4">
      <c r="A39" s="3">
        <v>36</v>
      </c>
      <c r="B39" s="4">
        <v>2546.43</v>
      </c>
      <c r="C39" s="4">
        <v>3671.94</v>
      </c>
      <c r="D39" s="4">
        <v>-1125.51</v>
      </c>
    </row>
    <row r="40" spans="1:4">
      <c r="A40" s="3">
        <v>37</v>
      </c>
      <c r="B40" s="4">
        <v>4197.94</v>
      </c>
      <c r="C40" s="4">
        <v>4919.66</v>
      </c>
      <c r="D40" s="4">
        <v>-721.72</v>
      </c>
    </row>
    <row r="41" spans="1:4">
      <c r="A41" s="3">
        <v>38</v>
      </c>
      <c r="B41" s="4">
        <v>3917.25</v>
      </c>
      <c r="C41" s="4">
        <v>3671.94</v>
      </c>
      <c r="D41" s="4">
        <v>245.31</v>
      </c>
    </row>
    <row r="42" spans="1:4">
      <c r="A42" s="3">
        <v>39</v>
      </c>
      <c r="B42" s="4">
        <v>6302.02</v>
      </c>
      <c r="C42" s="4">
        <v>4919.66</v>
      </c>
      <c r="D42" s="4">
        <v>1382.36</v>
      </c>
    </row>
    <row r="43" spans="1:4">
      <c r="A43" s="3">
        <v>40</v>
      </c>
      <c r="B43" s="4">
        <v>6922.03</v>
      </c>
      <c r="C43" s="4">
        <v>6167.39</v>
      </c>
      <c r="D43" s="4">
        <v>754.64</v>
      </c>
    </row>
    <row r="44" spans="1:4">
      <c r="A44" s="3">
        <v>41</v>
      </c>
      <c r="B44" s="4">
        <v>5368.33</v>
      </c>
      <c r="C44" s="4">
        <v>4329.63</v>
      </c>
      <c r="D44" s="4">
        <v>1038.71</v>
      </c>
    </row>
    <row r="45" spans="1:4">
      <c r="A45" s="3">
        <v>42</v>
      </c>
      <c r="B45" s="4">
        <v>3612.47</v>
      </c>
      <c r="C45" s="4">
        <v>3081.9</v>
      </c>
      <c r="D45" s="4">
        <v>530.57</v>
      </c>
    </row>
    <row r="46" spans="1:4">
      <c r="A46" s="3">
        <v>43</v>
      </c>
      <c r="B46" s="4">
        <v>5343.45</v>
      </c>
      <c r="C46" s="4">
        <v>5577.35</v>
      </c>
      <c r="D46" s="4">
        <v>-233.9</v>
      </c>
    </row>
    <row r="47" spans="1:4">
      <c r="A47" s="3">
        <v>44</v>
      </c>
      <c r="B47" s="4">
        <v>7822.57</v>
      </c>
      <c r="C47" s="4">
        <v>5577.35</v>
      </c>
      <c r="D47" s="4">
        <v>2245.21</v>
      </c>
    </row>
    <row r="48" spans="1:4">
      <c r="A48" s="3">
        <v>45</v>
      </c>
      <c r="B48" s="4">
        <v>4094.37</v>
      </c>
      <c r="C48" s="4">
        <v>4329.63</v>
      </c>
      <c r="D48" s="4">
        <v>-235.26</v>
      </c>
    </row>
    <row r="49" spans="1:4">
      <c r="A49" s="3">
        <v>46</v>
      </c>
      <c r="B49" s="4">
        <v>5754.89</v>
      </c>
      <c r="C49" s="4">
        <v>5577.35</v>
      </c>
      <c r="D49" s="4">
        <v>177.54</v>
      </c>
    </row>
    <row r="50" spans="1:4">
      <c r="A50" s="3">
        <v>47</v>
      </c>
      <c r="B50" s="4">
        <v>4462.8</v>
      </c>
      <c r="C50" s="4">
        <v>4329.63</v>
      </c>
      <c r="D50" s="4">
        <v>133.18</v>
      </c>
    </row>
    <row r="51" spans="1:4">
      <c r="A51" s="3">
        <v>48</v>
      </c>
      <c r="B51" s="4">
        <v>3694.63</v>
      </c>
      <c r="C51" s="4">
        <v>3081.9</v>
      </c>
      <c r="D51" s="4">
        <v>612.73</v>
      </c>
    </row>
    <row r="52" spans="1:4">
      <c r="A52" s="3">
        <v>49</v>
      </c>
      <c r="B52" s="4">
        <v>4274.15</v>
      </c>
      <c r="C52" s="4">
        <v>2491.87</v>
      </c>
      <c r="D52" s="4">
        <v>1782.28</v>
      </c>
    </row>
    <row r="53" spans="1:4">
      <c r="A53" s="3">
        <v>50</v>
      </c>
      <c r="B53" s="4">
        <v>4977.98</v>
      </c>
      <c r="C53" s="4">
        <v>4987.31</v>
      </c>
      <c r="D53" s="4">
        <v>-9.33</v>
      </c>
    </row>
    <row r="54" spans="1:4">
      <c r="A54" s="3">
        <v>51</v>
      </c>
      <c r="B54" s="4">
        <v>5258.77</v>
      </c>
      <c r="C54" s="4">
        <v>4987.31</v>
      </c>
      <c r="D54" s="4">
        <v>271.46</v>
      </c>
    </row>
    <row r="55" spans="1:4">
      <c r="A55" s="3">
        <v>52</v>
      </c>
      <c r="B55" s="4">
        <v>3515.77</v>
      </c>
      <c r="C55" s="4">
        <v>2491.87</v>
      </c>
      <c r="D55" s="4">
        <v>1023.9</v>
      </c>
    </row>
    <row r="56" spans="1:4">
      <c r="A56" s="3">
        <v>53</v>
      </c>
      <c r="B56" s="4">
        <v>4654.12</v>
      </c>
      <c r="C56" s="4">
        <v>4987.31</v>
      </c>
      <c r="D56" s="4">
        <v>-333.2</v>
      </c>
    </row>
    <row r="57" spans="1:4">
      <c r="A57" s="3">
        <v>54</v>
      </c>
      <c r="B57" s="4">
        <v>5533.85</v>
      </c>
      <c r="C57" s="4">
        <v>4987.31</v>
      </c>
      <c r="D57" s="4">
        <v>546.54</v>
      </c>
    </row>
    <row r="58" spans="1:4">
      <c r="A58" s="3">
        <v>55</v>
      </c>
      <c r="B58" s="4">
        <v>5490.57</v>
      </c>
      <c r="C58" s="4">
        <v>4987.31</v>
      </c>
      <c r="D58" s="4">
        <v>503.26</v>
      </c>
    </row>
    <row r="59" spans="1:4">
      <c r="A59" s="3">
        <v>56</v>
      </c>
      <c r="B59" s="4">
        <v>4776.52</v>
      </c>
      <c r="C59" s="4">
        <v>3739.59</v>
      </c>
      <c r="D59" s="4">
        <v>1036.93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Данные_2025</vt:lpstr>
      <vt:lpstr>Отбор_факторов</vt:lpstr>
      <vt:lpstr>МНК_расчёт</vt:lpstr>
      <vt:lpstr>Адекватность</vt:lpstr>
      <vt:lpstr>Графики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sasha</cp:lastModifiedBy>
  <dcterms:created xsi:type="dcterms:W3CDTF">2026-10-15T16:09:00Z</dcterms:created>
  <dcterms:modified xsi:type="dcterms:W3CDTF">2026-10-16T03:23:57Z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