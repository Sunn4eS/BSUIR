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asha\BSUIR\7 semester\SMAD\lab2\"/>
    </mc:Choice>
  </mc:AlternateContent>
  <xr:revisionPtr revIDLastSave="0" documentId="13_ncr:1_{3B863FA2-E93A-4B83-AFBF-BF888D66C073}" xr6:coauthVersionLast="47" xr6:coauthVersionMax="47" xr10:uidLastSave="{00000000-0000-0000-0000-000000000000}"/>
  <bookViews>
    <workbookView xWindow="-103" yWindow="-103" windowWidth="22149" windowHeight="13200" tabRatio="500" activeTab="2" xr2:uid="{00000000-000D-0000-FFFF-FFFF00000000}"/>
  </bookViews>
  <sheets>
    <sheet name="Данные" sheetId="1" r:id="rId1"/>
    <sheet name="Корр.матрица" sheetId="2" r:id="rId2"/>
    <sheet name="Выводы 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8" i="2" l="1"/>
  <c r="F8" i="2"/>
  <c r="E8" i="2"/>
  <c r="D8" i="2"/>
  <c r="C8" i="2"/>
  <c r="B8" i="2"/>
  <c r="G7" i="2"/>
  <c r="F7" i="2"/>
  <c r="E7" i="2"/>
  <c r="D7" i="2"/>
  <c r="C7" i="2"/>
  <c r="B7" i="2"/>
  <c r="G6" i="2"/>
  <c r="F6" i="2"/>
  <c r="E6" i="2"/>
  <c r="D6" i="2"/>
  <c r="C6" i="2"/>
  <c r="B6" i="2"/>
  <c r="G5" i="2"/>
  <c r="F5" i="2"/>
  <c r="E5" i="2"/>
  <c r="D5" i="2"/>
  <c r="C5" i="2"/>
  <c r="B5" i="2"/>
  <c r="G4" i="2"/>
  <c r="F4" i="2"/>
  <c r="E4" i="2"/>
  <c r="D4" i="2"/>
  <c r="C4" i="2"/>
  <c r="B4" i="2"/>
  <c r="G3" i="2"/>
  <c r="F3" i="2"/>
  <c r="E3" i="2"/>
  <c r="D3" i="2"/>
  <c r="C3" i="2"/>
  <c r="B3" i="2"/>
  <c r="G165" i="1"/>
  <c r="F165" i="1"/>
  <c r="E165" i="1"/>
  <c r="D165" i="1"/>
  <c r="C165" i="1"/>
  <c r="B165" i="1"/>
</calcChain>
</file>

<file path=xl/sharedStrings.xml><?xml version="1.0" encoding="utf-8"?>
<sst xmlns="http://schemas.openxmlformats.org/spreadsheetml/2006/main" count="237" uniqueCount="216">
  <si>
    <t>Модель 10. Источник: Мировой банк.</t>
  </si>
  <si>
    <t>Страна</t>
  </si>
  <si>
    <t>y</t>
  </si>
  <si>
    <t>x1</t>
  </si>
  <si>
    <t>x2</t>
  </si>
  <si>
    <t>x3</t>
  </si>
  <si>
    <t>x4</t>
  </si>
  <si>
    <t>x5</t>
  </si>
  <si>
    <t>Africa Eastern and Southern</t>
  </si>
  <si>
    <t>Africa Western and Central</t>
  </si>
  <si>
    <t>East Asia &amp; Pacific</t>
  </si>
  <si>
    <t>East Asia &amp; Pacific (excluding high income)</t>
  </si>
  <si>
    <t>East Asia &amp; Pacific (IDA &amp; IBRD countries)</t>
  </si>
  <si>
    <t>Europe &amp; Central Asia</t>
  </si>
  <si>
    <t>Europe &amp; Central Asia (excluding high income)</t>
  </si>
  <si>
    <t>Europe &amp; Central Asia (IDA &amp; IBRD countries)</t>
  </si>
  <si>
    <t>High income</t>
  </si>
  <si>
    <t>IBRD only</t>
  </si>
  <si>
    <t>IDA &amp; IBRD total</t>
  </si>
  <si>
    <t>IDA blend</t>
  </si>
  <si>
    <t>IDA only</t>
  </si>
  <si>
    <t>IDA total</t>
  </si>
  <si>
    <t>Latin America &amp; Caribbean</t>
  </si>
  <si>
    <t>Latin America &amp; Caribbean (excluding high income)</t>
  </si>
  <si>
    <t>Latin America &amp; the Caribbean (IDA &amp; IBRD countries)</t>
  </si>
  <si>
    <t>Least developed countries: UN classification</t>
  </si>
  <si>
    <t>Low income</t>
  </si>
  <si>
    <t>Lower middle income</t>
  </si>
  <si>
    <t>Middle East, North Africa, Afghanistan &amp; Pakistan</t>
  </si>
  <si>
    <t>North America</t>
  </si>
  <si>
    <t>Small states</t>
  </si>
  <si>
    <t>South Asia</t>
  </si>
  <si>
    <t>South Asia (IDA &amp; IBRD)</t>
  </si>
  <si>
    <t>Sub-Saharan Africa</t>
  </si>
  <si>
    <t>Sub-Saharan Africa (excluding high income)</t>
  </si>
  <si>
    <t>Sub-Saharan Africa (IDA &amp; IBRD countries)</t>
  </si>
  <si>
    <t>Upper middle income</t>
  </si>
  <si>
    <t>World</t>
  </si>
  <si>
    <t>Albania</t>
  </si>
  <si>
    <t>Andorra</t>
  </si>
  <si>
    <t>Angola</t>
  </si>
  <si>
    <t>Argentina</t>
  </si>
  <si>
    <t>Armenia</t>
  </si>
  <si>
    <t>Australia</t>
  </si>
  <si>
    <t>Austria</t>
  </si>
  <si>
    <t>Azerbaijan</t>
  </si>
  <si>
    <t>Bahamas, The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</si>
  <si>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</si>
  <si>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</si>
  <si>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</si>
  <si>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</si>
  <si>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</si>
  <si>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</si>
  <si>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</si>
  <si>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</si>
  <si>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</si>
  <si>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</si>
  <si>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</si>
  <si>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</si>
  <si>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</si>
  <si>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Cabo Verde</t>
  </si>
  <si>
    <t>Cambodia</t>
  </si>
  <si>
    <t>Cameroon</t>
  </si>
  <si>
    <t>Canada</t>
  </si>
  <si>
    <t>Chad</t>
  </si>
  <si>
    <t>Chile</t>
  </si>
  <si>
    <t>Colombia</t>
  </si>
  <si>
    <t>Congo, Dem. Rep.</t>
  </si>
  <si>
    <t>Costa Rica</t>
  </si>
  <si>
    <t>Cote d'Ivoire</t>
  </si>
  <si>
    <t>Croatia</t>
  </si>
  <si>
    <t>Cuba</t>
  </si>
  <si>
    <t>Cyprus</t>
  </si>
  <si>
    <t>Czechia</t>
  </si>
  <si>
    <t>Denmark</t>
  </si>
  <si>
    <t>Dominica</t>
  </si>
  <si>
    <t>Dominican Republic</t>
  </si>
  <si>
    <t>Ecuador</t>
  </si>
  <si>
    <t>Egypt, Arab Rep.</t>
  </si>
  <si>
    <t>El Salvador</t>
  </si>
  <si>
    <t>Estonia</t>
  </si>
  <si>
    <t>Fiji</t>
  </si>
  <si>
    <t>Finland</t>
  </si>
  <si>
    <t>France</t>
  </si>
  <si>
    <t>Gambia, The</t>
  </si>
  <si>
    <t>Georgia</t>
  </si>
  <si>
    <t>Germany</t>
  </si>
  <si>
    <t>Ghana</t>
  </si>
  <si>
    <t>Greece</t>
  </si>
  <si>
    <t>Grenada</t>
  </si>
  <si>
    <t>Guatemala</t>
  </si>
  <si>
    <t>Guyana</t>
  </si>
  <si>
    <t>Honduras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</si>
  <si>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</si>
  <si>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</si>
  <si>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</si>
  <si>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</si>
  <si>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</si>
  <si>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</si>
  <si>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</si>
  <si>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</si>
  <si>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</si>
  <si>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</si>
  <si>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</si>
  <si>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</si>
  <si>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</si>
  <si>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</si>
  <si>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Kyrgyz Republic</t>
  </si>
  <si>
    <t>Lao PDR</t>
  </si>
  <si>
    <t>Latvia</t>
  </si>
  <si>
    <t>Lebanon</t>
  </si>
  <si>
    <t>Lithuania</t>
  </si>
  <si>
    <t>Luxembourg</t>
  </si>
  <si>
    <t>Madagascar</t>
  </si>
  <si>
    <t>Malawi</t>
  </si>
  <si>
    <t>Malaysia</t>
  </si>
  <si>
    <t>Malta</t>
  </si>
  <si>
    <t>Marshall Islands</t>
  </si>
  <si>
    <t>Mexico</t>
  </si>
  <si>
    <t>Moldova</t>
  </si>
  <si>
    <t>Mongolia</t>
  </si>
  <si>
    <t>Montenegro</t>
  </si>
  <si>
    <t>Morocco</t>
  </si>
  <si>
    <t>Namibia</t>
  </si>
  <si>
    <t>Nepal</t>
  </si>
  <si>
    <t>Netherlands</t>
  </si>
  <si>
    <t>New Zealand</t>
  </si>
  <si>
    <t>Nigeria</t>
  </si>
  <si>
    <t>North Macedonia</t>
  </si>
  <si>
    <t>Norway</t>
  </si>
  <si>
    <t>Oman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</si>
  <si>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</si>
  <si>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</si>
  <si>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</si>
  <si>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</si>
  <si>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</si>
  <si>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</si>
  <si>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</si>
  <si>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</si>
  <si>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</si>
  <si>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</si>
  <si>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</si>
  <si>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</si>
  <si>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</si>
  <si>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</si>
  <si>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</si>
  <si>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</si>
  <si>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</si>
  <si>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</si>
  <si>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</si>
  <si>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South Africa</t>
  </si>
  <si>
    <t>Spain</t>
  </si>
  <si>
    <t>Sri Lanka</t>
  </si>
  <si>
    <t>St. Kitts and Nevis</t>
  </si>
  <si>
    <t>St. Vincent and the Grenadines</t>
  </si>
  <si>
    <t>Sweden</t>
  </si>
  <si>
    <t>Switzerland</t>
  </si>
  <si>
    <t>Tajikistan</t>
  </si>
  <si>
    <t>Tanzania</t>
  </si>
  <si>
    <t>Thailand</t>
  </si>
  <si>
    <t>Togo</t>
  </si>
  <si>
    <t>Tonga</t>
  </si>
  <si>
    <t>Turkiye</t>
  </si>
  <si>
    <t>Ukraine</t>
  </si>
  <si>
    <t>United Arab Emirates</t>
  </si>
  <si>
    <t>United Kingdom</t>
  </si>
  <si>
    <t>United States</t>
  </si>
  <si>
    <t>Uruguay</t>
  </si>
  <si>
    <t>Uzbekistan</t>
  </si>
  <si>
    <t>Viet Nam</t>
  </si>
  <si>
    <t>Среднее</t>
  </si>
  <si>
    <t>https://data.worldbank.org/indicator/NY.GDP.PCAP.KD?spm=a2ty_o01.29997173.0.0.453bc921rthaGp&amp;file=NY.GDP.PCAP.KD</t>
  </si>
  <si>
    <t>https://data.worldbank.org/indicator/SE.SEC.ENRR?spm=a2ty_o01.29997173.0.0.453bc921rthaGp&amp;file=SE.SEC.ENRR</t>
  </si>
  <si>
    <t>https://data.worldbank.org/indicator/SH.XPD.CHEX.GD.ZS?spm=a2ty_o01.29997173.0.0.453bc921rthaGp&amp;file=SH.XPD.CHEX.GD.ZS</t>
  </si>
  <si>
    <t>https://data.worldbank.org/indicator/IT.NET.USER.ZS?spm=a2ty_o01.29997173.0.0.453bc921rthaGp&amp;file=IT.NET.USER.ZS</t>
  </si>
  <si>
    <t>https://data.worldbank.org/indicator/SP.URB.TOTL.IN.ZS?spm=a2ty_o01.29997173.0.0.453bc921rthaGp&amp;file=SP.URB.TOTL.IN.ZS</t>
  </si>
  <si>
    <t>https://data.worldbank.org/indicator/SP.DYN.LE00.IN?spm=a2ty_o01.29997173.0.0.453bc921rthaGp&amp;file=SP.DYN.LE00.IN</t>
  </si>
  <si>
    <t xml:space="preserve"> </t>
  </si>
  <si>
    <t>Корреляционная матрица</t>
  </si>
  <si>
    <t>Описание переменных:</t>
  </si>
  <si>
    <t xml:space="preserve">  y — ВВП на душу населения (пост. цены 2015, $)</t>
  </si>
  <si>
    <t xml:space="preserve">  x1 — Охват средним образованием (% брутто)</t>
  </si>
  <si>
    <t xml:space="preserve">  x2 — Расходы на здравоохранение (% от ВВП)</t>
  </si>
  <si>
    <t xml:space="preserve">  x3 — Пользователи интернета (% от населения)</t>
  </si>
  <si>
    <t xml:space="preserve">  x4 — Городское население (% от общего)</t>
  </si>
  <si>
    <t xml:space="preserve">  x5 — Ожидаемая продолжительность жизни (лет)</t>
  </si>
  <si>
    <t>Выводы</t>
  </si>
  <si>
    <t>1. Зависимость результативного признака (y) от факторов (x):</t>
  </si>
  <si>
    <t xml:space="preserve">   r(y, x1) = +0.5410  —  заметная прямая связь</t>
  </si>
  <si>
    <t xml:space="preserve">      (Охват средним образованием (% брутто))</t>
  </si>
  <si>
    <t xml:space="preserve">   r(y, x2) = +0.4635  —  умеренная прямая связь</t>
  </si>
  <si>
    <t xml:space="preserve">      (Расходы на здравоохранение (% от ВВП))</t>
  </si>
  <si>
    <t xml:space="preserve">   r(y, x3) = +0.5977  —  заметная прямая связь</t>
  </si>
  <si>
    <t xml:space="preserve">      (Пользователи интернета (% от населения))</t>
  </si>
  <si>
    <t xml:space="preserve">   r(y, x4) = +0.5941  —  заметная прямая связь</t>
  </si>
  <si>
    <t xml:space="preserve">      (Городское население (% от общего))</t>
  </si>
  <si>
    <t xml:space="preserve">   r(y, x5) = +0.7256  —  высокая прямая связь</t>
  </si>
  <si>
    <t xml:space="preserve">      (Ожидаемая продолжительность жизни (лет))</t>
  </si>
  <si>
    <t>2. Зависимость между факторами x:</t>
  </si>
  <si>
    <t xml:space="preserve">   r(x1, x2) = +0.5259  —  заметная связь</t>
  </si>
  <si>
    <t xml:space="preserve">   r(x1, x3) = +0.8027  —  высокая связь</t>
  </si>
  <si>
    <t xml:space="preserve">   r(x1, x4) = +0.5869  —  заметная связь</t>
  </si>
  <si>
    <t xml:space="preserve">   r(x1, x5) = +0.7380  —  высокая связь</t>
  </si>
  <si>
    <t xml:space="preserve">   r(x2, x3) = +0.5059  —  заметная связь</t>
  </si>
  <si>
    <t xml:space="preserve">   r(x2, x4) = +0.5130  —  заметная связь</t>
  </si>
  <si>
    <t xml:space="preserve">   r(x2, x5) = +0.5270  —  заметная связь</t>
  </si>
  <si>
    <t xml:space="preserve">   r(x3, x4) = +0.7408  —  высокая связь</t>
  </si>
  <si>
    <t xml:space="preserve">   r(x3, x5) = +0.8214  —  высокая связь</t>
  </si>
  <si>
    <t xml:space="preserve">   r(x4, x5) = +0.6522  —  заметная связь</t>
  </si>
  <si>
    <t>3. Решение об исключении факторов (порог |r(y, xi)| &lt; 0.4):</t>
  </si>
  <si>
    <t xml:space="preserve">   x1 (Охват средним образованием (% брутто)): r = +0.5410</t>
  </si>
  <si>
    <t xml:space="preserve">   x2 (Расходы на здравоохранение (% от ВВП)): r = +0.4635</t>
  </si>
  <si>
    <t xml:space="preserve">   x3 (Пользователи интернета (% от населения)): r = +0.5977</t>
  </si>
  <si>
    <t xml:space="preserve">   x4 (Городское население (% от общего)): r = +0.5941</t>
  </si>
  <si>
    <t xml:space="preserve">   x5 (Ожидаемая продолжительность жизни (лет)): r = +0.7256 </t>
  </si>
  <si>
    <t xml:space="preserve">   Все факторы имеют |r| &gt;= 0.4, исключать нечего.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</si>
</sst>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charset val="1"/>
    </font>
    <font>
      <b/>
      <sz val="10"/>
      <color rgb="FF000000"/>
      <name val="Times New Roman"/>
      <family val="1"/>
      <charset val="1"/>
    </font>
    <font>
      <sz val="10"/>
      <color rgb="FF00000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DCDCDC"/>
        <bgColor rgb="FFD3D3D3"/>
      </patternFill>
    </fill>
    <fill>
      <patternFill patternType="solid">
        <fgColor rgb="FFD3D3D3"/>
        <bgColor rgb="FFDCDC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 applyAlignment="1" applyProtection="1"/>
    <xf numFmtId="0" fontId="0" fillId="0" borderId="0" xfId="0" applyAlignment="1" applyProtection="1"/>
    <xf numFmtId="0" fontId="2" fillId="0" borderId="0" xfId="0" applyFont="1" applyAlignment="1" applyProtection="1"/>
    <xf numFmtId="0" fontId="1" fillId="2" borderId="1" xfId="0" applyFon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/>
    <xf numFmtId="4" fontId="2" fillId="0" borderId="1" xfId="0" applyNumberFormat="1" applyFont="1" applyBorder="1" applyAlignment="1" applyProtection="1">
      <alignment horizontal="center"/>
    </xf>
    <xf numFmtId="0" fontId="1" fillId="0" borderId="1" xfId="0" applyFont="1" applyBorder="1" applyAlignment="1" applyProtection="1"/>
    <xf numFmtId="0" fontId="1" fillId="0" borderId="1" xfId="0" applyFont="1" applyBorder="1" applyAlignment="1" applyProtection="1">
      <alignment horizontal="center"/>
    </xf>
    <xf numFmtId="0" fontId="1" fillId="3" borderId="1" xfId="0" applyFont="1" applyFill="1" applyBorder="1" applyAlignment="1" applyProtection="1">
      <alignment horizontal="center" vertical="center" wrapText="1"/>
    </xf>
    <xf numFmtId="164" fontId="2" fillId="0" borderId="1" xfId="0" applyNumberFormat="1" applyFont="1" applyBorder="1" applyAlignment="1" applyProtection="1">
      <alignment horizontal="center" vertical="center" wrapText="1"/>
    </xf>
    <xf numFmtId="0" fontId="1" fillId="0" borderId="0" xfId="0" applyFont="1" applyAlignment="1" applyProtection="1"/>
    <xf numFmtId="0" fontId="2" fillId="0" borderId="0" xfId="0" applyFont="1" applyAlignment="1" applyProtection="1">
      <alignment horizontal="left" vertical="center" wrapText="1"/>
    </xf>
    <xf numFmtId="0" fontId="1" fillId="0" borderId="0" xfId="0" applyFont="1" applyAlignment="1" applyProtection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CDC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worldbank.org/indicator/IT.NET.USER.ZS?spm=a2ty_o01.29997173.0.0.453bc921rthaGp&amp;file=IT.NET.USER.ZS" TargetMode="External"/><Relationship Id="rId2" Type="http://schemas.openxmlformats.org/officeDocument/2006/relationships/hyperlink" Target="https://data.worldbank.org/indicator/SH.XPD.CHEX.GD.ZS?spm=a2ty_o01.29997173.0.0.453bc921rthaGp&amp;file=SH.XPD.CHEX.GD.ZS" TargetMode="External"/><Relationship Id="rId1" Type="http://schemas.openxmlformats.org/officeDocument/2006/relationships/hyperlink" Target="https://data.worldbank.org/indicator/SE.SEC.ENRR?spm=a2ty_o01.29997173.0.0.453bc921rthaGp&amp;file=SE.SEC.ENRR" TargetMode="External"/><Relationship Id="rId5" Type="http://schemas.openxmlformats.org/officeDocument/2006/relationships/hyperlink" Target="https://data.worldbank.org/indicator/SP.DYN.LE00.IN?spm=a2ty_o01.29997173.0.0.453bc921rthaGp&amp;file=SP.DYN.LE00.IN" TargetMode="External"/><Relationship Id="rId4" Type="http://schemas.openxmlformats.org/officeDocument/2006/relationships/hyperlink" Target="https://data.worldbank.org/indicator/SP.URB.TOTL.IN.ZS?spm=a2ty_o01.29997173.0.0.453bc921rthaGp&amp;file=SP.URB.TOTL.IN.Z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6"/>
  <sheetViews>
    <sheetView topLeftCell="A2" zoomScale="80" zoomScaleNormal="80" workbookViewId="0">
      <selection activeCell="B8" sqref="B8"/>
    </sheetView>
  </sheetViews>
  <sheetFormatPr defaultColWidth="8.53515625" defaultRowHeight="14.6" x14ac:dyDescent="0.4"/>
  <cols>
    <col min="1" max="1" width="42.69140625" style="2" customWidth="1"/>
    <col min="2" max="7" width="16" style="2" customWidth="1"/>
  </cols>
  <sheetData>
    <row r="1" spans="1:17" x14ac:dyDescent="0.4">
      <c r="A1" s="1" t="s">
        <v>0</v>
      </c>
      <c r="B1" s="1"/>
      <c r="C1" s="1"/>
      <c r="D1" s="1"/>
      <c r="E1" s="1"/>
      <c r="F1" s="1"/>
      <c r="G1" s="1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4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4">
      <c r="A3" s="5" t="s">
        <v>8</v>
      </c>
      <c r="B3" s="6">
        <v>1422.6555000000001</v>
      </c>
      <c r="C3" s="6">
        <v>45.150500000000001</v>
      </c>
      <c r="D3" s="6">
        <v>5.9462999999999999</v>
      </c>
      <c r="E3" s="6">
        <v>25</v>
      </c>
      <c r="F3" s="6">
        <v>36.908499999999997</v>
      </c>
      <c r="G3" s="6">
        <v>62.98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4">
      <c r="A4" s="5" t="s">
        <v>9</v>
      </c>
      <c r="B4" s="6">
        <v>1725.1712</v>
      </c>
      <c r="C4" s="6">
        <v>45.567399999999999</v>
      </c>
      <c r="D4" s="6">
        <v>4.1356999999999999</v>
      </c>
      <c r="E4" s="6">
        <v>34.700000000000003</v>
      </c>
      <c r="F4" s="6">
        <v>51.089399999999998</v>
      </c>
      <c r="G4" s="6">
        <v>57.354999999999997</v>
      </c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4">
      <c r="A5" s="5" t="s">
        <v>10</v>
      </c>
      <c r="B5" s="6">
        <v>12018.116099999999</v>
      </c>
      <c r="C5" s="6">
        <v>90.581800000000001</v>
      </c>
      <c r="D5" s="6">
        <v>6.8437999999999999</v>
      </c>
      <c r="E5" s="6">
        <v>78.8</v>
      </c>
      <c r="F5" s="6">
        <v>63.235199999999999</v>
      </c>
      <c r="G5" s="6">
        <v>76.152900000000002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4">
      <c r="A6" s="5" t="s">
        <v>11</v>
      </c>
      <c r="B6" s="6">
        <v>8905.6807000000008</v>
      </c>
      <c r="C6" s="6">
        <v>89.416300000000007</v>
      </c>
      <c r="D6" s="6">
        <v>5.1512000000000002</v>
      </c>
      <c r="E6" s="6">
        <v>77.599999999999994</v>
      </c>
      <c r="F6" s="6">
        <v>60.352600000000002</v>
      </c>
      <c r="G6" s="6">
        <v>75.278099999999995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4">
      <c r="A7" s="5" t="s">
        <v>12</v>
      </c>
      <c r="B7" s="6">
        <v>9005.5180999999993</v>
      </c>
      <c r="C7" s="6">
        <v>89.358599999999996</v>
      </c>
      <c r="D7" s="6">
        <v>5.1513999999999998</v>
      </c>
      <c r="E7" s="6">
        <v>78.3</v>
      </c>
      <c r="F7" s="6">
        <v>60.320900000000002</v>
      </c>
      <c r="G7" s="6">
        <v>75.301000000000002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4">
      <c r="A8" s="5" t="s">
        <v>13</v>
      </c>
      <c r="B8" s="6">
        <v>24641.425200000001</v>
      </c>
      <c r="C8" s="6">
        <v>103.0497</v>
      </c>
      <c r="D8" s="6">
        <v>10.3794</v>
      </c>
      <c r="E8" s="6">
        <v>86.3</v>
      </c>
      <c r="F8" s="6">
        <v>73.622500000000002</v>
      </c>
      <c r="G8" s="6">
        <v>76.7286</v>
      </c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4">
      <c r="A9" s="5" t="s">
        <v>14</v>
      </c>
      <c r="B9" s="6">
        <v>7690.4699000000001</v>
      </c>
      <c r="C9" s="6">
        <v>98.363500000000002</v>
      </c>
      <c r="D9" s="6">
        <v>5.6742999999999997</v>
      </c>
      <c r="E9" s="6">
        <v>79.099999999999994</v>
      </c>
      <c r="F9" s="6">
        <v>68.150400000000005</v>
      </c>
      <c r="G9" s="6">
        <v>72.882400000000004</v>
      </c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4">
      <c r="A10" s="5" t="s">
        <v>15</v>
      </c>
      <c r="B10" s="6">
        <v>9476.6510999999991</v>
      </c>
      <c r="C10" s="6">
        <v>97.485299999999995</v>
      </c>
      <c r="D10" s="6">
        <v>6.4515000000000002</v>
      </c>
      <c r="E10" s="6">
        <v>82.6</v>
      </c>
      <c r="F10" s="6">
        <v>68.867999999999995</v>
      </c>
      <c r="G10" s="6">
        <v>72.150599999999997</v>
      </c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x14ac:dyDescent="0.4">
      <c r="A11" s="5" t="s">
        <v>16</v>
      </c>
      <c r="B11" s="6">
        <v>40005.146999999997</v>
      </c>
      <c r="C11" s="6">
        <v>104.3985</v>
      </c>
      <c r="D11" s="6">
        <v>13.0944</v>
      </c>
      <c r="E11" s="6">
        <v>90</v>
      </c>
      <c r="F11" s="6">
        <v>79.808800000000005</v>
      </c>
      <c r="G11" s="6">
        <v>78.798199999999994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4">
      <c r="A12" s="5" t="s">
        <v>17</v>
      </c>
      <c r="B12" s="6">
        <v>6729.3334000000004</v>
      </c>
      <c r="C12" s="6">
        <v>88.015900000000002</v>
      </c>
      <c r="D12" s="6">
        <v>5.6360000000000001</v>
      </c>
      <c r="E12" s="6">
        <v>70.3</v>
      </c>
      <c r="F12" s="6">
        <v>57.418700000000001</v>
      </c>
      <c r="G12" s="6">
        <v>71.974199999999996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4">
      <c r="A13" s="5" t="s">
        <v>18</v>
      </c>
      <c r="B13" s="6">
        <v>5288.4875000000002</v>
      </c>
      <c r="C13" s="6">
        <v>74.037999999999997</v>
      </c>
      <c r="D13" s="6">
        <v>5.5251000000000001</v>
      </c>
      <c r="E13" s="6">
        <v>59.3</v>
      </c>
      <c r="F13" s="6">
        <v>52.508200000000002</v>
      </c>
      <c r="G13" s="6">
        <v>69.6691</v>
      </c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4">
      <c r="A14" s="5" t="s">
        <v>19</v>
      </c>
      <c r="B14" s="6">
        <v>1988.1432</v>
      </c>
      <c r="C14" s="6">
        <v>47.0854</v>
      </c>
      <c r="D14" s="6">
        <v>3.9548999999999999</v>
      </c>
      <c r="E14" s="6">
        <v>32.4</v>
      </c>
      <c r="F14" s="6">
        <v>47.094900000000003</v>
      </c>
      <c r="G14" s="6">
        <v>60.8765</v>
      </c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4">
      <c r="A15" s="5" t="s">
        <v>20</v>
      </c>
      <c r="B15" s="6">
        <v>1112.5527999999999</v>
      </c>
      <c r="C15" s="6">
        <v>49.3172</v>
      </c>
      <c r="D15" s="6">
        <v>4.2765000000000004</v>
      </c>
      <c r="E15" s="6">
        <v>28.4</v>
      </c>
      <c r="F15" s="6">
        <v>35.134900000000002</v>
      </c>
      <c r="G15" s="6">
        <v>64.879300000000001</v>
      </c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4">
      <c r="A16" s="5" t="s">
        <v>21</v>
      </c>
      <c r="B16" s="6">
        <v>1418.9722999999999</v>
      </c>
      <c r="C16" s="6">
        <v>48.362900000000003</v>
      </c>
      <c r="D16" s="6">
        <v>4.1204000000000001</v>
      </c>
      <c r="E16" s="6">
        <v>29.8</v>
      </c>
      <c r="F16" s="6">
        <v>39.320399999999999</v>
      </c>
      <c r="G16" s="6">
        <v>63.478499999999997</v>
      </c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4">
      <c r="A17" s="5" t="s">
        <v>22</v>
      </c>
      <c r="B17" s="6">
        <v>8317.6432999999997</v>
      </c>
      <c r="C17" s="6">
        <v>97.418700000000001</v>
      </c>
      <c r="D17" s="6">
        <v>8.3010000000000002</v>
      </c>
      <c r="E17" s="6">
        <v>75.8</v>
      </c>
      <c r="F17" s="6">
        <v>80.634200000000007</v>
      </c>
      <c r="G17" s="6">
        <v>71.8142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4">
      <c r="A18" s="5" t="s">
        <v>23</v>
      </c>
      <c r="B18" s="6">
        <v>7827.4119000000001</v>
      </c>
      <c r="C18" s="6">
        <v>97.383399999999995</v>
      </c>
      <c r="D18" s="6">
        <v>8.2110000000000003</v>
      </c>
      <c r="E18" s="6">
        <v>75.3</v>
      </c>
      <c r="F18" s="6">
        <v>80.505799999999994</v>
      </c>
      <c r="G18" s="6">
        <v>71.442300000000003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4">
      <c r="A19" s="5" t="s">
        <v>24</v>
      </c>
      <c r="B19" s="6">
        <v>8194.5107000000007</v>
      </c>
      <c r="C19" s="6">
        <v>97.378100000000003</v>
      </c>
      <c r="D19" s="6">
        <v>8.3045000000000009</v>
      </c>
      <c r="E19" s="6">
        <v>75.900000000000006</v>
      </c>
      <c r="F19" s="6">
        <v>80.621099999999998</v>
      </c>
      <c r="G19" s="6">
        <v>71.744900000000001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4">
      <c r="A20" s="5" t="s">
        <v>25</v>
      </c>
      <c r="B20" s="6">
        <v>1041.8186000000001</v>
      </c>
      <c r="C20" s="6">
        <v>47.241599999999998</v>
      </c>
      <c r="D20" s="6">
        <v>3.9186999999999999</v>
      </c>
      <c r="E20" s="6">
        <v>26.1</v>
      </c>
      <c r="F20" s="6">
        <v>34.810699999999997</v>
      </c>
      <c r="G20" s="6">
        <v>64.269900000000007</v>
      </c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4">
      <c r="A21" s="5" t="s">
        <v>26</v>
      </c>
      <c r="B21" s="6">
        <v>700.70219999999995</v>
      </c>
      <c r="C21" s="6">
        <v>41.3215</v>
      </c>
      <c r="D21" s="6">
        <v>5.0510999999999999</v>
      </c>
      <c r="E21" s="6">
        <v>19</v>
      </c>
      <c r="F21" s="6">
        <v>33.476399999999998</v>
      </c>
      <c r="G21" s="6">
        <v>62.916200000000003</v>
      </c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4">
      <c r="A22" s="5" t="s">
        <v>27</v>
      </c>
      <c r="B22" s="6">
        <v>2001.0393999999999</v>
      </c>
      <c r="C22" s="6">
        <v>68.511300000000006</v>
      </c>
      <c r="D22" s="6">
        <v>3.7732000000000001</v>
      </c>
      <c r="E22" s="6">
        <v>47.4</v>
      </c>
      <c r="F22" s="6">
        <v>40.403799999999997</v>
      </c>
      <c r="G22" s="6">
        <v>66.007099999999994</v>
      </c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4">
      <c r="A23" s="5" t="s">
        <v>28</v>
      </c>
      <c r="B23" s="6">
        <v>5215.4402</v>
      </c>
      <c r="C23" s="6">
        <v>61.373899999999999</v>
      </c>
      <c r="D23" s="6">
        <v>5.4339000000000004</v>
      </c>
      <c r="E23" s="6">
        <v>54.2</v>
      </c>
      <c r="F23" s="6">
        <v>54.818899999999999</v>
      </c>
      <c r="G23" s="6">
        <v>69.711299999999994</v>
      </c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4">
      <c r="A24" s="5" t="s">
        <v>29</v>
      </c>
      <c r="B24" s="6">
        <v>61198.251199999999</v>
      </c>
      <c r="C24" s="6">
        <v>101.82850000000001</v>
      </c>
      <c r="D24" s="6">
        <v>16.961600000000001</v>
      </c>
      <c r="E24" s="6">
        <v>91.5</v>
      </c>
      <c r="F24" s="6">
        <v>80.234999999999999</v>
      </c>
      <c r="G24" s="6">
        <v>76.858999999999995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4">
      <c r="A25" s="5" t="s">
        <v>30</v>
      </c>
      <c r="B25" s="6">
        <v>10988.315000000001</v>
      </c>
      <c r="C25" s="6">
        <v>75.212699999999998</v>
      </c>
      <c r="D25" s="6">
        <v>7.3818999999999999</v>
      </c>
      <c r="E25" s="6">
        <v>69.099999999999994</v>
      </c>
      <c r="F25" s="6">
        <v>51.3401</v>
      </c>
      <c r="G25" s="6">
        <v>70.775700000000001</v>
      </c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4">
      <c r="A26" s="5" t="s">
        <v>31</v>
      </c>
      <c r="B26" s="6">
        <v>1957.5179000000001</v>
      </c>
      <c r="C26" s="6">
        <v>79.321299999999994</v>
      </c>
      <c r="D26" s="6">
        <v>3.3005</v>
      </c>
      <c r="E26" s="6">
        <v>48</v>
      </c>
      <c r="F26" s="6">
        <v>34.508699999999997</v>
      </c>
      <c r="G26" s="6">
        <v>67.8215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x14ac:dyDescent="0.4">
      <c r="A27" s="5" t="s">
        <v>32</v>
      </c>
      <c r="B27" s="6">
        <v>1957.5179000000001</v>
      </c>
      <c r="C27" s="6">
        <v>79.321299999999994</v>
      </c>
      <c r="D27" s="6">
        <v>3.3005</v>
      </c>
      <c r="E27" s="6">
        <v>48</v>
      </c>
      <c r="F27" s="6">
        <v>34.508699999999997</v>
      </c>
      <c r="G27" s="6">
        <v>67.8215</v>
      </c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x14ac:dyDescent="0.4">
      <c r="A28" s="5" t="s">
        <v>33</v>
      </c>
      <c r="B28" s="6">
        <v>1545.1139000000001</v>
      </c>
      <c r="C28" s="6">
        <v>45.329599999999999</v>
      </c>
      <c r="D28" s="6">
        <v>5.0743999999999998</v>
      </c>
      <c r="E28" s="6">
        <v>29</v>
      </c>
      <c r="F28" s="6">
        <v>42.649000000000001</v>
      </c>
      <c r="G28" s="6">
        <v>60.703000000000003</v>
      </c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x14ac:dyDescent="0.4">
      <c r="A29" s="5" t="s">
        <v>34</v>
      </c>
      <c r="B29" s="6">
        <v>1543.8329000000001</v>
      </c>
      <c r="C29" s="6">
        <v>45.3279</v>
      </c>
      <c r="D29" s="6">
        <v>5.0743</v>
      </c>
      <c r="E29" s="6">
        <v>30.3</v>
      </c>
      <c r="F29" s="6">
        <v>42.648800000000001</v>
      </c>
      <c r="G29" s="6">
        <v>60.701999999999998</v>
      </c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x14ac:dyDescent="0.4">
      <c r="A30" s="5" t="s">
        <v>35</v>
      </c>
      <c r="B30" s="6">
        <v>1545.1139000000001</v>
      </c>
      <c r="C30" s="6">
        <v>45.329599999999999</v>
      </c>
      <c r="D30" s="6">
        <v>5.0743999999999998</v>
      </c>
      <c r="E30" s="6">
        <v>28.9</v>
      </c>
      <c r="F30" s="6">
        <v>42.649000000000001</v>
      </c>
      <c r="G30" s="6">
        <v>60.703000000000003</v>
      </c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x14ac:dyDescent="0.4">
      <c r="A31" s="5" t="s">
        <v>36</v>
      </c>
      <c r="B31" s="6">
        <v>8773.6893999999993</v>
      </c>
      <c r="C31" s="6">
        <v>94.936800000000005</v>
      </c>
      <c r="D31" s="6">
        <v>5.7125000000000004</v>
      </c>
      <c r="E31" s="6">
        <v>79.400000000000006</v>
      </c>
      <c r="F31" s="6">
        <v>66.66</v>
      </c>
      <c r="G31" s="6">
        <v>74.418099999999995</v>
      </c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x14ac:dyDescent="0.4">
      <c r="A32" s="5" t="s">
        <v>37</v>
      </c>
      <c r="B32" s="6">
        <v>11167.604499999999</v>
      </c>
      <c r="C32" s="6">
        <v>77.296300000000002</v>
      </c>
      <c r="D32" s="6">
        <v>10.292999999999999</v>
      </c>
      <c r="E32" s="6">
        <v>63.8</v>
      </c>
      <c r="F32" s="6">
        <v>56.809199999999997</v>
      </c>
      <c r="G32" s="6">
        <v>71.216099999999997</v>
      </c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x14ac:dyDescent="0.4">
      <c r="A33" s="5" t="s">
        <v>38</v>
      </c>
      <c r="B33" s="6">
        <v>5511.7574000000004</v>
      </c>
      <c r="C33" s="6">
        <v>97.665000000000006</v>
      </c>
      <c r="D33" s="6">
        <v>7.3574999999999999</v>
      </c>
      <c r="E33" s="6">
        <v>79.323700000000002</v>
      </c>
      <c r="F33" s="6">
        <v>57.5077</v>
      </c>
      <c r="G33" s="6">
        <v>76.843999999999994</v>
      </c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4">
      <c r="A34" s="5" t="s">
        <v>39</v>
      </c>
      <c r="B34" s="6">
        <v>36929.019200000002</v>
      </c>
      <c r="C34" s="6">
        <v>98.040400000000005</v>
      </c>
      <c r="D34" s="6">
        <v>8.6466999999999992</v>
      </c>
      <c r="E34" s="6">
        <v>93.897499999999994</v>
      </c>
      <c r="F34" s="6">
        <v>88.662700000000001</v>
      </c>
      <c r="G34" s="6">
        <v>82.331000000000003</v>
      </c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4">
      <c r="A35" s="5" t="s">
        <v>40</v>
      </c>
      <c r="B35" s="6">
        <v>2788.1673999999998</v>
      </c>
      <c r="C35" s="6">
        <v>53.135199999999998</v>
      </c>
      <c r="D35" s="6">
        <v>2.7399</v>
      </c>
      <c r="E35" s="6">
        <v>34.5565</v>
      </c>
      <c r="F35" s="6">
        <v>68.252399999999994</v>
      </c>
      <c r="G35" s="6">
        <v>62.957999999999998</v>
      </c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4">
      <c r="A36" s="5" t="s">
        <v>41</v>
      </c>
      <c r="B36" s="6">
        <v>12549.281199999999</v>
      </c>
      <c r="C36" s="6">
        <v>115.7358</v>
      </c>
      <c r="D36" s="6">
        <v>11.0091</v>
      </c>
      <c r="E36" s="6">
        <v>87.150700000000001</v>
      </c>
      <c r="F36" s="6">
        <v>92.029300000000006</v>
      </c>
      <c r="G36" s="6">
        <v>73.947999999999993</v>
      </c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4">
      <c r="A37" s="5" t="s">
        <v>42</v>
      </c>
      <c r="B37" s="6">
        <v>4264.7996000000003</v>
      </c>
      <c r="C37" s="6">
        <v>91.485399999999998</v>
      </c>
      <c r="D37" s="6">
        <v>12.322699999999999</v>
      </c>
      <c r="E37" s="6">
        <v>78.612300000000005</v>
      </c>
      <c r="F37" s="6">
        <v>65.357299999999995</v>
      </c>
      <c r="G37" s="6">
        <v>72.278000000000006</v>
      </c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4">
      <c r="A38" s="5" t="s">
        <v>43</v>
      </c>
      <c r="B38" s="6">
        <v>59465.5357</v>
      </c>
      <c r="C38" s="6">
        <v>135.5266</v>
      </c>
      <c r="D38" s="6">
        <v>10.5161</v>
      </c>
      <c r="E38" s="6">
        <v>96.972200000000001</v>
      </c>
      <c r="F38" s="6">
        <v>87.235299999999995</v>
      </c>
      <c r="G38" s="6">
        <v>83.3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4">
      <c r="A39" s="5" t="s">
        <v>44</v>
      </c>
      <c r="B39" s="6">
        <v>45368.643400000001</v>
      </c>
      <c r="C39" s="6">
        <v>102.3077</v>
      </c>
      <c r="D39" s="6">
        <v>12.1852</v>
      </c>
      <c r="E39" s="6">
        <v>92.529200000000003</v>
      </c>
      <c r="F39" s="6">
        <v>68.773600000000002</v>
      </c>
      <c r="G39" s="6">
        <v>81.190200000000004</v>
      </c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x14ac:dyDescent="0.4">
      <c r="A40" s="5" t="s">
        <v>45</v>
      </c>
      <c r="B40" s="6">
        <v>5349.5823</v>
      </c>
      <c r="C40" s="6">
        <v>91.410600000000002</v>
      </c>
      <c r="D40" s="6">
        <v>4.6852999999999998</v>
      </c>
      <c r="E40" s="6">
        <v>86</v>
      </c>
      <c r="F40" s="6">
        <v>58.366</v>
      </c>
      <c r="G40" s="6">
        <v>70.998999999999995</v>
      </c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4">
      <c r="A41" s="5" t="s">
        <v>46</v>
      </c>
      <c r="B41" s="6">
        <v>29114.059799999999</v>
      </c>
      <c r="C41" s="6">
        <v>72.638199999999998</v>
      </c>
      <c r="D41" s="6">
        <v>6.7854000000000001</v>
      </c>
      <c r="E41" s="6">
        <v>92.349800000000002</v>
      </c>
      <c r="F41" s="6">
        <v>81.478399999999993</v>
      </c>
      <c r="G41" s="6">
        <v>70.751999999999995</v>
      </c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4">
      <c r="A42" s="5" t="s">
        <v>47</v>
      </c>
      <c r="B42" s="6">
        <v>1702.0803000000001</v>
      </c>
      <c r="C42" s="6">
        <v>66.828199999999995</v>
      </c>
      <c r="D42" s="6">
        <v>2.2667999999999999</v>
      </c>
      <c r="E42" s="6">
        <v>38.917400000000001</v>
      </c>
      <c r="F42" s="6">
        <v>31.3992</v>
      </c>
      <c r="G42" s="6">
        <v>71.102999999999994</v>
      </c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4">
      <c r="A43" s="5" t="s">
        <v>48</v>
      </c>
      <c r="B43" s="6">
        <v>18395.615399999999</v>
      </c>
      <c r="C43" s="6">
        <v>103.56950000000001</v>
      </c>
      <c r="D43" s="6">
        <v>7.4428000000000001</v>
      </c>
      <c r="E43" s="6">
        <v>69.4756</v>
      </c>
      <c r="F43" s="6">
        <v>59.322000000000003</v>
      </c>
      <c r="G43" s="6">
        <v>76.58</v>
      </c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4">
      <c r="A44" s="5" t="s">
        <v>49</v>
      </c>
      <c r="B44" s="6">
        <v>6457.7304999999997</v>
      </c>
      <c r="C44" s="6">
        <v>100.42059999999999</v>
      </c>
      <c r="D44" s="6">
        <v>6.5655000000000001</v>
      </c>
      <c r="E44" s="6">
        <v>86.888400000000004</v>
      </c>
      <c r="F44" s="6">
        <v>78.131100000000004</v>
      </c>
      <c r="G44" s="6">
        <v>72.0715</v>
      </c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4">
      <c r="A45" s="5" t="s">
        <v>50</v>
      </c>
      <c r="B45" s="6">
        <v>43140.967700000001</v>
      </c>
      <c r="C45" s="6">
        <v>143.1635</v>
      </c>
      <c r="D45" s="6">
        <v>11.2883</v>
      </c>
      <c r="E45" s="6">
        <v>92.788700000000006</v>
      </c>
      <c r="F45" s="6">
        <v>87.430599999999998</v>
      </c>
      <c r="G45" s="6">
        <v>81.790199999999999</v>
      </c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4">
      <c r="A46" s="5" t="s">
        <v>51</v>
      </c>
      <c r="B46" s="6">
        <v>5839.4016000000001</v>
      </c>
      <c r="C46" s="6">
        <v>88.821600000000004</v>
      </c>
      <c r="D46" s="6">
        <v>5.0460000000000003</v>
      </c>
      <c r="E46" s="6">
        <v>70.653700000000001</v>
      </c>
      <c r="F46" s="6">
        <v>42.391100000000002</v>
      </c>
      <c r="G46" s="6">
        <v>70.917000000000002</v>
      </c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x14ac:dyDescent="0.4">
      <c r="A47" s="5" t="s">
        <v>52</v>
      </c>
      <c r="B47" s="6">
        <v>1176.3773000000001</v>
      </c>
      <c r="C47" s="6">
        <v>44.273800000000001</v>
      </c>
      <c r="D47" s="6">
        <v>2.9159000000000002</v>
      </c>
      <c r="E47" s="6">
        <v>28.204699999999999</v>
      </c>
      <c r="F47" s="6">
        <v>50.196199999999997</v>
      </c>
      <c r="G47" s="6">
        <v>59.61</v>
      </c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4">
      <c r="A48" s="5" t="s">
        <v>53</v>
      </c>
      <c r="B48" s="6">
        <v>3206.2037</v>
      </c>
      <c r="C48" s="6">
        <v>92.524799999999999</v>
      </c>
      <c r="D48" s="6">
        <v>4.7858000000000001</v>
      </c>
      <c r="E48" s="6">
        <v>85.636899999999997</v>
      </c>
      <c r="F48" s="6">
        <v>40.307499999999997</v>
      </c>
      <c r="G48" s="6">
        <v>72.447999999999993</v>
      </c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x14ac:dyDescent="0.4">
      <c r="A49" s="5" t="s">
        <v>54</v>
      </c>
      <c r="B49" s="6">
        <v>3011.5511000000001</v>
      </c>
      <c r="C49" s="6">
        <v>90.414400000000001</v>
      </c>
      <c r="D49" s="6">
        <v>8.1601999999999997</v>
      </c>
      <c r="E49" s="6">
        <v>65.977400000000003</v>
      </c>
      <c r="F49" s="6">
        <v>70.344999999999999</v>
      </c>
      <c r="G49" s="6">
        <v>61.427</v>
      </c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4">
      <c r="A50" s="5" t="s">
        <v>55</v>
      </c>
      <c r="B50" s="6">
        <v>5995.5420000000004</v>
      </c>
      <c r="C50" s="6">
        <v>85.676100000000005</v>
      </c>
      <c r="D50" s="6">
        <v>9.5550999999999995</v>
      </c>
      <c r="E50" s="6">
        <v>75.676199999999994</v>
      </c>
      <c r="F50" s="6">
        <v>50.489899999999999</v>
      </c>
      <c r="G50" s="6">
        <v>74.566999999999993</v>
      </c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4">
      <c r="A51" s="5" t="s">
        <v>56</v>
      </c>
      <c r="B51" s="6">
        <v>6895.9117999999999</v>
      </c>
      <c r="C51" s="6">
        <v>70.629300000000001</v>
      </c>
      <c r="D51" s="6">
        <v>6.3032000000000004</v>
      </c>
      <c r="E51" s="6">
        <v>54.700699999999998</v>
      </c>
      <c r="F51" s="6">
        <v>66.518299999999996</v>
      </c>
      <c r="G51" s="6">
        <v>63.302999999999997</v>
      </c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x14ac:dyDescent="0.4">
      <c r="A52" s="5" t="s">
        <v>57</v>
      </c>
      <c r="B52" s="6">
        <v>8799.2294999999995</v>
      </c>
      <c r="C52" s="6">
        <v>106.2985</v>
      </c>
      <c r="D52" s="6">
        <v>9.6364999999999998</v>
      </c>
      <c r="E52" s="6">
        <v>80.689899999999994</v>
      </c>
      <c r="F52" s="6">
        <v>87.136099999999999</v>
      </c>
      <c r="G52" s="6">
        <v>73.037999999999997</v>
      </c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4">
      <c r="A53" s="5" t="s">
        <v>58</v>
      </c>
      <c r="B53" s="6">
        <v>9161.9454000000005</v>
      </c>
      <c r="C53" s="6">
        <v>98.708799999999997</v>
      </c>
      <c r="D53" s="6">
        <v>8.5805000000000007</v>
      </c>
      <c r="E53" s="6">
        <v>75.2714</v>
      </c>
      <c r="F53" s="6">
        <v>73.346800000000002</v>
      </c>
      <c r="G53" s="6">
        <v>71.212199999999996</v>
      </c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x14ac:dyDescent="0.4">
      <c r="A54" s="5" t="s">
        <v>59</v>
      </c>
      <c r="B54" s="6">
        <v>745.47260000000006</v>
      </c>
      <c r="C54" s="6">
        <v>38.148000000000003</v>
      </c>
      <c r="D54" s="6">
        <v>7.0869</v>
      </c>
      <c r="E54" s="6">
        <v>18.152200000000001</v>
      </c>
      <c r="F54" s="6">
        <v>26.811399999999999</v>
      </c>
      <c r="G54" s="6">
        <v>60.045999999999999</v>
      </c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4">
      <c r="A55" s="5" t="s">
        <v>60</v>
      </c>
      <c r="B55" s="6">
        <v>3471.6552999999999</v>
      </c>
      <c r="C55" s="6">
        <v>97.005899999999997</v>
      </c>
      <c r="D55" s="6">
        <v>6.6077000000000004</v>
      </c>
      <c r="E55" s="6">
        <v>70.282499999999999</v>
      </c>
      <c r="F55" s="6">
        <v>74.160799999999995</v>
      </c>
      <c r="G55" s="6">
        <v>74.424000000000007</v>
      </c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x14ac:dyDescent="0.4">
      <c r="A56" s="5" t="s">
        <v>61</v>
      </c>
      <c r="B56" s="6">
        <v>1938.7644</v>
      </c>
      <c r="C56" s="6">
        <v>54.280900000000003</v>
      </c>
      <c r="D56" s="6">
        <v>6.3388999999999998</v>
      </c>
      <c r="E56" s="6">
        <v>60.762700000000002</v>
      </c>
      <c r="F56" s="6">
        <v>40.109200000000001</v>
      </c>
      <c r="G56" s="6">
        <v>69.301000000000002</v>
      </c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x14ac:dyDescent="0.4">
      <c r="A57" s="5" t="s">
        <v>62</v>
      </c>
      <c r="B57" s="6">
        <v>1443.576</v>
      </c>
      <c r="C57" s="6">
        <v>45.525599999999997</v>
      </c>
      <c r="D57" s="6">
        <v>4.3411</v>
      </c>
      <c r="E57" s="6">
        <v>38.892600000000002</v>
      </c>
      <c r="F57" s="6">
        <v>54.554900000000004</v>
      </c>
      <c r="G57" s="6">
        <v>61.146000000000001</v>
      </c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4">
      <c r="A58" s="5" t="s">
        <v>63</v>
      </c>
      <c r="B58" s="6">
        <v>44639.238100000002</v>
      </c>
      <c r="C58" s="6">
        <v>108.3373</v>
      </c>
      <c r="D58" s="6">
        <v>12.3811</v>
      </c>
      <c r="E58" s="6">
        <v>93.937100000000001</v>
      </c>
      <c r="F58" s="6">
        <v>82.177899999999994</v>
      </c>
      <c r="G58" s="6">
        <v>81.451499999999996</v>
      </c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x14ac:dyDescent="0.4">
      <c r="A59" s="5" t="s">
        <v>64</v>
      </c>
      <c r="B59" s="6">
        <v>857.52760000000001</v>
      </c>
      <c r="C59" s="6">
        <v>23.154199999999999</v>
      </c>
      <c r="D59" s="6">
        <v>3.9722</v>
      </c>
      <c r="E59" s="6">
        <v>9.6537000000000006</v>
      </c>
      <c r="F59" s="6">
        <v>25.231200000000001</v>
      </c>
      <c r="G59" s="6">
        <v>53.136000000000003</v>
      </c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4">
      <c r="A60" s="5" t="s">
        <v>65</v>
      </c>
      <c r="B60" s="6">
        <v>14056.2516</v>
      </c>
      <c r="C60" s="6">
        <v>106.6735</v>
      </c>
      <c r="D60" s="6">
        <v>9.7245000000000008</v>
      </c>
      <c r="E60" s="6">
        <v>90.232799999999997</v>
      </c>
      <c r="F60" s="6">
        <v>88.466099999999997</v>
      </c>
      <c r="G60" s="6">
        <v>78.876000000000005</v>
      </c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4">
      <c r="A61" s="5" t="s">
        <v>66</v>
      </c>
      <c r="B61" s="6">
        <v>6457.1692000000003</v>
      </c>
      <c r="C61" s="6">
        <v>102.988</v>
      </c>
      <c r="D61" s="6">
        <v>9.1415000000000006</v>
      </c>
      <c r="E61" s="6">
        <v>73.028400000000005</v>
      </c>
      <c r="F61" s="6">
        <v>77.834000000000003</v>
      </c>
      <c r="G61" s="6">
        <v>72.697999999999993</v>
      </c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x14ac:dyDescent="0.4">
      <c r="A62" s="5" t="s">
        <v>67</v>
      </c>
      <c r="B62" s="6">
        <v>485.16079999999999</v>
      </c>
      <c r="C62" s="6">
        <v>55.363599999999998</v>
      </c>
      <c r="D62" s="6">
        <v>3.8673000000000002</v>
      </c>
      <c r="E62" s="6">
        <v>16.159600000000001</v>
      </c>
      <c r="F62" s="6">
        <v>43.629100000000001</v>
      </c>
      <c r="G62" s="6">
        <v>60.043999999999997</v>
      </c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x14ac:dyDescent="0.4">
      <c r="A63" s="5" t="s">
        <v>68</v>
      </c>
      <c r="B63" s="6">
        <v>13267.254999999999</v>
      </c>
      <c r="C63" s="6">
        <v>138.9034</v>
      </c>
      <c r="D63" s="6">
        <v>7.6113</v>
      </c>
      <c r="E63" s="6">
        <v>82.748999999999995</v>
      </c>
      <c r="F63" s="6">
        <v>77.986900000000006</v>
      </c>
      <c r="G63" s="6">
        <v>78.05</v>
      </c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4">
      <c r="A64" s="5" t="s">
        <v>69</v>
      </c>
      <c r="B64" s="6">
        <v>2146.4605000000001</v>
      </c>
      <c r="C64" s="6">
        <v>57.136000000000003</v>
      </c>
      <c r="D64" s="6">
        <v>3.7621000000000002</v>
      </c>
      <c r="E64" s="6">
        <v>35.950699999999998</v>
      </c>
      <c r="F64" s="6">
        <v>52.318300000000001</v>
      </c>
      <c r="G64" s="6">
        <v>60.29</v>
      </c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4">
      <c r="A65" s="5" t="s">
        <v>70</v>
      </c>
      <c r="B65" s="6">
        <v>15395.2862</v>
      </c>
      <c r="C65" s="6">
        <v>105.8763</v>
      </c>
      <c r="D65" s="6">
        <v>8.0827000000000009</v>
      </c>
      <c r="E65" s="6">
        <v>81.254000000000005</v>
      </c>
      <c r="F65" s="6">
        <v>56.7684</v>
      </c>
      <c r="G65" s="6">
        <v>76.424400000000006</v>
      </c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x14ac:dyDescent="0.4">
      <c r="A66" s="5" t="s">
        <v>71</v>
      </c>
      <c r="B66" s="6">
        <v>7379.0428000000002</v>
      </c>
      <c r="C66" s="6">
        <v>100.0162</v>
      </c>
      <c r="D66" s="6">
        <v>13.7875</v>
      </c>
      <c r="E66" s="6">
        <v>67.643500000000003</v>
      </c>
      <c r="F66" s="6">
        <v>77.098799999999997</v>
      </c>
      <c r="G66" s="6">
        <v>73.200999999999993</v>
      </c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x14ac:dyDescent="0.4">
      <c r="A67" s="5" t="s">
        <v>72</v>
      </c>
      <c r="B67" s="6">
        <v>29517.0586</v>
      </c>
      <c r="C67" s="6">
        <v>102.04770000000001</v>
      </c>
      <c r="D67" s="6">
        <v>8.8744999999999994</v>
      </c>
      <c r="E67" s="6">
        <v>90.759500000000003</v>
      </c>
      <c r="F67" s="6">
        <v>66.671800000000005</v>
      </c>
      <c r="G67" s="6">
        <v>80.572999999999993</v>
      </c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x14ac:dyDescent="0.4">
      <c r="A68" s="5" t="s">
        <v>73</v>
      </c>
      <c r="B68" s="6">
        <v>20373.8783</v>
      </c>
      <c r="C68" s="6">
        <v>102.0899</v>
      </c>
      <c r="D68" s="6">
        <v>9.1541999999999994</v>
      </c>
      <c r="E68" s="6">
        <v>82.670599999999993</v>
      </c>
      <c r="F68" s="6">
        <v>72.681100000000001</v>
      </c>
      <c r="G68" s="6">
        <v>77.221999999999994</v>
      </c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x14ac:dyDescent="0.4">
      <c r="A69" s="5" t="s">
        <v>74</v>
      </c>
      <c r="B69" s="6">
        <v>59312.815799999997</v>
      </c>
      <c r="C69" s="6">
        <v>131.77199999999999</v>
      </c>
      <c r="D69" s="6">
        <v>10.655799999999999</v>
      </c>
      <c r="E69" s="6">
        <v>98.865899999999996</v>
      </c>
      <c r="F69" s="6">
        <v>88.261600000000001</v>
      </c>
      <c r="G69" s="6">
        <v>81.404899999999998</v>
      </c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x14ac:dyDescent="0.4">
      <c r="A70" s="5" t="s">
        <v>75</v>
      </c>
      <c r="B70" s="6">
        <v>7738.3172999999997</v>
      </c>
      <c r="C70" s="6">
        <v>105.5356</v>
      </c>
      <c r="D70" s="6">
        <v>6.3113999999999999</v>
      </c>
      <c r="E70" s="6">
        <v>78.079499999999996</v>
      </c>
      <c r="F70" s="6">
        <v>72.261399999999995</v>
      </c>
      <c r="G70" s="6">
        <v>69.831999999999994</v>
      </c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x14ac:dyDescent="0.4">
      <c r="A71" s="5" t="s">
        <v>76</v>
      </c>
      <c r="B71" s="6">
        <v>8344.9050999999999</v>
      </c>
      <c r="C71" s="6">
        <v>75.704499999999996</v>
      </c>
      <c r="D71" s="6">
        <v>5.0884</v>
      </c>
      <c r="E71" s="6">
        <v>85.242999999999995</v>
      </c>
      <c r="F71" s="6">
        <v>72.924300000000002</v>
      </c>
      <c r="G71" s="6">
        <v>71.757000000000005</v>
      </c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x14ac:dyDescent="0.4">
      <c r="A72" s="5" t="s">
        <v>77</v>
      </c>
      <c r="B72" s="6">
        <v>5815.0947999999999</v>
      </c>
      <c r="C72" s="6">
        <v>94.5899</v>
      </c>
      <c r="D72" s="6">
        <v>8.3752999999999993</v>
      </c>
      <c r="E72" s="6">
        <v>69.114800000000002</v>
      </c>
      <c r="F72" s="6">
        <v>63.0871</v>
      </c>
      <c r="G72" s="6">
        <v>72.745999999999995</v>
      </c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x14ac:dyDescent="0.4">
      <c r="A73" s="5" t="s">
        <v>78</v>
      </c>
      <c r="B73" s="6">
        <v>3837.3199</v>
      </c>
      <c r="C73" s="6">
        <v>81.883300000000006</v>
      </c>
      <c r="D73" s="6">
        <v>4.6096000000000004</v>
      </c>
      <c r="E73" s="6">
        <v>72.055999999999997</v>
      </c>
      <c r="F73" s="6">
        <v>42.568600000000004</v>
      </c>
      <c r="G73" s="6">
        <v>68.975999999999999</v>
      </c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x14ac:dyDescent="0.4">
      <c r="A74" s="5" t="s">
        <v>79</v>
      </c>
      <c r="B74" s="6">
        <v>4247.5474999999997</v>
      </c>
      <c r="C74" s="6">
        <v>64.981399999999994</v>
      </c>
      <c r="D74" s="6">
        <v>10.1267</v>
      </c>
      <c r="E74" s="6">
        <v>57.263800000000003</v>
      </c>
      <c r="F74" s="6">
        <v>73.683899999999994</v>
      </c>
      <c r="G74" s="6">
        <v>69.941000000000003</v>
      </c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x14ac:dyDescent="0.4">
      <c r="A75" s="5" t="s">
        <v>80</v>
      </c>
      <c r="B75" s="6">
        <v>21570.665799999999</v>
      </c>
      <c r="C75" s="6">
        <v>113.01090000000001</v>
      </c>
      <c r="D75" s="6">
        <v>7.4759000000000002</v>
      </c>
      <c r="E75" s="6">
        <v>90.979699999999994</v>
      </c>
      <c r="F75" s="6">
        <v>70.177700000000002</v>
      </c>
      <c r="G75" s="6">
        <v>76.943899999999999</v>
      </c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4">
      <c r="A76" s="5" t="s">
        <v>81</v>
      </c>
      <c r="B76" s="6">
        <v>4507.3334999999997</v>
      </c>
      <c r="C76" s="6">
        <v>93.955100000000002</v>
      </c>
      <c r="D76" s="6">
        <v>7.0608000000000004</v>
      </c>
      <c r="E76" s="6">
        <v>70.567999999999998</v>
      </c>
      <c r="F76" s="6">
        <v>57.661799999999999</v>
      </c>
      <c r="G76" s="6">
        <v>64.903999999999996</v>
      </c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x14ac:dyDescent="0.4">
      <c r="A77" s="5" t="s">
        <v>82</v>
      </c>
      <c r="B77" s="6">
        <v>45792.045400000003</v>
      </c>
      <c r="C77" s="6">
        <v>143.3613</v>
      </c>
      <c r="D77" s="6">
        <v>9.9097000000000008</v>
      </c>
      <c r="E77" s="6">
        <v>92.808099999999996</v>
      </c>
      <c r="F77" s="6">
        <v>73.370999999999995</v>
      </c>
      <c r="G77" s="6">
        <v>81.885400000000004</v>
      </c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x14ac:dyDescent="0.4">
      <c r="A78" s="5" t="s">
        <v>83</v>
      </c>
      <c r="B78" s="6">
        <v>38030.857199999999</v>
      </c>
      <c r="C78" s="6">
        <v>104.5228</v>
      </c>
      <c r="D78" s="6">
        <v>12.248900000000001</v>
      </c>
      <c r="E78" s="6">
        <v>86.095500000000001</v>
      </c>
      <c r="F78" s="6">
        <v>78.736500000000007</v>
      </c>
      <c r="G78" s="6">
        <v>82.324399999999997</v>
      </c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x14ac:dyDescent="0.4">
      <c r="A79" s="5" t="s">
        <v>84</v>
      </c>
      <c r="B79" s="6">
        <v>689.4932</v>
      </c>
      <c r="C79" s="6">
        <v>107.0271</v>
      </c>
      <c r="D79" s="6">
        <v>3.7431999999999999</v>
      </c>
      <c r="E79" s="6">
        <v>41.673099999999998</v>
      </c>
      <c r="F79" s="6">
        <v>62.755099999999999</v>
      </c>
      <c r="G79" s="6">
        <v>63.847000000000001</v>
      </c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4">
      <c r="A80" s="5" t="s">
        <v>85</v>
      </c>
      <c r="B80" s="6">
        <v>5175.1986999999999</v>
      </c>
      <c r="C80" s="6">
        <v>106.20189999999999</v>
      </c>
      <c r="D80" s="6">
        <v>10.538399999999999</v>
      </c>
      <c r="E80" s="6">
        <v>76.442700000000002</v>
      </c>
      <c r="F80" s="6">
        <v>59.429400000000001</v>
      </c>
      <c r="G80" s="6">
        <v>71.635000000000005</v>
      </c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x14ac:dyDescent="0.4">
      <c r="A81" s="5" t="s">
        <v>86</v>
      </c>
      <c r="B81" s="6">
        <v>44011.019500000002</v>
      </c>
      <c r="C81" s="6">
        <v>101.20350000000001</v>
      </c>
      <c r="D81" s="6">
        <v>12.724</v>
      </c>
      <c r="E81" s="6">
        <v>91.430599999999998</v>
      </c>
      <c r="F81" s="6">
        <v>81.632599999999996</v>
      </c>
      <c r="G81" s="6">
        <v>80.790199999999999</v>
      </c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4">
      <c r="A82" s="5" t="s">
        <v>87</v>
      </c>
      <c r="B82" s="6">
        <v>2030.0487000000001</v>
      </c>
      <c r="C82" s="6">
        <v>76.208500000000001</v>
      </c>
      <c r="D82" s="6">
        <v>3.8603000000000001</v>
      </c>
      <c r="E82" s="6">
        <v>68.599999999999994</v>
      </c>
      <c r="F82" s="6">
        <v>56.695300000000003</v>
      </c>
      <c r="G82" s="6">
        <v>64.286000000000001</v>
      </c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x14ac:dyDescent="0.4">
      <c r="A83" s="5" t="s">
        <v>88</v>
      </c>
      <c r="B83" s="6">
        <v>19231.2889</v>
      </c>
      <c r="C83" s="6">
        <v>104.77809999999999</v>
      </c>
      <c r="D83" s="6">
        <v>9.0318000000000005</v>
      </c>
      <c r="E83" s="6">
        <v>78.494299999999996</v>
      </c>
      <c r="F83" s="6">
        <v>78.388499999999993</v>
      </c>
      <c r="G83" s="6">
        <v>80.082899999999995</v>
      </c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4">
      <c r="A84" s="5" t="s">
        <v>89</v>
      </c>
      <c r="B84" s="6">
        <v>8782.3219000000008</v>
      </c>
      <c r="C84" s="6">
        <v>100.9892</v>
      </c>
      <c r="D84" s="6">
        <v>5.2796000000000003</v>
      </c>
      <c r="E84" s="6">
        <v>67.022800000000004</v>
      </c>
      <c r="F84" s="6">
        <v>36.283200000000001</v>
      </c>
      <c r="G84" s="6">
        <v>74.522000000000006</v>
      </c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x14ac:dyDescent="0.4">
      <c r="A85" s="5" t="s">
        <v>90</v>
      </c>
      <c r="B85" s="6">
        <v>4268.6286</v>
      </c>
      <c r="C85" s="6">
        <v>48.157499999999999</v>
      </c>
      <c r="D85" s="6">
        <v>7.3570000000000002</v>
      </c>
      <c r="E85" s="6">
        <v>50.8416</v>
      </c>
      <c r="F85" s="6">
        <v>54.904699999999998</v>
      </c>
      <c r="G85" s="6">
        <v>67.858000000000004</v>
      </c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4">
      <c r="A86" s="5" t="s">
        <v>91</v>
      </c>
      <c r="B86" s="6">
        <v>10711.997300000001</v>
      </c>
      <c r="C86" s="6">
        <v>86.700699999999998</v>
      </c>
      <c r="D86" s="6">
        <v>4.6433</v>
      </c>
      <c r="E86" s="6">
        <v>71.650899999999993</v>
      </c>
      <c r="F86" s="6">
        <v>26.443300000000001</v>
      </c>
      <c r="G86" s="6">
        <v>64.322999999999993</v>
      </c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x14ac:dyDescent="0.4">
      <c r="A87" s="5" t="s">
        <v>92</v>
      </c>
      <c r="B87" s="6">
        <v>2423.7662999999998</v>
      </c>
      <c r="C87" s="6">
        <v>54.5047</v>
      </c>
      <c r="D87" s="6">
        <v>9.2730999999999995</v>
      </c>
      <c r="E87" s="6">
        <v>51.951599999999999</v>
      </c>
      <c r="F87" s="6">
        <v>57.354999999999997</v>
      </c>
      <c r="G87" s="6">
        <v>69.492000000000004</v>
      </c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4">
      <c r="A88" s="5" t="s">
        <v>93</v>
      </c>
      <c r="B88" s="6">
        <v>15787.9535</v>
      </c>
      <c r="C88" s="6">
        <v>99.646000000000001</v>
      </c>
      <c r="D88" s="6">
        <v>7.3352000000000004</v>
      </c>
      <c r="E88" s="6">
        <v>88.640799999999999</v>
      </c>
      <c r="F88" s="6">
        <v>70.2059</v>
      </c>
      <c r="G88" s="6">
        <v>74.065899999999999</v>
      </c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x14ac:dyDescent="0.4">
      <c r="A89" s="5" t="s">
        <v>94</v>
      </c>
      <c r="B89" s="6">
        <v>54285.020900000003</v>
      </c>
      <c r="C89" s="6">
        <v>115.1563</v>
      </c>
      <c r="D89" s="6">
        <v>9.7207000000000008</v>
      </c>
      <c r="E89" s="6">
        <v>99.686999999999998</v>
      </c>
      <c r="F89" s="6">
        <v>94.210800000000006</v>
      </c>
      <c r="G89" s="6">
        <v>83.165899999999993</v>
      </c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4">
      <c r="A90" s="5" t="s">
        <v>95</v>
      </c>
      <c r="B90" s="6">
        <v>1965.3094000000001</v>
      </c>
      <c r="C90" s="6">
        <v>80.624600000000001</v>
      </c>
      <c r="D90" s="6">
        <v>3.3468</v>
      </c>
      <c r="E90" s="6">
        <v>49.258099999999999</v>
      </c>
      <c r="F90" s="6">
        <v>34.442599999999999</v>
      </c>
      <c r="G90" s="6">
        <v>67.281999999999996</v>
      </c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x14ac:dyDescent="0.4">
      <c r="A91" s="5" t="s">
        <v>96</v>
      </c>
      <c r="B91" s="6">
        <v>3850.6887999999999</v>
      </c>
      <c r="C91" s="6">
        <v>97.844099999999997</v>
      </c>
      <c r="D91" s="6">
        <v>3.7063000000000001</v>
      </c>
      <c r="E91" s="6">
        <v>62.104500000000002</v>
      </c>
      <c r="F91" s="6">
        <v>56.876199999999997</v>
      </c>
      <c r="G91" s="6">
        <v>67.451999999999998</v>
      </c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4">
      <c r="A92" s="5" t="s">
        <v>97</v>
      </c>
      <c r="B92" s="6">
        <v>92781.232199999999</v>
      </c>
      <c r="C92" s="6">
        <v>132.9477</v>
      </c>
      <c r="D92" s="6">
        <v>6.4410999999999996</v>
      </c>
      <c r="E92" s="6">
        <v>93.506100000000004</v>
      </c>
      <c r="F92" s="6">
        <v>63.677399999999999</v>
      </c>
      <c r="G92" s="6">
        <v>82.253699999999995</v>
      </c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x14ac:dyDescent="0.4">
      <c r="A93" s="5" t="s">
        <v>98</v>
      </c>
      <c r="B93" s="6">
        <v>40788.239200000004</v>
      </c>
      <c r="C93" s="6">
        <v>98.87</v>
      </c>
      <c r="D93" s="6">
        <v>7.8395999999999999</v>
      </c>
      <c r="E93" s="6">
        <v>90.296899999999994</v>
      </c>
      <c r="F93" s="6">
        <v>91.535399999999996</v>
      </c>
      <c r="G93" s="6">
        <v>82.5</v>
      </c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4">
      <c r="A94" s="5" t="s">
        <v>99</v>
      </c>
      <c r="B94" s="6">
        <v>32267.7091</v>
      </c>
      <c r="C94" s="6">
        <v>101.8349</v>
      </c>
      <c r="D94" s="6">
        <v>9.2815999999999992</v>
      </c>
      <c r="E94" s="6">
        <v>74.862300000000005</v>
      </c>
      <c r="F94" s="6">
        <v>69.481300000000005</v>
      </c>
      <c r="G94" s="6">
        <v>82.646299999999997</v>
      </c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x14ac:dyDescent="0.4">
      <c r="A95" s="5" t="s">
        <v>100</v>
      </c>
      <c r="B95" s="6">
        <v>5607.4538000000002</v>
      </c>
      <c r="C95" s="6">
        <v>85.809399999999997</v>
      </c>
      <c r="D95" s="6">
        <v>8.0025999999999993</v>
      </c>
      <c r="E95" s="6">
        <v>82.360699999999994</v>
      </c>
      <c r="F95" s="6">
        <v>57.5411</v>
      </c>
      <c r="G95" s="6">
        <v>69.084999999999994</v>
      </c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x14ac:dyDescent="0.4">
      <c r="A96" s="5" t="s">
        <v>101</v>
      </c>
      <c r="B96" s="6">
        <v>36792.556400000001</v>
      </c>
      <c r="C96" s="6">
        <v>101.7444</v>
      </c>
      <c r="D96" s="6">
        <v>12.081099999999999</v>
      </c>
      <c r="E96" s="6">
        <v>82.914100000000005</v>
      </c>
      <c r="F96" s="6">
        <v>91.874099999999999</v>
      </c>
      <c r="G96" s="6">
        <v>84.445599999999999</v>
      </c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x14ac:dyDescent="0.4">
      <c r="A97" s="5" t="s">
        <v>102</v>
      </c>
      <c r="B97" s="6">
        <v>4266.3789999999999</v>
      </c>
      <c r="C97" s="6">
        <v>90.063599999999994</v>
      </c>
      <c r="D97" s="6">
        <v>7.6973000000000003</v>
      </c>
      <c r="E97" s="6">
        <v>86</v>
      </c>
      <c r="F97" s="6">
        <v>92.117999999999995</v>
      </c>
      <c r="G97" s="6">
        <v>74.203999999999994</v>
      </c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4">
      <c r="A98" s="5" t="s">
        <v>103</v>
      </c>
      <c r="B98" s="6">
        <v>10873.3915</v>
      </c>
      <c r="C98" s="6">
        <v>94.310500000000005</v>
      </c>
      <c r="D98" s="6">
        <v>3.9870000000000001</v>
      </c>
      <c r="E98" s="6">
        <v>90.924000000000007</v>
      </c>
      <c r="F98" s="6">
        <v>61.030299999999997</v>
      </c>
      <c r="G98" s="6">
        <v>70.131</v>
      </c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x14ac:dyDescent="0.4">
      <c r="A99" s="5" t="s">
        <v>104</v>
      </c>
      <c r="B99" s="6">
        <v>1698.8958</v>
      </c>
      <c r="C99" s="6">
        <v>80.377399999999994</v>
      </c>
      <c r="D99" s="6">
        <v>4.5698999999999996</v>
      </c>
      <c r="E99" s="6">
        <v>26.962900000000001</v>
      </c>
      <c r="F99" s="6">
        <v>31.2879</v>
      </c>
      <c r="G99" s="6">
        <v>61.225000000000001</v>
      </c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4">
      <c r="A100" s="5" t="s">
        <v>105</v>
      </c>
      <c r="B100" s="6">
        <v>1895.6135999999999</v>
      </c>
      <c r="C100" s="6">
        <v>87.142200000000003</v>
      </c>
      <c r="D100" s="6">
        <v>11.8323</v>
      </c>
      <c r="E100" s="6">
        <v>67.087599999999995</v>
      </c>
      <c r="F100" s="6">
        <v>59.636499999999998</v>
      </c>
      <c r="G100" s="6">
        <v>64.147999999999996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spans="1:17" x14ac:dyDescent="0.4">
      <c r="A101" s="5" t="s">
        <v>106</v>
      </c>
      <c r="B101" s="6">
        <v>34792.939700000003</v>
      </c>
      <c r="C101" s="6">
        <v>98.069199999999995</v>
      </c>
      <c r="D101" s="6">
        <v>8.3440999999999992</v>
      </c>
      <c r="E101" s="6">
        <v>97.571299999999994</v>
      </c>
      <c r="F101" s="6">
        <v>81.161699999999996</v>
      </c>
      <c r="G101" s="6">
        <v>83.526799999999994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spans="1:17" x14ac:dyDescent="0.4">
      <c r="A102" s="5" t="s">
        <v>107</v>
      </c>
      <c r="B102" s="6">
        <v>1132.5546999999999</v>
      </c>
      <c r="C102" s="6">
        <v>92.506200000000007</v>
      </c>
      <c r="D102" s="6">
        <v>5.3528000000000002</v>
      </c>
      <c r="E102" s="6">
        <v>77.117699999999999</v>
      </c>
      <c r="F102" s="6">
        <v>34.752099999999999</v>
      </c>
      <c r="G102" s="6">
        <v>71.900000000000006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spans="1:17" x14ac:dyDescent="0.4">
      <c r="A103" s="5" t="s">
        <v>108</v>
      </c>
      <c r="B103" s="6">
        <v>2556.5891000000001</v>
      </c>
      <c r="C103" s="6">
        <v>59.853099999999998</v>
      </c>
      <c r="D103" s="6">
        <v>2.7439</v>
      </c>
      <c r="E103" s="6">
        <v>62</v>
      </c>
      <c r="F103" s="6">
        <v>37.338799999999999</v>
      </c>
      <c r="G103" s="6">
        <v>67.807000000000002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spans="1:17" x14ac:dyDescent="0.4">
      <c r="A104" s="5" t="s">
        <v>109</v>
      </c>
      <c r="B104" s="6">
        <v>16070.168</v>
      </c>
      <c r="C104" s="6">
        <v>105.81399999999999</v>
      </c>
      <c r="D104" s="6">
        <v>9.4105000000000008</v>
      </c>
      <c r="E104" s="6">
        <v>91.179599999999994</v>
      </c>
      <c r="F104" s="6">
        <v>68.180899999999994</v>
      </c>
      <c r="G104" s="6">
        <v>72.980500000000006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1:17" x14ac:dyDescent="0.4">
      <c r="A105" s="5" t="s">
        <v>110</v>
      </c>
      <c r="B105" s="6">
        <v>5973.4192999999996</v>
      </c>
      <c r="C105" s="6">
        <v>67.514399999999995</v>
      </c>
      <c r="D105" s="6">
        <v>4.4001000000000001</v>
      </c>
      <c r="E105" s="6">
        <v>82.656000000000006</v>
      </c>
      <c r="F105" s="6">
        <v>89.965400000000002</v>
      </c>
      <c r="G105" s="6">
        <v>73.650000000000006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spans="1:17" x14ac:dyDescent="0.4">
      <c r="A106" s="5" t="s">
        <v>111</v>
      </c>
      <c r="B106" s="6">
        <v>18572.289499999999</v>
      </c>
      <c r="C106" s="6">
        <v>105.67610000000001</v>
      </c>
      <c r="D106" s="6">
        <v>7.7321</v>
      </c>
      <c r="E106" s="6">
        <v>86.930499999999995</v>
      </c>
      <c r="F106" s="6">
        <v>68.191199999999995</v>
      </c>
      <c r="G106" s="6">
        <v>74.036600000000007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spans="1:17" x14ac:dyDescent="0.4">
      <c r="A107" s="5" t="s">
        <v>112</v>
      </c>
      <c r="B107" s="6">
        <v>110873.1153</v>
      </c>
      <c r="C107" s="6">
        <v>106.4828</v>
      </c>
      <c r="D107" s="6">
        <v>5.6081000000000003</v>
      </c>
      <c r="E107" s="6">
        <v>98.660899999999998</v>
      </c>
      <c r="F107" s="6">
        <v>94.586200000000005</v>
      </c>
      <c r="G107" s="6">
        <v>82.5976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spans="1:17" x14ac:dyDescent="0.4">
      <c r="A108" s="5" t="s">
        <v>113</v>
      </c>
      <c r="B108" s="6">
        <v>431.59910000000002</v>
      </c>
      <c r="C108" s="6">
        <v>34.131999999999998</v>
      </c>
      <c r="D108" s="6">
        <v>3.5533999999999999</v>
      </c>
      <c r="E108" s="6">
        <v>13.745900000000001</v>
      </c>
      <c r="F108" s="6">
        <v>31.113700000000001</v>
      </c>
      <c r="G108" s="6">
        <v>62.515999999999998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 x14ac:dyDescent="0.4">
      <c r="A109" s="5" t="s">
        <v>114</v>
      </c>
      <c r="B109" s="6">
        <v>569.96900000000005</v>
      </c>
      <c r="C109" s="6">
        <v>35.888599999999997</v>
      </c>
      <c r="D109" s="6">
        <v>7.5164999999999997</v>
      </c>
      <c r="E109" s="6">
        <v>15.303000000000001</v>
      </c>
      <c r="F109" s="6">
        <v>16.488199999999999</v>
      </c>
      <c r="G109" s="6">
        <v>64.781999999999996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spans="1:17" x14ac:dyDescent="0.4">
      <c r="A110" s="5" t="s">
        <v>115</v>
      </c>
      <c r="B110" s="6">
        <v>10388.2667</v>
      </c>
      <c r="C110" s="6">
        <v>74.961799999999997</v>
      </c>
      <c r="D110" s="6">
        <v>4.3743999999999996</v>
      </c>
      <c r="E110" s="6">
        <v>96.751400000000004</v>
      </c>
      <c r="F110" s="6">
        <v>75.508899999999997</v>
      </c>
      <c r="G110" s="6">
        <v>73.917000000000002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 x14ac:dyDescent="0.4">
      <c r="A111" s="5" t="s">
        <v>116</v>
      </c>
      <c r="B111" s="6">
        <v>31419.503199999999</v>
      </c>
      <c r="C111" s="6">
        <v>101.4029</v>
      </c>
      <c r="D111" s="6">
        <v>9.5277999999999992</v>
      </c>
      <c r="E111" s="6">
        <v>87.469800000000006</v>
      </c>
      <c r="F111" s="6">
        <v>95.514499999999998</v>
      </c>
      <c r="G111" s="6">
        <v>82.258499999999998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1:17" x14ac:dyDescent="0.4">
      <c r="A112" s="5" t="s">
        <v>117</v>
      </c>
      <c r="B112" s="6">
        <v>5455.317</v>
      </c>
      <c r="C112" s="6">
        <v>94.727400000000003</v>
      </c>
      <c r="D112" s="6">
        <v>12.492599999999999</v>
      </c>
      <c r="E112" s="6">
        <v>63.9726</v>
      </c>
      <c r="F112" s="6">
        <v>77.616299999999995</v>
      </c>
      <c r="G112" s="6">
        <v>65.421000000000006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1:17" x14ac:dyDescent="0.4">
      <c r="A113" s="5" t="s">
        <v>118</v>
      </c>
      <c r="B113" s="6">
        <v>9728.0568000000003</v>
      </c>
      <c r="C113" s="6">
        <v>98.320300000000003</v>
      </c>
      <c r="D113" s="6">
        <v>5.8768000000000002</v>
      </c>
      <c r="E113" s="6">
        <v>75.626499999999993</v>
      </c>
      <c r="F113" s="6">
        <v>78.932400000000001</v>
      </c>
      <c r="G113" s="6">
        <v>69.75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spans="1:17" x14ac:dyDescent="0.4">
      <c r="A114" s="5" t="s">
        <v>119</v>
      </c>
      <c r="B114" s="6">
        <v>3688.1673000000001</v>
      </c>
      <c r="C114" s="6">
        <v>96.585300000000004</v>
      </c>
      <c r="D114" s="6">
        <v>7.7489999999999997</v>
      </c>
      <c r="E114" s="6">
        <v>74.918999999999997</v>
      </c>
      <c r="F114" s="6">
        <v>41.811500000000002</v>
      </c>
      <c r="G114" s="6">
        <v>68.991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 x14ac:dyDescent="0.4">
      <c r="A115" s="5" t="s">
        <v>120</v>
      </c>
      <c r="B115" s="6">
        <v>4063.5367000000001</v>
      </c>
      <c r="C115" s="6">
        <v>98.327600000000004</v>
      </c>
      <c r="D115" s="6">
        <v>7.2103999999999999</v>
      </c>
      <c r="E115" s="6">
        <v>81.606800000000007</v>
      </c>
      <c r="F115" s="6">
        <v>69.215299999999999</v>
      </c>
      <c r="G115" s="6">
        <v>71.645099999999999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1:17" x14ac:dyDescent="0.4">
      <c r="A116" s="5" t="s">
        <v>121</v>
      </c>
      <c r="B116" s="6">
        <v>7198.3011999999999</v>
      </c>
      <c r="C116" s="6">
        <v>93.163799999999995</v>
      </c>
      <c r="D116" s="6">
        <v>10.5525</v>
      </c>
      <c r="E116" s="6">
        <v>82.219700000000003</v>
      </c>
      <c r="F116" s="6">
        <v>65.326599999999999</v>
      </c>
      <c r="G116" s="6">
        <v>73.824399999999997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1:17" x14ac:dyDescent="0.4">
      <c r="A117" s="5" t="s">
        <v>122</v>
      </c>
      <c r="B117" s="6">
        <v>3309.1309000000001</v>
      </c>
      <c r="C117" s="6">
        <v>80.740399999999994</v>
      </c>
      <c r="D117" s="6">
        <v>5.4531000000000001</v>
      </c>
      <c r="E117" s="6">
        <v>88.130300000000005</v>
      </c>
      <c r="F117" s="6">
        <v>62.317300000000003</v>
      </c>
      <c r="G117" s="6">
        <v>73.385000000000005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spans="1:17" x14ac:dyDescent="0.4">
      <c r="A118" s="5" t="s">
        <v>123</v>
      </c>
      <c r="B118" s="6">
        <v>3809.8074999999999</v>
      </c>
      <c r="C118" s="6">
        <v>83.332999999999998</v>
      </c>
      <c r="D118" s="6">
        <v>10.196400000000001</v>
      </c>
      <c r="E118" s="6">
        <v>60.26</v>
      </c>
      <c r="F118" s="6">
        <v>49.057200000000002</v>
      </c>
      <c r="G118" s="6">
        <v>60.85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 x14ac:dyDescent="0.4">
      <c r="A119" s="5" t="s">
        <v>124</v>
      </c>
      <c r="B119" s="6">
        <v>1062.7888</v>
      </c>
      <c r="C119" s="6">
        <v>83.921999999999997</v>
      </c>
      <c r="D119" s="6">
        <v>5.5350000000000001</v>
      </c>
      <c r="E119" s="6">
        <v>40.989100000000001</v>
      </c>
      <c r="F119" s="6">
        <v>66.144199999999998</v>
      </c>
      <c r="G119" s="6">
        <v>68.385000000000005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 x14ac:dyDescent="0.4">
      <c r="A120" s="5" t="s">
        <v>125</v>
      </c>
      <c r="B120" s="6">
        <v>49780.832799999996</v>
      </c>
      <c r="C120" s="6">
        <v>135.9622</v>
      </c>
      <c r="D120" s="6">
        <v>11.135</v>
      </c>
      <c r="E120" s="6">
        <v>92.052999999999997</v>
      </c>
      <c r="F120" s="6">
        <v>94.629499999999993</v>
      </c>
      <c r="G120" s="6">
        <v>81.309799999999996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 x14ac:dyDescent="0.4">
      <c r="A121" s="5" t="s">
        <v>126</v>
      </c>
      <c r="B121" s="6">
        <v>41309.819799999997</v>
      </c>
      <c r="C121" s="6">
        <v>117.5954</v>
      </c>
      <c r="D121" s="6">
        <v>9.5507000000000009</v>
      </c>
      <c r="E121" s="6">
        <v>91.990600000000001</v>
      </c>
      <c r="F121" s="6">
        <v>83.829899999999995</v>
      </c>
      <c r="G121" s="6">
        <v>82.207300000000004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spans="1:17" x14ac:dyDescent="0.4">
      <c r="A122" s="5" t="s">
        <v>127</v>
      </c>
      <c r="B122" s="6">
        <v>2206.6641</v>
      </c>
      <c r="C122" s="6">
        <v>45.444899999999997</v>
      </c>
      <c r="D122" s="6">
        <v>4.0762999999999998</v>
      </c>
      <c r="E122" s="6">
        <v>35.509799999999998</v>
      </c>
      <c r="F122" s="6">
        <v>60.569899999999997</v>
      </c>
      <c r="G122" s="6">
        <v>53.454999999999998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 x14ac:dyDescent="0.4">
      <c r="A123" s="5" t="s">
        <v>128</v>
      </c>
      <c r="B123" s="6">
        <v>6064.9232000000002</v>
      </c>
      <c r="C123" s="6">
        <v>84.162000000000006</v>
      </c>
      <c r="D123" s="6">
        <v>8.4184999999999999</v>
      </c>
      <c r="E123" s="6">
        <v>81.873699999999999</v>
      </c>
      <c r="F123" s="6">
        <v>61.684199999999997</v>
      </c>
      <c r="G123" s="6">
        <v>73.246300000000005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1:17" x14ac:dyDescent="0.4">
      <c r="A124" s="5" t="s">
        <v>129</v>
      </c>
      <c r="B124" s="6">
        <v>81199.339099999997</v>
      </c>
      <c r="C124" s="6">
        <v>119.8169</v>
      </c>
      <c r="D124" s="6">
        <v>9.8142999999999994</v>
      </c>
      <c r="E124" s="6">
        <v>99</v>
      </c>
      <c r="F124" s="6">
        <v>82.8613</v>
      </c>
      <c r="G124" s="6">
        <v>83.163399999999996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 x14ac:dyDescent="0.4">
      <c r="A125" s="5" t="s">
        <v>130</v>
      </c>
      <c r="B125" s="6">
        <v>18291.338800000001</v>
      </c>
      <c r="C125" s="6">
        <v>94.287300000000002</v>
      </c>
      <c r="D125" s="6">
        <v>4.3446999999999996</v>
      </c>
      <c r="E125" s="6">
        <v>95.238799999999998</v>
      </c>
      <c r="F125" s="6">
        <v>80.123999999999995</v>
      </c>
      <c r="G125" s="6">
        <v>75.968999999999994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1:17" x14ac:dyDescent="0.4">
      <c r="A126" s="5" t="s">
        <v>131</v>
      </c>
      <c r="B126" s="6">
        <v>2378.3894</v>
      </c>
      <c r="C126" s="6">
        <v>45.848999999999997</v>
      </c>
      <c r="D126" s="6">
        <v>2.3399000000000001</v>
      </c>
      <c r="E126" s="6">
        <v>16.5596</v>
      </c>
      <c r="F126" s="6">
        <v>14.4398</v>
      </c>
      <c r="G126" s="6">
        <v>64.358000000000004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x14ac:dyDescent="0.4">
      <c r="A127" s="5" t="s">
        <v>132</v>
      </c>
      <c r="B127" s="6">
        <v>6276.7748000000001</v>
      </c>
      <c r="C127" s="6">
        <v>84.787999999999997</v>
      </c>
      <c r="D127" s="6">
        <v>8.0327999999999999</v>
      </c>
      <c r="E127" s="6">
        <v>77.0184</v>
      </c>
      <c r="F127" s="6">
        <v>67.305899999999994</v>
      </c>
      <c r="G127" s="6">
        <v>68.108000000000004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 x14ac:dyDescent="0.4">
      <c r="A128" s="5" t="s">
        <v>133</v>
      </c>
      <c r="B128" s="6">
        <v>6550.9674999999997</v>
      </c>
      <c r="C128" s="6">
        <v>101.5891</v>
      </c>
      <c r="D128" s="6">
        <v>6.6730999999999998</v>
      </c>
      <c r="E128" s="6">
        <v>71.107799999999997</v>
      </c>
      <c r="F128" s="6">
        <v>83.947999999999993</v>
      </c>
      <c r="G128" s="6">
        <v>71.596000000000004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17" x14ac:dyDescent="0.4">
      <c r="A129" s="5" t="s">
        <v>134</v>
      </c>
      <c r="B129" s="6">
        <v>3350.9758999999999</v>
      </c>
      <c r="C129" s="6">
        <v>85.866600000000005</v>
      </c>
      <c r="D129" s="6">
        <v>5.9749999999999996</v>
      </c>
      <c r="E129" s="6">
        <v>66.907799999999995</v>
      </c>
      <c r="F129" s="6">
        <v>54.450400000000002</v>
      </c>
      <c r="G129" s="6">
        <v>66.674999999999997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 x14ac:dyDescent="0.4">
      <c r="A130" s="5" t="s">
        <v>135</v>
      </c>
      <c r="B130" s="6">
        <v>16368.624</v>
      </c>
      <c r="C130" s="6">
        <v>110.52970000000001</v>
      </c>
      <c r="D130" s="6">
        <v>6.3654999999999999</v>
      </c>
      <c r="E130" s="6">
        <v>85.374899999999997</v>
      </c>
      <c r="F130" s="6">
        <v>59.809699999999999</v>
      </c>
      <c r="G130" s="6">
        <v>75.351200000000006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x14ac:dyDescent="0.4">
      <c r="A131" s="5" t="s">
        <v>136</v>
      </c>
      <c r="B131" s="6">
        <v>20747.699100000002</v>
      </c>
      <c r="C131" s="6">
        <v>118.9849</v>
      </c>
      <c r="D131" s="6">
        <v>11.2203</v>
      </c>
      <c r="E131" s="6">
        <v>82.308999999999997</v>
      </c>
      <c r="F131" s="6">
        <v>61.095100000000002</v>
      </c>
      <c r="G131" s="6">
        <v>81.378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1:17" x14ac:dyDescent="0.4">
      <c r="A132" s="5" t="s">
        <v>137</v>
      </c>
      <c r="B132" s="6">
        <v>65488.5118</v>
      </c>
      <c r="C132" s="6">
        <v>95.669399999999996</v>
      </c>
      <c r="D132" s="6">
        <v>2.8927999999999998</v>
      </c>
      <c r="E132" s="6">
        <v>99.652799999999999</v>
      </c>
      <c r="F132" s="6">
        <v>99.203400000000002</v>
      </c>
      <c r="G132" s="6">
        <v>81.082999999999998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spans="1:17" x14ac:dyDescent="0.4">
      <c r="A133" s="5" t="s">
        <v>138</v>
      </c>
      <c r="B133" s="6">
        <v>11546.3225</v>
      </c>
      <c r="C133" s="6">
        <v>86.197100000000006</v>
      </c>
      <c r="D133" s="6">
        <v>6.4524999999999997</v>
      </c>
      <c r="E133" s="6">
        <v>83.590400000000002</v>
      </c>
      <c r="F133" s="6">
        <v>52.232199999999999</v>
      </c>
      <c r="G133" s="6">
        <v>72.809799999999996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1:17" x14ac:dyDescent="0.4">
      <c r="A134" s="5" t="s">
        <v>139</v>
      </c>
      <c r="B134" s="6">
        <v>10231.3184</v>
      </c>
      <c r="C134" s="6">
        <v>92.171199999999999</v>
      </c>
      <c r="D134" s="6">
        <v>7.0298999999999996</v>
      </c>
      <c r="E134" s="6">
        <v>88.213800000000006</v>
      </c>
      <c r="F134" s="6">
        <v>74.7517</v>
      </c>
      <c r="G134" s="6">
        <v>69.900199999999998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1:17" x14ac:dyDescent="0.4">
      <c r="A135" s="5" t="s">
        <v>140</v>
      </c>
      <c r="B135" s="6">
        <v>871.04179999999997</v>
      </c>
      <c r="C135" s="6">
        <v>44.182099999999998</v>
      </c>
      <c r="D135" s="6">
        <v>6.2314999999999996</v>
      </c>
      <c r="E135" s="6">
        <v>24.441600000000001</v>
      </c>
      <c r="F135" s="6">
        <v>26.104900000000001</v>
      </c>
      <c r="G135" s="6">
        <v>66.849999999999994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1:17" x14ac:dyDescent="0.4">
      <c r="A136" s="5" t="s">
        <v>141</v>
      </c>
      <c r="B136" s="6">
        <v>46834.117200000001</v>
      </c>
      <c r="C136" s="6">
        <v>61.007199999999997</v>
      </c>
      <c r="D136" s="6">
        <v>7.5126999999999997</v>
      </c>
      <c r="E136" s="6">
        <v>81.67</v>
      </c>
      <c r="F136" s="6">
        <v>97.1036</v>
      </c>
      <c r="G136" s="6">
        <v>83.539000000000001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1:17" x14ac:dyDescent="0.4">
      <c r="A137" s="5" t="s">
        <v>142</v>
      </c>
      <c r="B137" s="6">
        <v>24922.671699999999</v>
      </c>
      <c r="C137" s="6">
        <v>104.28100000000001</v>
      </c>
      <c r="D137" s="6">
        <v>5.9302999999999999</v>
      </c>
      <c r="E137" s="6">
        <v>100</v>
      </c>
      <c r="F137" s="6">
        <v>83.971599999999995</v>
      </c>
      <c r="G137" s="6">
        <v>77.088999999999999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1:17" x14ac:dyDescent="0.4">
      <c r="A138" s="5" t="s">
        <v>143</v>
      </c>
      <c r="B138" s="6">
        <v>1414.5395000000001</v>
      </c>
      <c r="C138" s="6">
        <v>45.172600000000003</v>
      </c>
      <c r="D138" s="6">
        <v>4.4425999999999997</v>
      </c>
      <c r="E138" s="6">
        <v>55.040399999999998</v>
      </c>
      <c r="F138" s="6">
        <v>52.225999999999999</v>
      </c>
      <c r="G138" s="6">
        <v>66.867999999999995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1:17" x14ac:dyDescent="0.4">
      <c r="A139" s="5" t="s">
        <v>144</v>
      </c>
      <c r="B139" s="6">
        <v>7465.6760000000004</v>
      </c>
      <c r="C139" s="6">
        <v>92.379499999999993</v>
      </c>
      <c r="D139" s="6">
        <v>9.2344000000000008</v>
      </c>
      <c r="E139" s="6">
        <v>81.165899999999993</v>
      </c>
      <c r="F139" s="6">
        <v>61.363900000000001</v>
      </c>
      <c r="G139" s="6">
        <v>72.780500000000004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17" x14ac:dyDescent="0.4">
      <c r="A140" s="5" t="s">
        <v>145</v>
      </c>
      <c r="B140" s="6">
        <v>17005.0422</v>
      </c>
      <c r="C140" s="6">
        <v>102.95229999999999</v>
      </c>
      <c r="D140" s="6">
        <v>5.2088000000000001</v>
      </c>
      <c r="E140" s="6">
        <v>81.9953</v>
      </c>
      <c r="F140" s="6">
        <v>44.602699999999999</v>
      </c>
      <c r="G140" s="6">
        <v>73.397599999999997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1:17" x14ac:dyDescent="0.4">
      <c r="A141" s="5" t="s">
        <v>146</v>
      </c>
      <c r="B141" s="6">
        <v>1045.7662</v>
      </c>
      <c r="C141" s="6">
        <v>73.4251</v>
      </c>
      <c r="D141" s="6">
        <v>5.0724</v>
      </c>
      <c r="E141" s="6">
        <v>18.6539</v>
      </c>
      <c r="F141" s="6">
        <v>43.734499999999997</v>
      </c>
      <c r="G141" s="6">
        <v>60.26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1:17" x14ac:dyDescent="0.4">
      <c r="A142" s="5" t="s">
        <v>147</v>
      </c>
      <c r="B142" s="6">
        <v>67846.856499999994</v>
      </c>
      <c r="C142" s="6">
        <v>102.9513</v>
      </c>
      <c r="D142" s="6">
        <v>5.1459999999999999</v>
      </c>
      <c r="E142" s="6">
        <v>96.924700000000001</v>
      </c>
      <c r="F142" s="6">
        <v>100</v>
      </c>
      <c r="G142" s="6">
        <v>83.092699999999994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spans="1:17" x14ac:dyDescent="0.4">
      <c r="A143" s="5" t="s">
        <v>148</v>
      </c>
      <c r="B143" s="6">
        <v>18808.454000000002</v>
      </c>
      <c r="C143" s="6">
        <v>91.0899</v>
      </c>
      <c r="D143" s="6">
        <v>7.6285999999999996</v>
      </c>
      <c r="E143" s="6">
        <v>88.925600000000003</v>
      </c>
      <c r="F143" s="6">
        <v>53.190100000000001</v>
      </c>
      <c r="G143" s="6">
        <v>74.614599999999996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spans="1:17" x14ac:dyDescent="0.4">
      <c r="A144" s="5" t="s">
        <v>149</v>
      </c>
      <c r="B144" s="6">
        <v>24665.440999999999</v>
      </c>
      <c r="C144" s="6">
        <v>108.1789</v>
      </c>
      <c r="D144" s="6">
        <v>9.5272000000000006</v>
      </c>
      <c r="E144" s="6">
        <v>89.004000000000005</v>
      </c>
      <c r="F144" s="6">
        <v>55.304600000000001</v>
      </c>
      <c r="G144" s="6">
        <v>80.675600000000003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1:17" x14ac:dyDescent="0.4">
      <c r="A145" s="5" t="s">
        <v>150</v>
      </c>
      <c r="B145" s="6">
        <v>5750.9093999999996</v>
      </c>
      <c r="C145" s="6">
        <v>106.44329999999999</v>
      </c>
      <c r="D145" s="6">
        <v>8.6645000000000003</v>
      </c>
      <c r="E145" s="6">
        <v>74.968599999999995</v>
      </c>
      <c r="F145" s="6">
        <v>63.450400000000002</v>
      </c>
      <c r="G145" s="6">
        <v>62.01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spans="1:17" x14ac:dyDescent="0.4">
      <c r="A146" s="5" t="s">
        <v>151</v>
      </c>
      <c r="B146" s="6">
        <v>26705.3629</v>
      </c>
      <c r="C146" s="6">
        <v>120.1358</v>
      </c>
      <c r="D146" s="6">
        <v>10.344200000000001</v>
      </c>
      <c r="E146" s="6">
        <v>93.897499999999994</v>
      </c>
      <c r="F146" s="6">
        <v>79.784599999999998</v>
      </c>
      <c r="G146" s="6">
        <v>83.177999999999997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1:17" x14ac:dyDescent="0.4">
      <c r="A147" s="5" t="s">
        <v>152</v>
      </c>
      <c r="B147" s="6">
        <v>4357.9722000000002</v>
      </c>
      <c r="C147" s="6">
        <v>89.834000000000003</v>
      </c>
      <c r="D147" s="6">
        <v>5.1943000000000001</v>
      </c>
      <c r="E147" s="6">
        <v>44.453099999999999</v>
      </c>
      <c r="F147" s="6">
        <v>19.826599999999999</v>
      </c>
      <c r="G147" s="6">
        <v>76.278000000000006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1:17" x14ac:dyDescent="0.4">
      <c r="A148" s="5" t="s">
        <v>153</v>
      </c>
      <c r="B148" s="6">
        <v>19031.821199999998</v>
      </c>
      <c r="C148" s="6">
        <v>123.9468</v>
      </c>
      <c r="D148" s="6">
        <v>6.1691000000000003</v>
      </c>
      <c r="E148" s="6">
        <v>74.371600000000001</v>
      </c>
      <c r="F148" s="6">
        <v>31.539400000000001</v>
      </c>
      <c r="G148" s="6">
        <v>69.271000000000001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spans="1:17" x14ac:dyDescent="0.4">
      <c r="A149" s="5" t="s">
        <v>154</v>
      </c>
      <c r="B149" s="6">
        <v>8211.3359</v>
      </c>
      <c r="C149" s="6">
        <v>130.48910000000001</v>
      </c>
      <c r="D149" s="6">
        <v>5.2660999999999998</v>
      </c>
      <c r="E149" s="6">
        <v>68.833399999999997</v>
      </c>
      <c r="F149" s="6">
        <v>47.455399999999997</v>
      </c>
      <c r="G149" s="6">
        <v>69.132000000000005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 x14ac:dyDescent="0.4">
      <c r="A150" s="5" t="s">
        <v>155</v>
      </c>
      <c r="B150" s="6">
        <v>53997.133699999998</v>
      </c>
      <c r="C150" s="6">
        <v>138.68819999999999</v>
      </c>
      <c r="D150" s="6">
        <v>11.2301</v>
      </c>
      <c r="E150" s="6">
        <v>94.670299999999997</v>
      </c>
      <c r="F150" s="6">
        <v>88.174199999999999</v>
      </c>
      <c r="G150" s="6">
        <v>83.056100000000001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spans="1:17" x14ac:dyDescent="0.4">
      <c r="A151" s="5" t="s">
        <v>156</v>
      </c>
      <c r="B151" s="6">
        <v>90924.925700000007</v>
      </c>
      <c r="C151" s="6">
        <v>103.6052</v>
      </c>
      <c r="D151" s="6">
        <v>11.958600000000001</v>
      </c>
      <c r="E151" s="6">
        <v>95.569400000000002</v>
      </c>
      <c r="F151" s="6">
        <v>84.200599999999994</v>
      </c>
      <c r="G151" s="6">
        <v>83.751199999999997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 x14ac:dyDescent="0.4">
      <c r="A152" s="5" t="s">
        <v>157</v>
      </c>
      <c r="B152" s="6">
        <v>1254.07</v>
      </c>
      <c r="C152" s="6">
        <v>91.275199999999998</v>
      </c>
      <c r="D152" s="6">
        <v>8.375</v>
      </c>
      <c r="E152" s="6">
        <v>36.705599999999997</v>
      </c>
      <c r="F152" s="6">
        <v>26.199200000000001</v>
      </c>
      <c r="G152" s="6">
        <v>69.593999999999994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spans="1:17" x14ac:dyDescent="0.4">
      <c r="A153" s="5" t="s">
        <v>158</v>
      </c>
      <c r="B153" s="6">
        <v>1054.3172999999999</v>
      </c>
      <c r="C153" s="6">
        <v>28.231300000000001</v>
      </c>
      <c r="D153" s="6">
        <v>3.4695999999999998</v>
      </c>
      <c r="E153" s="6">
        <v>22.875399999999999</v>
      </c>
      <c r="F153" s="6">
        <v>34.35</v>
      </c>
      <c r="G153" s="6">
        <v>66.131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spans="1:17" x14ac:dyDescent="0.4">
      <c r="A154" s="5" t="s">
        <v>159</v>
      </c>
      <c r="B154" s="6">
        <v>6119.1102000000001</v>
      </c>
      <c r="C154" s="6">
        <v>84.664500000000004</v>
      </c>
      <c r="D154" s="6">
        <v>5.1539999999999999</v>
      </c>
      <c r="E154" s="6">
        <v>85.269599999999997</v>
      </c>
      <c r="F154" s="6">
        <v>58.508800000000001</v>
      </c>
      <c r="G154" s="6">
        <v>77.605999999999995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1:17" x14ac:dyDescent="0.4">
      <c r="A155" s="5" t="s">
        <v>160</v>
      </c>
      <c r="B155" s="6">
        <v>928.30110000000002</v>
      </c>
      <c r="C155" s="6">
        <v>63.066899999999997</v>
      </c>
      <c r="D155" s="6">
        <v>5.6166</v>
      </c>
      <c r="E155" s="6">
        <v>30.3384</v>
      </c>
      <c r="F155" s="6">
        <v>42.310600000000001</v>
      </c>
      <c r="G155" s="6">
        <v>61.337000000000003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1:17" x14ac:dyDescent="0.4">
      <c r="A156" s="5" t="s">
        <v>161</v>
      </c>
      <c r="B156" s="6">
        <v>4612.9008999999996</v>
      </c>
      <c r="C156" s="6">
        <v>106.1439</v>
      </c>
      <c r="D156" s="6">
        <v>7.0625</v>
      </c>
      <c r="E156" s="6">
        <v>57.548999999999999</v>
      </c>
      <c r="F156" s="6">
        <v>21.257999999999999</v>
      </c>
      <c r="G156" s="6">
        <v>72.13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1:17" x14ac:dyDescent="0.4">
      <c r="A157" s="5" t="s">
        <v>162</v>
      </c>
      <c r="B157" s="6">
        <v>13670.938</v>
      </c>
      <c r="C157" s="6">
        <v>114.1473</v>
      </c>
      <c r="D157" s="6">
        <v>4.5606999999999998</v>
      </c>
      <c r="E157" s="6">
        <v>81.4084</v>
      </c>
      <c r="F157" s="6">
        <v>89.176199999999994</v>
      </c>
      <c r="G157" s="6">
        <v>75.721999999999994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1:17" x14ac:dyDescent="0.4">
      <c r="A158" s="5" t="s">
        <v>163</v>
      </c>
      <c r="B158" s="6">
        <v>2426.6122999999998</v>
      </c>
      <c r="C158" s="6">
        <v>84.651600000000002</v>
      </c>
      <c r="D158" s="6">
        <v>8.2027000000000001</v>
      </c>
      <c r="E158" s="6">
        <v>79.218299999999999</v>
      </c>
      <c r="F158" s="6">
        <v>69.402699999999996</v>
      </c>
      <c r="G158" s="6">
        <v>71.631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1:17" x14ac:dyDescent="0.4">
      <c r="A159" s="5" t="s">
        <v>164</v>
      </c>
      <c r="B159" s="6">
        <v>40935.891499999998</v>
      </c>
      <c r="C159" s="6">
        <v>103.2107</v>
      </c>
      <c r="D159" s="6">
        <v>5.3048999999999999</v>
      </c>
      <c r="E159" s="6">
        <v>100</v>
      </c>
      <c r="F159" s="6">
        <v>85.357200000000006</v>
      </c>
      <c r="G159" s="6">
        <v>79.082999999999998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 x14ac:dyDescent="0.4">
      <c r="A160" s="5" t="s">
        <v>165</v>
      </c>
      <c r="B160" s="6">
        <v>46491.5069</v>
      </c>
      <c r="C160" s="6">
        <v>113.71899999999999</v>
      </c>
      <c r="D160" s="6">
        <v>12.083500000000001</v>
      </c>
      <c r="E160" s="6">
        <v>96.1965</v>
      </c>
      <c r="F160" s="6">
        <v>82.988600000000005</v>
      </c>
      <c r="G160" s="6">
        <v>80.647300000000001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spans="1:17" x14ac:dyDescent="0.4">
      <c r="A161" s="5" t="s">
        <v>166</v>
      </c>
      <c r="B161" s="6">
        <v>63096.785600000003</v>
      </c>
      <c r="C161" s="6">
        <v>101.1925</v>
      </c>
      <c r="D161" s="6">
        <v>17.3521</v>
      </c>
      <c r="E161" s="6">
        <v>91.2684</v>
      </c>
      <c r="F161" s="6">
        <v>80.007499999999993</v>
      </c>
      <c r="G161" s="6">
        <v>76.329300000000003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1:17" x14ac:dyDescent="0.4">
      <c r="A162" s="5" t="s">
        <v>167</v>
      </c>
      <c r="B162" s="6">
        <v>17416.0052</v>
      </c>
      <c r="C162" s="6">
        <v>119.8263</v>
      </c>
      <c r="D162" s="6">
        <v>8.9196000000000009</v>
      </c>
      <c r="E162" s="6">
        <v>87.644400000000005</v>
      </c>
      <c r="F162" s="6">
        <v>95.449700000000007</v>
      </c>
      <c r="G162" s="6">
        <v>75.433999999999997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1:17" x14ac:dyDescent="0.4">
      <c r="A163" s="5" t="s">
        <v>168</v>
      </c>
      <c r="B163" s="6">
        <v>3951.9965999999999</v>
      </c>
      <c r="C163" s="6">
        <v>97.258899999999997</v>
      </c>
      <c r="D163" s="6">
        <v>6.9273999999999996</v>
      </c>
      <c r="E163" s="6">
        <v>76.590400000000002</v>
      </c>
      <c r="F163" s="6">
        <v>50.927</v>
      </c>
      <c r="G163" s="6">
        <v>71.680999999999997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1:17" x14ac:dyDescent="0.4">
      <c r="A164" s="5" t="s">
        <v>169</v>
      </c>
      <c r="B164" s="6">
        <v>3358.2172999999998</v>
      </c>
      <c r="C164" s="6">
        <v>92.769000000000005</v>
      </c>
      <c r="D164" s="6">
        <v>4.5378999999999996</v>
      </c>
      <c r="E164" s="6">
        <v>74.209999999999994</v>
      </c>
      <c r="F164" s="6">
        <v>36.6541</v>
      </c>
      <c r="G164" s="6">
        <v>74.144999999999996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1:17" x14ac:dyDescent="0.4">
      <c r="A165" s="7" t="s">
        <v>170</v>
      </c>
      <c r="B165" s="8">
        <f t="shared" ref="B165:G165" si="0">AVERAGE(B3:B164)</f>
        <v>15926.826517283951</v>
      </c>
      <c r="C165" s="8">
        <f t="shared" si="0"/>
        <v>88.532451234567915</v>
      </c>
      <c r="D165" s="8">
        <f t="shared" si="0"/>
        <v>7.218943209876544</v>
      </c>
      <c r="E165" s="8">
        <f t="shared" si="0"/>
        <v>69.838635185185169</v>
      </c>
      <c r="F165" s="8">
        <f t="shared" si="0"/>
        <v>62.293875308641972</v>
      </c>
      <c r="G165" s="8">
        <f t="shared" si="0"/>
        <v>72.020263580246919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1:17" x14ac:dyDescent="0.4">
      <c r="A166" s="3"/>
      <c r="B166" s="3" t="s">
        <v>171</v>
      </c>
      <c r="C166" s="3" t="s">
        <v>172</v>
      </c>
      <c r="D166" s="3" t="s">
        <v>173</v>
      </c>
      <c r="E166" s="3" t="s">
        <v>174</v>
      </c>
      <c r="F166" s="3" t="s">
        <v>175</v>
      </c>
      <c r="G166" s="3" t="s">
        <v>176</v>
      </c>
      <c r="H166" s="3" t="s">
        <v>177</v>
      </c>
      <c r="I166" s="3" t="s">
        <v>177</v>
      </c>
      <c r="J166" s="3" t="s">
        <v>177</v>
      </c>
      <c r="K166" s="3" t="s">
        <v>177</v>
      </c>
      <c r="L166" s="3" t="s">
        <v>177</v>
      </c>
      <c r="M166" s="3" t="s">
        <v>177</v>
      </c>
      <c r="N166" s="3" t="s">
        <v>177</v>
      </c>
      <c r="O166" s="3" t="s">
        <v>177</v>
      </c>
      <c r="P166" s="3" t="s">
        <v>177</v>
      </c>
      <c r="Q166" s="3" t="s">
        <v>177</v>
      </c>
    </row>
  </sheetData>
  <mergeCells count="1">
    <mergeCell ref="A1:G1"/>
  </mergeCells>
  <hyperlinks>
    <hyperlink ref="C166" r:id="rId1" xr:uid="{00000000-0004-0000-0000-000000000000}"/>
    <hyperlink ref="D166" r:id="rId2" xr:uid="{00000000-0004-0000-0000-000001000000}"/>
    <hyperlink ref="E166" r:id="rId3" xr:uid="{00000000-0004-0000-0000-000002000000}"/>
    <hyperlink ref="F166" r:id="rId4" xr:uid="{00000000-0004-0000-0000-000003000000}"/>
    <hyperlink ref="G166" r:id="rId5" xr:uid="{00000000-0004-0000-0000-000004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zoomScale="96" zoomScaleNormal="80" workbookViewId="0">
      <selection activeCell="A17" sqref="A17"/>
    </sheetView>
  </sheetViews>
  <sheetFormatPr defaultColWidth="8.53515625" defaultRowHeight="12.9" x14ac:dyDescent="0.35"/>
  <cols>
    <col min="1" max="1" width="10" style="3" customWidth="1"/>
    <col min="2" max="7" width="14" style="3" customWidth="1"/>
    <col min="8" max="16384" width="8.53515625" style="3"/>
  </cols>
  <sheetData>
    <row r="1" spans="1:7" x14ac:dyDescent="0.35">
      <c r="A1" s="1" t="s">
        <v>178</v>
      </c>
      <c r="B1" s="1"/>
      <c r="C1" s="1"/>
      <c r="D1" s="1"/>
      <c r="E1" s="1"/>
      <c r="F1" s="1"/>
      <c r="G1" s="1"/>
    </row>
    <row r="2" spans="1:7" x14ac:dyDescent="0.35"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x14ac:dyDescent="0.35">
      <c r="A3" s="9" t="s">
        <v>2</v>
      </c>
      <c r="B3" s="10">
        <f>CORREL(Данные!B3:B164,Данные!B3:B164)</f>
        <v>1.0000000000000002</v>
      </c>
      <c r="C3" s="10">
        <f>CORREL(Данные!B3:B164,Данные!C3:C164)</f>
        <v>0.54103395015818279</v>
      </c>
      <c r="D3" s="10">
        <f>CORREL(Данные!B3:B164,Данные!D3:D164)</f>
        <v>0.46351732526983674</v>
      </c>
      <c r="E3" s="10">
        <f>CORREL(Данные!B3:B164,Данные!E3:E164)</f>
        <v>0.59768967542811613</v>
      </c>
      <c r="F3" s="10">
        <f>CORREL(Данные!B3:B164,Данные!F3:F164)</f>
        <v>0.59409840849997508</v>
      </c>
      <c r="G3" s="10">
        <f>CORREL(Данные!B3:B164,Данные!G3:G164)</f>
        <v>0.72562623959903094</v>
      </c>
    </row>
    <row r="4" spans="1:7" x14ac:dyDescent="0.35">
      <c r="A4" s="9" t="s">
        <v>3</v>
      </c>
      <c r="B4" s="10">
        <f>CORREL(Данные!C3:C164,Данные!B3:B164)</f>
        <v>0.54103395015818279</v>
      </c>
      <c r="C4" s="10">
        <f>CORREL(Данные!C3:C164,Данные!C3:C164)</f>
        <v>1</v>
      </c>
      <c r="D4" s="10">
        <f>CORREL(Данные!C3:C164,Данные!D3:D164)</f>
        <v>0.52588983512166854</v>
      </c>
      <c r="E4" s="10">
        <f>CORREL(Данные!C3:C164,Данные!E3:E164)</f>
        <v>0.80265399862790665</v>
      </c>
      <c r="F4" s="10">
        <f>CORREL(Данные!C3:C164,Данные!F3:F164)</f>
        <v>0.58692339775229951</v>
      </c>
      <c r="G4" s="10">
        <f>CORREL(Данные!C3:C164,Данные!G3:G164)</f>
        <v>0.73797369491569897</v>
      </c>
    </row>
    <row r="5" spans="1:7" x14ac:dyDescent="0.35">
      <c r="A5" s="9" t="s">
        <v>4</v>
      </c>
      <c r="B5" s="10">
        <f>CORREL(Данные!D3:D164,Данные!B3:B164)</f>
        <v>0.46351732526983674</v>
      </c>
      <c r="C5" s="10">
        <f>CORREL(Данные!D3:D164,Данные!C3:C164)</f>
        <v>0.52588983512166854</v>
      </c>
      <c r="D5" s="10">
        <f>CORREL(Данные!D3:D164,Данные!D3:D164)</f>
        <v>1.0000000000000002</v>
      </c>
      <c r="E5" s="10">
        <f>CORREL(Данные!D3:D164,Данные!E3:E164)</f>
        <v>0.50592262201210247</v>
      </c>
      <c r="F5" s="10">
        <f>CORREL(Данные!D3:D164,Данные!F3:F164)</f>
        <v>0.51296288658432942</v>
      </c>
      <c r="G5" s="10">
        <f>CORREL(Данные!D3:D164,Данные!G3:G164)</f>
        <v>0.52697522495988947</v>
      </c>
    </row>
    <row r="6" spans="1:7" x14ac:dyDescent="0.35">
      <c r="A6" s="9" t="s">
        <v>5</v>
      </c>
      <c r="B6" s="10">
        <f>CORREL(Данные!E3:E164,Данные!B3:B164)</f>
        <v>0.59768967542811613</v>
      </c>
      <c r="C6" s="10">
        <f>CORREL(Данные!E3:E164,Данные!C3:C164)</f>
        <v>0.80265399862790665</v>
      </c>
      <c r="D6" s="10">
        <f>CORREL(Данные!E3:E164,Данные!D3:D164)</f>
        <v>0.50592262201210247</v>
      </c>
      <c r="E6" s="10">
        <f>CORREL(Данные!E3:E164,Данные!E3:E164)</f>
        <v>1</v>
      </c>
      <c r="F6" s="10">
        <f>CORREL(Данные!E3:E164,Данные!F3:F164)</f>
        <v>0.74075655028492415</v>
      </c>
      <c r="G6" s="10">
        <f>CORREL(Данные!E3:E164,Данные!G3:G164)</f>
        <v>0.82140925874047377</v>
      </c>
    </row>
    <row r="7" spans="1:7" x14ac:dyDescent="0.35">
      <c r="A7" s="9" t="s">
        <v>6</v>
      </c>
      <c r="B7" s="10">
        <f>CORREL(Данные!F3:F164,Данные!B3:B164)</f>
        <v>0.59409840849997508</v>
      </c>
      <c r="C7" s="10">
        <f>CORREL(Данные!F3:F164,Данные!C3:C164)</f>
        <v>0.58692339775229951</v>
      </c>
      <c r="D7" s="10">
        <f>CORREL(Данные!F3:F164,Данные!D3:D164)</f>
        <v>0.51296288658432942</v>
      </c>
      <c r="E7" s="10">
        <f>CORREL(Данные!F3:F164,Данные!E3:E164)</f>
        <v>0.74075655028492415</v>
      </c>
      <c r="F7" s="10">
        <f>CORREL(Данные!F3:F164,Данные!F3:F164)</f>
        <v>1</v>
      </c>
      <c r="G7" s="10">
        <f>CORREL(Данные!F3:F164,Данные!G3:G164)</f>
        <v>0.65220907655185456</v>
      </c>
    </row>
    <row r="8" spans="1:7" x14ac:dyDescent="0.35">
      <c r="A8" s="9" t="s">
        <v>7</v>
      </c>
      <c r="B8" s="10">
        <f>CORREL(Данные!G3:G164,Данные!B3:B164)</f>
        <v>0.72562623959903094</v>
      </c>
      <c r="C8" s="10">
        <f>CORREL(Данные!G3:G164,Данные!C3:C164)</f>
        <v>0.73797369491569897</v>
      </c>
      <c r="D8" s="10">
        <f>CORREL(Данные!G3:G164,Данные!D3:D164)</f>
        <v>0.52697522495988947</v>
      </c>
      <c r="E8" s="10">
        <f>CORREL(Данные!G3:G164,Данные!E3:E164)</f>
        <v>0.82140925874047377</v>
      </c>
      <c r="F8" s="10">
        <f>CORREL(Данные!G3:G164,Данные!F3:F164)</f>
        <v>0.65220907655185456</v>
      </c>
      <c r="G8" s="10">
        <f>CORREL(Данные!G3:G164,Данные!G3:G164)</f>
        <v>0.99999999999999989</v>
      </c>
    </row>
    <row r="11" spans="1:7" x14ac:dyDescent="0.35">
      <c r="A11" s="11" t="s">
        <v>179</v>
      </c>
    </row>
    <row r="12" spans="1:7" x14ac:dyDescent="0.35">
      <c r="A12" s="3" t="s">
        <v>180</v>
      </c>
    </row>
    <row r="13" spans="1:7" x14ac:dyDescent="0.35">
      <c r="A13" s="3" t="s">
        <v>181</v>
      </c>
    </row>
    <row r="14" spans="1:7" x14ac:dyDescent="0.35">
      <c r="A14" s="3" t="s">
        <v>182</v>
      </c>
    </row>
    <row r="15" spans="1:7" x14ac:dyDescent="0.35">
      <c r="A15" s="3" t="s">
        <v>183</v>
      </c>
    </row>
    <row r="16" spans="1:7" x14ac:dyDescent="0.35">
      <c r="A16" s="3" t="s">
        <v>184</v>
      </c>
    </row>
    <row r="17" spans="1:1" x14ac:dyDescent="0.35">
      <c r="A17" s="3" t="s">
        <v>185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4"/>
  <sheetViews>
    <sheetView tabSelected="1" topLeftCell="A12" zoomScale="98" zoomScaleNormal="80" workbookViewId="0">
      <selection activeCell="A26" sqref="A26"/>
    </sheetView>
  </sheetViews>
  <sheetFormatPr defaultColWidth="8.53515625" defaultRowHeight="14.6" x14ac:dyDescent="0.4"/>
  <cols>
    <col min="1" max="1" width="95" style="2" customWidth="1"/>
  </cols>
  <sheetData>
    <row r="1" spans="1:1" x14ac:dyDescent="0.4">
      <c r="A1" s="11"/>
    </row>
    <row r="2" spans="1:1" x14ac:dyDescent="0.4">
      <c r="A2" s="3"/>
    </row>
    <row r="3" spans="1:1" x14ac:dyDescent="0.4">
      <c r="A3" s="12"/>
    </row>
    <row r="4" spans="1:1" x14ac:dyDescent="0.4">
      <c r="A4" s="13" t="s">
        <v>186</v>
      </c>
    </row>
    <row r="5" spans="1:1" x14ac:dyDescent="0.4">
      <c r="A5" s="12"/>
    </row>
    <row r="6" spans="1:1" x14ac:dyDescent="0.4">
      <c r="A6" s="12" t="s">
        <v>187</v>
      </c>
    </row>
    <row r="7" spans="1:1" x14ac:dyDescent="0.4">
      <c r="A7" s="12"/>
    </row>
    <row r="8" spans="1:1" x14ac:dyDescent="0.4">
      <c r="A8" s="12" t="s">
        <v>188</v>
      </c>
    </row>
    <row r="9" spans="1:1" x14ac:dyDescent="0.4">
      <c r="A9" s="12" t="s">
        <v>189</v>
      </c>
    </row>
    <row r="10" spans="1:1" x14ac:dyDescent="0.4">
      <c r="A10" s="12" t="s">
        <v>190</v>
      </c>
    </row>
    <row r="11" spans="1:1" x14ac:dyDescent="0.4">
      <c r="A11" s="12" t="s">
        <v>191</v>
      </c>
    </row>
    <row r="12" spans="1:1" x14ac:dyDescent="0.4">
      <c r="A12" s="12" t="s">
        <v>192</v>
      </c>
    </row>
    <row r="13" spans="1:1" x14ac:dyDescent="0.4">
      <c r="A13" s="12" t="s">
        <v>193</v>
      </c>
    </row>
    <row r="14" spans="1:1" x14ac:dyDescent="0.4">
      <c r="A14" s="12" t="s">
        <v>194</v>
      </c>
    </row>
    <row r="15" spans="1:1" x14ac:dyDescent="0.4">
      <c r="A15" s="12" t="s">
        <v>195</v>
      </c>
    </row>
    <row r="16" spans="1:1" x14ac:dyDescent="0.4">
      <c r="A16" s="12" t="s">
        <v>196</v>
      </c>
    </row>
    <row r="17" spans="1:1" x14ac:dyDescent="0.4">
      <c r="A17" s="12" t="s">
        <v>197</v>
      </c>
    </row>
    <row r="18" spans="1:1" x14ac:dyDescent="0.4">
      <c r="A18" s="12"/>
    </row>
    <row r="19" spans="1:1" x14ac:dyDescent="0.4">
      <c r="A19" s="12" t="s">
        <v>198</v>
      </c>
    </row>
    <row r="20" spans="1:1" x14ac:dyDescent="0.4">
      <c r="A20" s="12"/>
    </row>
    <row r="21" spans="1:1" x14ac:dyDescent="0.4">
      <c r="A21" s="12" t="s">
        <v>199</v>
      </c>
    </row>
    <row r="22" spans="1:1" x14ac:dyDescent="0.4">
      <c r="A22" s="12" t="s">
        <v>200</v>
      </c>
    </row>
    <row r="23" spans="1:1" x14ac:dyDescent="0.4">
      <c r="A23" s="12" t="s">
        <v>201</v>
      </c>
    </row>
    <row r="24" spans="1:1" x14ac:dyDescent="0.4">
      <c r="A24" s="12" t="s">
        <v>202</v>
      </c>
    </row>
    <row r="25" spans="1:1" x14ac:dyDescent="0.4">
      <c r="A25" s="12" t="s">
        <v>203</v>
      </c>
    </row>
    <row r="26" spans="1:1" x14ac:dyDescent="0.4">
      <c r="A26" s="12" t="s">
        <v>204</v>
      </c>
    </row>
    <row r="27" spans="1:1" x14ac:dyDescent="0.4">
      <c r="A27" s="12" t="s">
        <v>205</v>
      </c>
    </row>
    <row r="28" spans="1:1" x14ac:dyDescent="0.4">
      <c r="A28" s="12" t="s">
        <v>206</v>
      </c>
    </row>
    <row r="29" spans="1:1" x14ac:dyDescent="0.4">
      <c r="A29" s="12" t="s">
        <v>207</v>
      </c>
    </row>
    <row r="30" spans="1:1" x14ac:dyDescent="0.4">
      <c r="A30" s="12" t="s">
        <v>208</v>
      </c>
    </row>
    <row r="31" spans="1:1" x14ac:dyDescent="0.4">
      <c r="A31" s="12"/>
    </row>
    <row r="32" spans="1:1" x14ac:dyDescent="0.4">
      <c r="A32" s="12" t="s">
        <v>209</v>
      </c>
    </row>
    <row r="33" spans="1:1" x14ac:dyDescent="0.4">
      <c r="A33" s="12"/>
    </row>
    <row r="34" spans="1:1" x14ac:dyDescent="0.4">
      <c r="A34" s="12" t="s">
        <v>210</v>
      </c>
    </row>
    <row r="35" spans="1:1" x14ac:dyDescent="0.4">
      <c r="A35" s="12" t="s">
        <v>211</v>
      </c>
    </row>
    <row r="36" spans="1:1" x14ac:dyDescent="0.4">
      <c r="A36" s="12" t="s">
        <v>212</v>
      </c>
    </row>
    <row r="37" spans="1:1" x14ac:dyDescent="0.4">
      <c r="A37" s="12" t="s">
        <v>213</v>
      </c>
    </row>
    <row r="38" spans="1:1" x14ac:dyDescent="0.4">
      <c r="A38" s="12" t="s">
        <v>214</v>
      </c>
    </row>
    <row r="39" spans="1:1" x14ac:dyDescent="0.4">
      <c r="A39" s="12" t="s">
        <v>215</v>
      </c>
    </row>
    <row r="40" spans="1:1" x14ac:dyDescent="0.4">
      <c r="A40" s="12"/>
    </row>
    <row r="41" spans="1:1" x14ac:dyDescent="0.4">
      <c r="A41" s="3"/>
    </row>
    <row r="42" spans="1:1" x14ac:dyDescent="0.4">
      <c r="A42" s="3"/>
    </row>
    <row r="43" spans="1:1" x14ac:dyDescent="0.4">
      <c r="A43" s="3"/>
    </row>
    <row r="44" spans="1:1" x14ac:dyDescent="0.4">
      <c r="A44" s="3"/>
    </row>
    <row r="45" spans="1:1" x14ac:dyDescent="0.4">
      <c r="A45" s="3"/>
    </row>
    <row r="46" spans="1:1" x14ac:dyDescent="0.4">
      <c r="A46" s="3"/>
    </row>
    <row r="47" spans="1:1" x14ac:dyDescent="0.4">
      <c r="A47" s="3"/>
    </row>
    <row r="48" spans="1:1" x14ac:dyDescent="0.4">
      <c r="A48" s="3"/>
    </row>
    <row r="49" spans="1:1" x14ac:dyDescent="0.4">
      <c r="A49" s="3"/>
    </row>
    <row r="50" spans="1:1" x14ac:dyDescent="0.4">
      <c r="A50" s="3"/>
    </row>
    <row r="51" spans="1:1" x14ac:dyDescent="0.4">
      <c r="A51" s="3"/>
    </row>
    <row r="52" spans="1:1" x14ac:dyDescent="0.4">
      <c r="A52" s="3"/>
    </row>
    <row r="53" spans="1:1" x14ac:dyDescent="0.4">
      <c r="A53" s="3"/>
    </row>
    <row r="54" spans="1:1" x14ac:dyDescent="0.4">
      <c r="A54" s="3"/>
    </row>
    <row r="55" spans="1:1" x14ac:dyDescent="0.4">
      <c r="A55" s="3"/>
    </row>
    <row r="56" spans="1:1" x14ac:dyDescent="0.4">
      <c r="A56" s="3"/>
    </row>
    <row r="57" spans="1:1" x14ac:dyDescent="0.4">
      <c r="A57" s="3"/>
    </row>
    <row r="58" spans="1:1" x14ac:dyDescent="0.4">
      <c r="A58" s="3"/>
    </row>
    <row r="59" spans="1:1" x14ac:dyDescent="0.4">
      <c r="A59" s="3"/>
    </row>
    <row r="60" spans="1:1" x14ac:dyDescent="0.4">
      <c r="A60" s="3"/>
    </row>
    <row r="61" spans="1:1" x14ac:dyDescent="0.4">
      <c r="A61" s="3"/>
    </row>
    <row r="62" spans="1:1" x14ac:dyDescent="0.4">
      <c r="A62" s="3"/>
    </row>
    <row r="63" spans="1:1" x14ac:dyDescent="0.4">
      <c r="A63" s="3"/>
    </row>
    <row r="64" spans="1:1" x14ac:dyDescent="0.4">
      <c r="A64" s="3"/>
    </row>
    <row r="65" spans="1:1" x14ac:dyDescent="0.4">
      <c r="A65" s="3"/>
    </row>
    <row r="66" spans="1:1" x14ac:dyDescent="0.4">
      <c r="A66" s="3"/>
    </row>
    <row r="67" spans="1:1" x14ac:dyDescent="0.4">
      <c r="A67" s="3"/>
    </row>
    <row r="68" spans="1:1" x14ac:dyDescent="0.4">
      <c r="A68" s="3"/>
    </row>
    <row r="69" spans="1:1" x14ac:dyDescent="0.4">
      <c r="A69" s="3"/>
    </row>
    <row r="70" spans="1:1" x14ac:dyDescent="0.4">
      <c r="A70" s="3"/>
    </row>
    <row r="71" spans="1:1" x14ac:dyDescent="0.4">
      <c r="A71" s="3"/>
    </row>
    <row r="72" spans="1:1" x14ac:dyDescent="0.4">
      <c r="A72" s="3"/>
    </row>
    <row r="73" spans="1:1" x14ac:dyDescent="0.4">
      <c r="A73" s="3"/>
    </row>
    <row r="74" spans="1:1" x14ac:dyDescent="0.4">
      <c r="A74" s="3"/>
    </row>
    <row r="75" spans="1:1" x14ac:dyDescent="0.4">
      <c r="A75" s="3"/>
    </row>
    <row r="76" spans="1:1" x14ac:dyDescent="0.4">
      <c r="A76" s="3"/>
    </row>
    <row r="77" spans="1:1" x14ac:dyDescent="0.4">
      <c r="A77" s="3"/>
    </row>
    <row r="78" spans="1:1" x14ac:dyDescent="0.4">
      <c r="A78" s="3"/>
    </row>
    <row r="79" spans="1:1" x14ac:dyDescent="0.4">
      <c r="A79" s="3"/>
    </row>
    <row r="80" spans="1:1" x14ac:dyDescent="0.4">
      <c r="A80" s="3"/>
    </row>
    <row r="81" spans="1:1" x14ac:dyDescent="0.4">
      <c r="A81" s="3"/>
    </row>
    <row r="82" spans="1:1" x14ac:dyDescent="0.4">
      <c r="A82" s="3"/>
    </row>
    <row r="83" spans="1:1" x14ac:dyDescent="0.4">
      <c r="A83" s="3"/>
    </row>
    <row r="84" spans="1:1" x14ac:dyDescent="0.4">
      <c r="A84" s="3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Корр.матрица</vt:lpstr>
      <vt:lpstr>Выводы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Саша Бражалович</cp:lastModifiedBy>
  <cp:revision>3</cp:revision>
  <dcterms:created xsi:type="dcterms:W3CDTF">2026-09-30T15:57:05Z</dcterms:created>
  <dcterms:modified xsi:type="dcterms:W3CDTF">2026-10-19T12:05:44Z</dcterms:modified>
  <dc:language>ru-RU</dc:language>
</cp:coreProperties>
</file>