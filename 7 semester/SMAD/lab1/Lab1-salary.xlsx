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362" windowHeight="17955" activeTab="1"/>
  </bookViews>
  <sheets>
    <sheet name="10218000003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<sst xmlns="http://schemas.openxmlformats.org/spreadsheetml/2006/main" count="351" uniqueCount="194">
  <si>
    <t>Номинальная начисленная среднемесячная заработная плата по территории Республики Беларусь</t>
  </si>
  <si>
    <t>руб.</t>
  </si>
  <si>
    <t>Территория Республики Беларусь</t>
  </si>
  <si>
    <t>2025</t>
  </si>
  <si>
    <t>Республика Беларусь</t>
  </si>
  <si>
    <t xml:space="preserve">    Брестская область</t>
  </si>
  <si>
    <t xml:space="preserve">        Барановичский</t>
  </si>
  <si>
    <t xml:space="preserve">        Берёзовский</t>
  </si>
  <si>
    <t xml:space="preserve">        Брестский</t>
  </si>
  <si>
    <t xml:space="preserve">        Ганцевичский</t>
  </si>
  <si>
    <t xml:space="preserve">        Дрогичинский</t>
  </si>
  <si>
    <t xml:space="preserve">        Жабинковский</t>
  </si>
  <si>
    <t xml:space="preserve">        Ивановский</t>
  </si>
  <si>
    <t xml:space="preserve">        Ивацевичский</t>
  </si>
  <si>
    <t xml:space="preserve">        Каменецкий</t>
  </si>
  <si>
    <t xml:space="preserve">        Кобринский</t>
  </si>
  <si>
    <t xml:space="preserve">        Лунинецкий</t>
  </si>
  <si>
    <t xml:space="preserve">        Ляховичский</t>
  </si>
  <si>
    <t xml:space="preserve">        Малоритский</t>
  </si>
  <si>
    <t xml:space="preserve">        Пинский</t>
  </si>
  <si>
    <t xml:space="preserve">        Пружанский</t>
  </si>
  <si>
    <t xml:space="preserve">        Столинский</t>
  </si>
  <si>
    <t xml:space="preserve">        г. Брест</t>
  </si>
  <si>
    <t xml:space="preserve">        г. Барановичи</t>
  </si>
  <si>
    <t xml:space="preserve">        г. Пинск</t>
  </si>
  <si>
    <t xml:space="preserve">    Витебская область</t>
  </si>
  <si>
    <t xml:space="preserve">        Бешенковичский</t>
  </si>
  <si>
    <t xml:space="preserve">        Браславский</t>
  </si>
  <si>
    <t xml:space="preserve">        Верхнедвинский</t>
  </si>
  <si>
    <t xml:space="preserve">        Витебский</t>
  </si>
  <si>
    <t xml:space="preserve">        Глубокский</t>
  </si>
  <si>
    <t xml:space="preserve">        Городокский</t>
  </si>
  <si>
    <t xml:space="preserve">        Докшицкий</t>
  </si>
  <si>
    <t xml:space="preserve">        Дубровенский</t>
  </si>
  <si>
    <t xml:space="preserve">        Лепельский</t>
  </si>
  <si>
    <t xml:space="preserve">        Лиозненский</t>
  </si>
  <si>
    <t xml:space="preserve">        Миорский</t>
  </si>
  <si>
    <t xml:space="preserve">        Оршанский</t>
  </si>
  <si>
    <t xml:space="preserve">        Полоцкий</t>
  </si>
  <si>
    <t xml:space="preserve">        Поставский</t>
  </si>
  <si>
    <t xml:space="preserve">        Россонский</t>
  </si>
  <si>
    <t xml:space="preserve">        Сенненский</t>
  </si>
  <si>
    <t xml:space="preserve">        Толочинский</t>
  </si>
  <si>
    <t xml:space="preserve">        Ушачский</t>
  </si>
  <si>
    <t xml:space="preserve">        Чашникский</t>
  </si>
  <si>
    <t xml:space="preserve">        Шарковщинский</t>
  </si>
  <si>
    <t xml:space="preserve">        Шумилинский</t>
  </si>
  <si>
    <t xml:space="preserve">        г. Витебск</t>
  </si>
  <si>
    <t xml:space="preserve">        г. Новополоцк</t>
  </si>
  <si>
    <t xml:space="preserve">    Гомельская область</t>
  </si>
  <si>
    <t xml:space="preserve">        Брагинский</t>
  </si>
  <si>
    <t xml:space="preserve">        Буда-Кошелевский</t>
  </si>
  <si>
    <t xml:space="preserve">        Ветковский</t>
  </si>
  <si>
    <t xml:space="preserve">        Гомельский</t>
  </si>
  <si>
    <t xml:space="preserve">        Добрушский</t>
  </si>
  <si>
    <t xml:space="preserve">        Ельский</t>
  </si>
  <si>
    <t xml:space="preserve">        Житковичский</t>
  </si>
  <si>
    <t xml:space="preserve">        Жлобинский</t>
  </si>
  <si>
    <t xml:space="preserve">        Калинковичский</t>
  </si>
  <si>
    <t xml:space="preserve">        Кормянский</t>
  </si>
  <si>
    <t xml:space="preserve">        Лельчицкий</t>
  </si>
  <si>
    <t xml:space="preserve">        Лоевский</t>
  </si>
  <si>
    <t xml:space="preserve">        Мозырский</t>
  </si>
  <si>
    <t xml:space="preserve">        Наровлянский</t>
  </si>
  <si>
    <t xml:space="preserve">        Октябрьский</t>
  </si>
  <si>
    <t xml:space="preserve">        Петриковский</t>
  </si>
  <si>
    <t xml:space="preserve">        Речицкий</t>
  </si>
  <si>
    <t xml:space="preserve">        Рогачевский</t>
  </si>
  <si>
    <t xml:space="preserve">        Светлогорский</t>
  </si>
  <si>
    <t xml:space="preserve">        Хойникский</t>
  </si>
  <si>
    <t xml:space="preserve">        Чечерский</t>
  </si>
  <si>
    <t xml:space="preserve">        г. Гомель</t>
  </si>
  <si>
    <t xml:space="preserve">    Гродненская область</t>
  </si>
  <si>
    <t xml:space="preserve">        Берестовицкий</t>
  </si>
  <si>
    <t xml:space="preserve">        Волковысский</t>
  </si>
  <si>
    <t xml:space="preserve">        Вороновский</t>
  </si>
  <si>
    <t xml:space="preserve">        Гродненский</t>
  </si>
  <si>
    <t xml:space="preserve">        Дятловский</t>
  </si>
  <si>
    <t xml:space="preserve">        Зельвенский</t>
  </si>
  <si>
    <t xml:space="preserve">        Ивьевский</t>
  </si>
  <si>
    <t xml:space="preserve">        Кореличский</t>
  </si>
  <si>
    <t xml:space="preserve">        Лидский</t>
  </si>
  <si>
    <t xml:space="preserve">        Мостовский</t>
  </si>
  <si>
    <t xml:space="preserve">        Новогрудский</t>
  </si>
  <si>
    <t xml:space="preserve">        Островецкий</t>
  </si>
  <si>
    <t xml:space="preserve">        Ошмянский</t>
  </si>
  <si>
    <t xml:space="preserve">        Свислочский</t>
  </si>
  <si>
    <t xml:space="preserve">        Слонимский</t>
  </si>
  <si>
    <t xml:space="preserve">        Сморгонский</t>
  </si>
  <si>
    <t xml:space="preserve">        Щучинский</t>
  </si>
  <si>
    <t xml:space="preserve">        г. Гродно</t>
  </si>
  <si>
    <t xml:space="preserve">    г. Минск</t>
  </si>
  <si>
    <t xml:space="preserve">    Минская область</t>
  </si>
  <si>
    <t xml:space="preserve">        Березинский</t>
  </si>
  <si>
    <t xml:space="preserve">        Борисовский</t>
  </si>
  <si>
    <t xml:space="preserve">        Вилейский</t>
  </si>
  <si>
    <t xml:space="preserve">        Воложинский</t>
  </si>
  <si>
    <t xml:space="preserve">        Дзержинский</t>
  </si>
  <si>
    <t xml:space="preserve">        Клецкий</t>
  </si>
  <si>
    <t xml:space="preserve">        Копыльский</t>
  </si>
  <si>
    <t xml:space="preserve">        Крупский</t>
  </si>
  <si>
    <t xml:space="preserve">        Логойский</t>
  </si>
  <si>
    <t xml:space="preserve">        Любанский</t>
  </si>
  <si>
    <t xml:space="preserve">        Минский</t>
  </si>
  <si>
    <t xml:space="preserve">        Молодечненский</t>
  </si>
  <si>
    <t xml:space="preserve">        Мядельский</t>
  </si>
  <si>
    <t xml:space="preserve">        Несвижский</t>
  </si>
  <si>
    <t xml:space="preserve">        Пуховичский</t>
  </si>
  <si>
    <t xml:space="preserve">        Слуцкий</t>
  </si>
  <si>
    <t xml:space="preserve">        Смолевичский</t>
  </si>
  <si>
    <t xml:space="preserve">        Солигорский</t>
  </si>
  <si>
    <t xml:space="preserve">        Стародорожский</t>
  </si>
  <si>
    <t xml:space="preserve">        Столбцовский</t>
  </si>
  <si>
    <t xml:space="preserve">        Узденский</t>
  </si>
  <si>
    <t xml:space="preserve">        Червенский</t>
  </si>
  <si>
    <t xml:space="preserve">        Не распределено по районам Минской области</t>
  </si>
  <si>
    <t xml:space="preserve">        г. Жодино</t>
  </si>
  <si>
    <t xml:space="preserve">    Могилевская область</t>
  </si>
  <si>
    <t xml:space="preserve">        Белыничский</t>
  </si>
  <si>
    <t xml:space="preserve">        Бобруйский</t>
  </si>
  <si>
    <t xml:space="preserve">        Быховский</t>
  </si>
  <si>
    <t xml:space="preserve">        Глусский</t>
  </si>
  <si>
    <t xml:space="preserve">        Горецкий</t>
  </si>
  <si>
    <t xml:space="preserve">        Дрибинский</t>
  </si>
  <si>
    <t xml:space="preserve">        Кировский</t>
  </si>
  <si>
    <t xml:space="preserve">        Климовичский</t>
  </si>
  <si>
    <t xml:space="preserve">        Кличевский</t>
  </si>
  <si>
    <t xml:space="preserve">        Костюковичский</t>
  </si>
  <si>
    <t xml:space="preserve">        Краснопольский</t>
  </si>
  <si>
    <t xml:space="preserve">        Кричевский</t>
  </si>
  <si>
    <t xml:space="preserve">        Круглянский</t>
  </si>
  <si>
    <t xml:space="preserve">        Могилевский</t>
  </si>
  <si>
    <t xml:space="preserve">        Мстиславский</t>
  </si>
  <si>
    <t xml:space="preserve">        Осиповичский</t>
  </si>
  <si>
    <t xml:space="preserve">        Славгородский</t>
  </si>
  <si>
    <t xml:space="preserve">        Хотимский</t>
  </si>
  <si>
    <t xml:space="preserve">        Чаусский</t>
  </si>
  <si>
    <t xml:space="preserve">        Чериковский</t>
  </si>
  <si>
    <t xml:space="preserve">        Шкловский</t>
  </si>
  <si>
    <t xml:space="preserve">        г. Могилев</t>
  </si>
  <si>
    <t xml:space="preserve">        г. Бобруйск</t>
  </si>
  <si>
    <t>Исходные данные</t>
  </si>
  <si>
    <t>таблица интервалов</t>
  </si>
  <si>
    <t>Группа</t>
  </si>
  <si>
    <t>ln_2025</t>
  </si>
  <si>
    <t>Выброс?</t>
  </si>
  <si>
    <t>Объём выборки N</t>
  </si>
  <si>
    <t>Интервал</t>
  </si>
  <si>
    <t>Ниж. Гран</t>
  </si>
  <si>
    <t>Верх. Гран.</t>
  </si>
  <si>
    <t>Середина</t>
  </si>
  <si>
    <t>Частота</t>
  </si>
  <si>
    <t>Отн. Частота</t>
  </si>
  <si>
    <t>накопл</t>
  </si>
  <si>
    <t>F(b_i)</t>
  </si>
  <si>
    <t>тервер(р_i)</t>
  </si>
  <si>
    <t>тервер(n''_i)</t>
  </si>
  <si>
    <t>Предположительно логнормальное распределение</t>
  </si>
  <si>
    <t>Ср Арифм</t>
  </si>
  <si>
    <t>Медиана</t>
  </si>
  <si>
    <t>пар масштаба n</t>
  </si>
  <si>
    <t>Мода</t>
  </si>
  <si>
    <t>-</t>
  </si>
  <si>
    <t>Квадрат откл</t>
  </si>
  <si>
    <t>Дисперсия(S^2)</t>
  </si>
  <si>
    <t>Квадратичное откл</t>
  </si>
  <si>
    <t>коэф вариации</t>
  </si>
  <si>
    <t xml:space="preserve">      </t>
  </si>
  <si>
    <t>Однородна ли выборка</t>
  </si>
  <si>
    <t>Выбросов не обнаружено</t>
  </si>
  <si>
    <t>хи^2</t>
  </si>
  <si>
    <t>s'</t>
  </si>
  <si>
    <t>кол-во интервалов</t>
  </si>
  <si>
    <t>Итог</t>
  </si>
  <si>
    <t>r</t>
  </si>
  <si>
    <t>Минимум</t>
  </si>
  <si>
    <t>k</t>
  </si>
  <si>
    <t>Максимум</t>
  </si>
  <si>
    <t>ур знач</t>
  </si>
  <si>
    <t>шаг интервала</t>
  </si>
  <si>
    <t>крит знач</t>
  </si>
  <si>
    <t>&gt;хи^2набл</t>
  </si>
  <si>
    <t>p-знач</t>
  </si>
  <si>
    <t>&gt;0,05</t>
  </si>
  <si>
    <t>гипотеза</t>
  </si>
  <si>
    <t>принимается</t>
  </si>
  <si>
    <t>группа</t>
  </si>
  <si>
    <t>частота</t>
  </si>
  <si>
    <t>групп сред</t>
  </si>
  <si>
    <t>групп дисп</t>
  </si>
  <si>
    <t>взвеш дисп</t>
  </si>
  <si>
    <t>взвеш кв откл</t>
  </si>
  <si>
    <t>&lt;-</t>
  </si>
  <si>
    <t>медиана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</si>
</sst>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27">
    <font>
      <sz val="11"/>
      <color theme="1"/>
      <name val="Calibri"/>
      <charset val="204"/>
      <scheme val="minor"/>
    </font>
    <font>
      <b/>
      <sz val="11"/>
      <color theme="1"/>
      <name val="Calibri"/>
      <charset val="204"/>
      <scheme val="minor"/>
    </font>
    <font>
      <b/>
      <sz val="11"/>
      <color theme="4" tint="-0.249977111117893"/>
      <name val="Calibri"/>
      <charset val="204"/>
      <scheme val="minor"/>
    </font>
    <font>
      <sz val="11"/>
      <color theme="4" tint="-0.249977111117893"/>
      <name val="Calibri"/>
      <charset val="204"/>
      <scheme val="minor"/>
    </font>
    <font>
      <b/>
      <sz val="14"/>
      <name val="Times New Roman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2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3" fillId="3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19" fillId="7" borderId="17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8" fillId="6" borderId="15" applyNumberFormat="0" applyFon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7" fillId="14" borderId="16" applyNumberFormat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0" fillId="0" borderId="7" xfId="0" applyFill="1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3" xfId="0" applyBorder="1"/>
    <xf numFmtId="0" fontId="0" fillId="0" borderId="10" xfId="0" applyBorder="1"/>
    <xf numFmtId="0" fontId="0" fillId="0" borderId="11" xfId="0" applyBorder="1"/>
    <xf numFmtId="0" fontId="2" fillId="0" borderId="5" xfId="0" applyFont="1" applyBorder="1"/>
    <xf numFmtId="0" fontId="3" fillId="2" borderId="5" xfId="0" applyFont="1" applyFill="1" applyBorder="1"/>
    <xf numFmtId="0" fontId="0" fillId="0" borderId="5" xfId="0" applyFill="1" applyBorder="1"/>
    <xf numFmtId="0" fontId="0" fillId="0" borderId="5" xfId="0" applyNumberFormat="1" applyBorder="1"/>
    <xf numFmtId="0" fontId="0" fillId="0" borderId="10" xfId="0" applyNumberFormat="1" applyBorder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32"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</a:t>
            </a:r>
            <a:r>
              <a:rPr lang="ru-RU" baseline="0"/>
              <a:t> и полигон распределения зар платы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2700">
              <a:solidFill>
                <a:schemeClr val="tx1"/>
              </a:solidFill>
            </a:ln>
            <a:effectLst/>
          </c:spPr>
          <c:invertIfNegative val="0"/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Лист2!$L$3:$L$12</c15:sqref>
                  </c15:fullRef>
                </c:ext>
              </c:extLst>
              <c:f>Лист2!$L$3:$L$11</c:f>
              <c:numCache>
                <c:formatCode>General</c:formatCode>
                <c:ptCount val="9"/>
                <c:pt idx="0">
                  <c:v>1846.27</c:v>
                </c:pt>
                <c:pt idx="1">
                  <c:v>2036.22</c:v>
                </c:pt>
                <c:pt idx="2">
                  <c:v>2226.16</c:v>
                </c:pt>
                <c:pt idx="3">
                  <c:v>2416.11</c:v>
                </c:pt>
                <c:pt idx="4">
                  <c:v>2606.05</c:v>
                </c:pt>
                <c:pt idx="5">
                  <c:v>2795.99</c:v>
                </c:pt>
                <c:pt idx="6">
                  <c:v>2985.94</c:v>
                </c:pt>
                <c:pt idx="7">
                  <c:v>3175.88</c:v>
                </c:pt>
                <c:pt idx="8">
                  <c:v>3365.83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Лист2!$M$3:$M$12</c15:sqref>
                  </c15:fullRef>
                </c:ext>
              </c:extLst>
              <c:f>Лист2!$M$3:$M$11</c:f>
              <c:numCache>
                <c:formatCode>General</c:formatCode>
                <c:ptCount val="9"/>
                <c:pt idx="0">
                  <c:v>21</c:v>
                </c:pt>
                <c:pt idx="1">
                  <c:v>37</c:v>
                </c:pt>
                <c:pt idx="2">
                  <c:v>38</c:v>
                </c:pt>
                <c:pt idx="3">
                  <c:v>16</c:v>
                </c:pt>
                <c:pt idx="4">
                  <c:v>8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139151552"/>
        <c:axId val="1139151072"/>
      </c:barChart>
      <c:lineChart>
        <c:grouping val="standard"/>
        <c:varyColors val="0"/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Лист2!$L$3:$L$12</c15:sqref>
                  </c15:fullRef>
                </c:ext>
              </c:extLst>
              <c:f>Лист2!$L$3:$L$11</c:f>
              <c:numCache>
                <c:formatCode>General</c:formatCode>
                <c:ptCount val="9"/>
                <c:pt idx="0">
                  <c:v>1846.27</c:v>
                </c:pt>
                <c:pt idx="1">
                  <c:v>2036.22</c:v>
                </c:pt>
                <c:pt idx="2">
                  <c:v>2226.16</c:v>
                </c:pt>
                <c:pt idx="3">
                  <c:v>2416.11</c:v>
                </c:pt>
                <c:pt idx="4">
                  <c:v>2606.05</c:v>
                </c:pt>
                <c:pt idx="5">
                  <c:v>2795.99</c:v>
                </c:pt>
                <c:pt idx="6">
                  <c:v>2985.94</c:v>
                </c:pt>
                <c:pt idx="7">
                  <c:v>3175.88</c:v>
                </c:pt>
                <c:pt idx="8">
                  <c:v>3365.83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Лист2!$M$3:$M$12</c15:sqref>
                  </c15:fullRef>
                </c:ext>
              </c:extLst>
              <c:f>Лист2!$M$3:$M$11</c:f>
              <c:numCache>
                <c:formatCode>General</c:formatCode>
                <c:ptCount val="9"/>
                <c:pt idx="0">
                  <c:v>21</c:v>
                </c:pt>
                <c:pt idx="1">
                  <c:v>37</c:v>
                </c:pt>
                <c:pt idx="2">
                  <c:v>38</c:v>
                </c:pt>
                <c:pt idx="3">
                  <c:v>16</c:v>
                </c:pt>
                <c:pt idx="4">
                  <c:v>8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9151552"/>
        <c:axId val="1139151072"/>
      </c:lineChart>
      <c:catAx>
        <c:axId val="1139151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1" i="0" u="none" strike="noStrike" baseline="0"/>
                  <a:t>Начисленная заработная плата, руб.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9151072"/>
        <c:crosses val="autoZero"/>
        <c:auto val="1"/>
        <c:lblAlgn val="ctr"/>
        <c:lblOffset val="100"/>
        <c:noMultiLvlLbl val="0"/>
      </c:catAx>
      <c:valAx>
        <c:axId val="113915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1" i="0" u="none" strike="noStrike" baseline="0"/>
                  <a:t>Частота (число районов)</a:t>
                </a:r>
                <a:r>
                  <a:rPr lang="ru-RU" sz="1000" b="0" i="0" u="none" strike="noStrike" baseline="0"/>
                  <a:t>.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915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Лист2!$L$3:$L$12</c15:sqref>
                  </c15:fullRef>
                </c:ext>
              </c:extLst>
              <c:f>Лист2!$L$3:$L$11</c:f>
              <c:numCache>
                <c:formatCode>General</c:formatCode>
                <c:ptCount val="9"/>
                <c:pt idx="0">
                  <c:v>1846.27</c:v>
                </c:pt>
                <c:pt idx="1">
                  <c:v>2036.22</c:v>
                </c:pt>
                <c:pt idx="2">
                  <c:v>2226.16</c:v>
                </c:pt>
                <c:pt idx="3">
                  <c:v>2416.11</c:v>
                </c:pt>
                <c:pt idx="4">
                  <c:v>2606.05</c:v>
                </c:pt>
                <c:pt idx="5">
                  <c:v>2795.99</c:v>
                </c:pt>
                <c:pt idx="6">
                  <c:v>2985.94</c:v>
                </c:pt>
                <c:pt idx="7">
                  <c:v>3175.88</c:v>
                </c:pt>
                <c:pt idx="8">
                  <c:v>3365.83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Лист2!$O$3:$O$12</c15:sqref>
                  </c15:fullRef>
                </c:ext>
              </c:extLst>
              <c:f>Лист2!$O$3:$O$11</c:f>
              <c:numCache>
                <c:formatCode>General</c:formatCode>
                <c:ptCount val="9"/>
                <c:pt idx="0">
                  <c:v>21</c:v>
                </c:pt>
                <c:pt idx="1">
                  <c:v>58</c:v>
                </c:pt>
                <c:pt idx="2">
                  <c:v>96</c:v>
                </c:pt>
                <c:pt idx="3">
                  <c:v>112</c:v>
                </c:pt>
                <c:pt idx="4">
                  <c:v>120</c:v>
                </c:pt>
                <c:pt idx="5">
                  <c:v>123</c:v>
                </c:pt>
                <c:pt idx="6">
                  <c:v>124</c:v>
                </c:pt>
                <c:pt idx="7">
                  <c:v>127</c:v>
                </c:pt>
                <c:pt idx="8">
                  <c:v>129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8277055"/>
        <c:axId val="1690012783"/>
      </c:lineChart>
      <c:catAx>
        <c:axId val="186827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90012783"/>
        <c:crosses val="autoZero"/>
        <c:auto val="1"/>
        <c:lblAlgn val="ctr"/>
        <c:lblOffset val="100"/>
        <c:noMultiLvlLbl val="0"/>
      </c:catAx>
      <c:valAx>
        <c:axId val="16900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68277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0</xdr:row>
      <xdr:rowOff>0</xdr:rowOff>
    </xdr:from>
    <xdr:to>
      <xdr:col>11</xdr:col>
      <xdr:colOff>0</xdr:colOff>
      <xdr:row>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603740" y="0"/>
          <a:ext cx="645795" cy="5524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4437380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5442</xdr:colOff>
      <xdr:row>13</xdr:row>
      <xdr:rowOff>13606</xdr:rowOff>
    </xdr:from>
    <xdr:to>
      <xdr:col>14</xdr:col>
      <xdr:colOff>0</xdr:colOff>
      <xdr:row>29</xdr:row>
      <xdr:rowOff>180000</xdr:rowOff>
    </xdr:to>
    <xdr:graphicFrame>
      <xdr:nvGraphicFramePr>
        <xdr:cNvPr id="2" name="Диаграмма 1"/>
        <xdr:cNvGraphicFramePr/>
      </xdr:nvGraphicFramePr>
      <xdr:xfrm>
        <a:off x="10325100" y="2423795"/>
        <a:ext cx="6097905" cy="31330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9936</xdr:colOff>
      <xdr:row>13</xdr:row>
      <xdr:rowOff>12275</xdr:rowOff>
    </xdr:from>
    <xdr:to>
      <xdr:col>20</xdr:col>
      <xdr:colOff>-1</xdr:colOff>
      <xdr:row>27</xdr:row>
      <xdr:rowOff>161432</xdr:rowOff>
    </xdr:to>
    <xdr:graphicFrame>
      <xdr:nvGraphicFramePr>
        <xdr:cNvPr id="5" name="Диаграмма 4"/>
        <xdr:cNvGraphicFramePr/>
      </xdr:nvGraphicFramePr>
      <xdr:xfrm>
        <a:off x="17205325" y="2422525"/>
        <a:ext cx="4912360" cy="2745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Таблица2" displayName="Таблица2" ref="A2:E131" totalsRowShown="0">
  <autoFilter ref="A2:E131"/>
  <tableColumns count="5">
    <tableColumn id="1" name="Территория Республики Беларусь" dataDxfId="0"/>
    <tableColumn id="6" name="Группа" dataDxfId="1"/>
    <tableColumn id="2" name="2025" dataDxfId="2"/>
    <tableColumn id="5" name="ln_2025" dataDxfId="3"/>
    <tableColumn id="3" name="Выброс?" dataDxfId="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3" name="Таблица3" displayName="Таблица3" ref="I2:R12" totalsRowCount="1">
  <autoFilter ref="I2:R11"/>
  <tableColumns count="10">
    <tableColumn id="1" name="Интервал" totalsRowLabel="Итог" dataDxfId="5"/>
    <tableColumn id="2" name="Ниж. Гран" totalsRowFunction="sum" dataDxfId="6"/>
    <tableColumn id="3" name="Верх. Гран." totalsRowFunction="sum" dataDxfId="7"/>
    <tableColumn id="4" name="Середина" totalsRowFunction="sum" dataDxfId="8"/>
    <tableColumn id="5" name="Частота" totalsRowFunction="sum" dataDxfId="9"/>
    <tableColumn id="6" name="Отн. Частота" totalsRowFunction="sum" dataDxfId="10"/>
    <tableColumn id="7" name="накопл" dataDxfId="11"/>
    <tableColumn id="9" name="F(b_i)" dataDxfId="12"/>
    <tableColumn id="10" name="тервер(р_i)" dataDxfId="13"/>
    <tableColumn id="8" name="тервер(n''_i)" dataDxfId="14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4" name="Таблица35" displayName="Таблица35" ref="I33:N42" totalsRowCount="1">
  <autoFilter ref="I33:N41"/>
  <tableColumns count="6">
    <tableColumn id="1" name="Интервал" totalsRowLabel="Итог" dataDxfId="15"/>
    <tableColumn id="2" name="Ниж. Гран" totalsRowFunction="sum" dataDxfId="16"/>
    <tableColumn id="3" name="Верх. Гран." totalsRowFunction="sum" dataDxfId="17"/>
    <tableColumn id="4" name="Середина" totalsRowFunction="sum" dataDxfId="18"/>
    <tableColumn id="5" name="Частота" totalsRowFunction="sum" dataDxfId="19"/>
    <tableColumn id="6" name="Отн. Частота" totalsRowFunction="sum" dataDxfId="20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id="5" name="Таблица356" displayName="Таблица356" ref="I62:N73" totalsRowCount="1">
  <autoFilter ref="I62:N72"/>
  <tableColumns count="6">
    <tableColumn id="1" name="Интервал" totalsRowLabel="Итог" dataDxfId="21"/>
    <tableColumn id="2" name="Ниж. Гран" totalsRowFunction="sum" dataDxfId="22"/>
    <tableColumn id="3" name="Верх. Гран." totalsRowFunction="sum" dataDxfId="23"/>
    <tableColumn id="4" name="Середина" totalsRowFunction="sum" dataDxfId="24"/>
    <tableColumn id="5" name="Частота" totalsRowFunction="sum" dataDxfId="25"/>
    <tableColumn id="6" name="Отн. Частота" totalsRowFunction="sum" dataDxfId="26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id="1" name="Таблица1" displayName="Таблица1" ref="Y20:AD30" totalsRowCount="1">
  <autoFilter ref="Y20:AD29"/>
  <tableColumns count="6">
    <tableColumn id="1" name="группа" totalsRowLabel="Итог" dataDxfId="27"/>
    <tableColumn id="2" name="частота" dataDxfId="28"/>
    <tableColumn id="3" name="групп сред" dataDxfId="29"/>
    <tableColumn id="4" name="групп дисп" dataDxfId="30"/>
    <tableColumn id="5" name="взвеш дисп" totalsRowFunction="custom">
      <calculatedColumnFormula>SUM(Таблица1[взвеш дисп])</calculatedColumnFormula>
      <totalsRowFormula>SUM(Таблица1[взвеш дисп])</totalsRowFormula>
    </tableColumn>
    <tableColumn id="6" name="взвеш кв откл" totalsRowFunction="sum" dataDxfId="3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4"/>
  <sheetViews>
    <sheetView workbookViewId="0">
      <selection activeCell="D32" sqref="D32"/>
    </sheetView>
  </sheetViews>
  <sheetFormatPr defaultColWidth="9" defaultRowHeight="14.6" outlineLevelCol="1"/>
  <cols>
    <col min="1" max="2" width="30.9203539823009" customWidth="1"/>
  </cols>
  <sheetData>
    <row r="1" ht="43.5" customHeight="1"/>
    <row r="4" ht="17.6" spans="1:1">
      <c r="A4" s="23" t="s">
        <v>0</v>
      </c>
    </row>
    <row r="6" spans="2:2">
      <c r="B6" s="24" t="s">
        <v>1</v>
      </c>
    </row>
    <row r="7" spans="1:2">
      <c r="A7" s="25" t="s">
        <v>2</v>
      </c>
      <c r="B7" s="25" t="s">
        <v>3</v>
      </c>
    </row>
    <row r="8" spans="1:2">
      <c r="A8" s="26" t="s">
        <v>4</v>
      </c>
      <c r="B8" s="26">
        <v>2679.7</v>
      </c>
    </row>
    <row r="9" spans="1:2">
      <c r="A9" s="26" t="s">
        <v>5</v>
      </c>
      <c r="B9" s="26">
        <v>2360.4</v>
      </c>
    </row>
    <row r="10" spans="1:2">
      <c r="A10" s="26" t="s">
        <v>6</v>
      </c>
      <c r="B10" s="26">
        <v>2270.2</v>
      </c>
    </row>
    <row r="11" spans="1:2">
      <c r="A11" s="26" t="s">
        <v>7</v>
      </c>
      <c r="B11" s="26">
        <v>2427</v>
      </c>
    </row>
    <row r="12" spans="1:2">
      <c r="A12" s="26" t="s">
        <v>8</v>
      </c>
      <c r="B12" s="26">
        <v>2502</v>
      </c>
    </row>
    <row r="13" spans="1:2">
      <c r="A13" s="26" t="s">
        <v>9</v>
      </c>
      <c r="B13" s="26">
        <v>1971.8</v>
      </c>
    </row>
    <row r="14" spans="1:2">
      <c r="A14" s="26" t="s">
        <v>10</v>
      </c>
      <c r="B14" s="26">
        <v>2132.1</v>
      </c>
    </row>
    <row r="15" spans="1:2">
      <c r="A15" s="26" t="s">
        <v>11</v>
      </c>
      <c r="B15" s="26">
        <v>2443</v>
      </c>
    </row>
    <row r="16" spans="1:2">
      <c r="A16" s="26" t="s">
        <v>12</v>
      </c>
      <c r="B16" s="26">
        <v>2260</v>
      </c>
    </row>
    <row r="17" spans="1:2">
      <c r="A17" s="26" t="s">
        <v>13</v>
      </c>
      <c r="B17" s="26">
        <v>2114.6</v>
      </c>
    </row>
    <row r="18" spans="1:2">
      <c r="A18" s="26" t="s">
        <v>14</v>
      </c>
      <c r="B18" s="26">
        <v>2399.3</v>
      </c>
    </row>
    <row r="19" spans="1:2">
      <c r="A19" s="26" t="s">
        <v>15</v>
      </c>
      <c r="B19" s="26">
        <v>2285.7</v>
      </c>
    </row>
    <row r="20" spans="1:2">
      <c r="A20" s="26" t="s">
        <v>16</v>
      </c>
      <c r="B20" s="26">
        <v>2211.2</v>
      </c>
    </row>
    <row r="21" spans="1:2">
      <c r="A21" s="26" t="s">
        <v>17</v>
      </c>
      <c r="B21" s="26">
        <v>2128.7</v>
      </c>
    </row>
    <row r="22" spans="1:2">
      <c r="A22" s="26" t="s">
        <v>18</v>
      </c>
      <c r="B22" s="26">
        <v>2137.5</v>
      </c>
    </row>
    <row r="23" spans="1:2">
      <c r="A23" s="26" t="s">
        <v>19</v>
      </c>
      <c r="B23" s="26">
        <v>2217.6</v>
      </c>
    </row>
    <row r="24" spans="1:2">
      <c r="A24" s="26" t="s">
        <v>20</v>
      </c>
      <c r="B24" s="26">
        <v>2293.5</v>
      </c>
    </row>
    <row r="25" spans="1:2">
      <c r="A25" s="26" t="s">
        <v>21</v>
      </c>
      <c r="B25" s="26">
        <v>2002.9</v>
      </c>
    </row>
    <row r="26" spans="1:2">
      <c r="A26" s="26" t="s">
        <v>22</v>
      </c>
      <c r="B26" s="26">
        <v>2710.5</v>
      </c>
    </row>
    <row r="27" spans="1:2">
      <c r="A27" s="26" t="s">
        <v>23</v>
      </c>
      <c r="B27" s="26">
        <v>2234.5</v>
      </c>
    </row>
    <row r="28" spans="1:2">
      <c r="A28" s="26" t="s">
        <v>24</v>
      </c>
      <c r="B28" s="26">
        <v>2222</v>
      </c>
    </row>
    <row r="29" spans="1:2">
      <c r="A29" s="26" t="s">
        <v>25</v>
      </c>
      <c r="B29" s="26">
        <v>2239</v>
      </c>
    </row>
    <row r="30" spans="1:2">
      <c r="A30" s="26" t="s">
        <v>26</v>
      </c>
      <c r="B30" s="26">
        <v>1979.1</v>
      </c>
    </row>
    <row r="31" spans="1:2">
      <c r="A31" s="26" t="s">
        <v>27</v>
      </c>
      <c r="B31" s="26">
        <v>1898.7</v>
      </c>
    </row>
    <row r="32" spans="1:2">
      <c r="A32" s="26" t="s">
        <v>28</v>
      </c>
      <c r="B32" s="26">
        <v>2215.6</v>
      </c>
    </row>
    <row r="33" spans="1:2">
      <c r="A33" s="26" t="s">
        <v>29</v>
      </c>
      <c r="B33" s="26">
        <v>2234.3</v>
      </c>
    </row>
    <row r="34" spans="1:2">
      <c r="A34" s="26" t="s">
        <v>30</v>
      </c>
      <c r="B34" s="26">
        <v>2101.1</v>
      </c>
    </row>
    <row r="35" spans="1:2">
      <c r="A35" s="26" t="s">
        <v>31</v>
      </c>
      <c r="B35" s="26">
        <v>1930.8</v>
      </c>
    </row>
    <row r="36" spans="1:2">
      <c r="A36" s="26" t="s">
        <v>32</v>
      </c>
      <c r="B36" s="26">
        <v>2060.7</v>
      </c>
    </row>
    <row r="37" spans="1:2">
      <c r="A37" s="26" t="s">
        <v>33</v>
      </c>
      <c r="B37" s="26">
        <v>2122</v>
      </c>
    </row>
    <row r="38" spans="1:2">
      <c r="A38" s="26" t="s">
        <v>34</v>
      </c>
      <c r="B38" s="26">
        <v>2151.4</v>
      </c>
    </row>
    <row r="39" spans="1:2">
      <c r="A39" s="26" t="s">
        <v>35</v>
      </c>
      <c r="B39" s="26">
        <v>1987.8</v>
      </c>
    </row>
    <row r="40" spans="1:2">
      <c r="A40" s="26" t="s">
        <v>36</v>
      </c>
      <c r="B40" s="26">
        <v>1869.8</v>
      </c>
    </row>
    <row r="41" spans="1:2">
      <c r="A41" s="26" t="s">
        <v>37</v>
      </c>
      <c r="B41" s="26">
        <v>2209.3</v>
      </c>
    </row>
    <row r="42" spans="1:2">
      <c r="A42" s="26" t="s">
        <v>38</v>
      </c>
      <c r="B42" s="26">
        <v>2228.3</v>
      </c>
    </row>
    <row r="43" spans="1:2">
      <c r="A43" s="26" t="s">
        <v>39</v>
      </c>
      <c r="B43" s="26">
        <v>2075.8</v>
      </c>
    </row>
    <row r="44" spans="1:2">
      <c r="A44" s="26" t="s">
        <v>40</v>
      </c>
      <c r="B44" s="26">
        <v>1830</v>
      </c>
    </row>
    <row r="45" spans="1:2">
      <c r="A45" s="26" t="s">
        <v>41</v>
      </c>
      <c r="B45" s="26">
        <v>2002.5</v>
      </c>
    </row>
    <row r="46" spans="1:2">
      <c r="A46" s="26" t="s">
        <v>42</v>
      </c>
      <c r="B46" s="26">
        <v>2038.7</v>
      </c>
    </row>
    <row r="47" spans="1:2">
      <c r="A47" s="26" t="s">
        <v>43</v>
      </c>
      <c r="B47" s="26">
        <v>1852.9</v>
      </c>
    </row>
    <row r="48" spans="1:2">
      <c r="A48" s="26" t="s">
        <v>44</v>
      </c>
      <c r="B48" s="26">
        <v>2288.2</v>
      </c>
    </row>
    <row r="49" spans="1:2">
      <c r="A49" s="26" t="s">
        <v>45</v>
      </c>
      <c r="B49" s="26">
        <v>1751.3</v>
      </c>
    </row>
    <row r="50" spans="1:2">
      <c r="A50" s="26" t="s">
        <v>46</v>
      </c>
      <c r="B50" s="26">
        <v>1927</v>
      </c>
    </row>
    <row r="51" spans="1:2">
      <c r="A51" s="26" t="s">
        <v>47</v>
      </c>
      <c r="B51" s="26">
        <v>2403.3</v>
      </c>
    </row>
    <row r="52" spans="1:2">
      <c r="A52" s="26" t="s">
        <v>48</v>
      </c>
      <c r="B52" s="26">
        <v>2550.1</v>
      </c>
    </row>
    <row r="53" spans="1:2">
      <c r="A53" s="26" t="s">
        <v>49</v>
      </c>
      <c r="B53" s="26">
        <v>2357.5</v>
      </c>
    </row>
    <row r="54" spans="1:2">
      <c r="A54" s="26" t="s">
        <v>50</v>
      </c>
      <c r="B54" s="26">
        <v>1896.1</v>
      </c>
    </row>
    <row r="55" spans="1:2">
      <c r="A55" s="26" t="s">
        <v>51</v>
      </c>
      <c r="B55" s="26">
        <v>2066.7</v>
      </c>
    </row>
    <row r="56" spans="1:2">
      <c r="A56" s="26" t="s">
        <v>52</v>
      </c>
      <c r="B56" s="26">
        <v>1961.6</v>
      </c>
    </row>
    <row r="57" spans="1:2">
      <c r="A57" s="26" t="s">
        <v>53</v>
      </c>
      <c r="B57" s="26">
        <v>2116.6</v>
      </c>
    </row>
    <row r="58" spans="1:2">
      <c r="A58" s="26" t="s">
        <v>54</v>
      </c>
      <c r="B58" s="26">
        <v>2008.5</v>
      </c>
    </row>
    <row r="59" spans="1:2">
      <c r="A59" s="26" t="s">
        <v>55</v>
      </c>
      <c r="B59" s="26">
        <v>2005.2</v>
      </c>
    </row>
    <row r="60" spans="1:2">
      <c r="A60" s="26" t="s">
        <v>56</v>
      </c>
      <c r="B60" s="26">
        <v>2115</v>
      </c>
    </row>
    <row r="61" spans="1:2">
      <c r="A61" s="26" t="s">
        <v>57</v>
      </c>
      <c r="B61" s="26">
        <v>2302.5</v>
      </c>
    </row>
    <row r="62" spans="1:2">
      <c r="A62" s="26" t="s">
        <v>58</v>
      </c>
      <c r="B62" s="26">
        <v>2147.4</v>
      </c>
    </row>
    <row r="63" spans="1:2">
      <c r="A63" s="26" t="s">
        <v>59</v>
      </c>
      <c r="B63" s="26">
        <v>1842.6</v>
      </c>
    </row>
    <row r="64" spans="1:2">
      <c r="A64" s="26" t="s">
        <v>60</v>
      </c>
      <c r="B64" s="26">
        <v>1905.6</v>
      </c>
    </row>
    <row r="65" spans="1:2">
      <c r="A65" s="26" t="s">
        <v>61</v>
      </c>
      <c r="B65" s="26">
        <v>1948.2</v>
      </c>
    </row>
    <row r="66" spans="1:2">
      <c r="A66" s="26" t="s">
        <v>62</v>
      </c>
      <c r="B66" s="26">
        <v>2568.2</v>
      </c>
    </row>
    <row r="67" spans="1:2">
      <c r="A67" s="26" t="s">
        <v>63</v>
      </c>
      <c r="B67" s="26">
        <v>1982.9</v>
      </c>
    </row>
    <row r="68" spans="1:2">
      <c r="A68" s="26" t="s">
        <v>64</v>
      </c>
      <c r="B68" s="26">
        <v>1875.4</v>
      </c>
    </row>
    <row r="69" spans="1:2">
      <c r="A69" s="26" t="s">
        <v>65</v>
      </c>
      <c r="B69" s="26">
        <v>2236.7</v>
      </c>
    </row>
    <row r="70" spans="1:2">
      <c r="A70" s="26" t="s">
        <v>66</v>
      </c>
      <c r="B70" s="26">
        <v>2877.8</v>
      </c>
    </row>
    <row r="71" spans="1:2">
      <c r="A71" s="26" t="s">
        <v>67</v>
      </c>
      <c r="B71" s="26">
        <v>2080.1</v>
      </c>
    </row>
    <row r="72" spans="1:2">
      <c r="A72" s="26" t="s">
        <v>68</v>
      </c>
      <c r="B72" s="26">
        <v>2685.3</v>
      </c>
    </row>
    <row r="73" spans="1:2">
      <c r="A73" s="26" t="s">
        <v>69</v>
      </c>
      <c r="B73" s="26">
        <v>1927.9</v>
      </c>
    </row>
    <row r="74" spans="1:2">
      <c r="A74" s="26" t="s">
        <v>70</v>
      </c>
      <c r="B74" s="26">
        <v>2039</v>
      </c>
    </row>
    <row r="75" spans="1:2">
      <c r="A75" s="26" t="s">
        <v>71</v>
      </c>
      <c r="B75" s="26">
        <v>2454.4</v>
      </c>
    </row>
    <row r="76" spans="1:2">
      <c r="A76" s="26" t="s">
        <v>72</v>
      </c>
      <c r="B76" s="26">
        <v>2359.7</v>
      </c>
    </row>
    <row r="77" spans="1:2">
      <c r="A77" s="26" t="s">
        <v>73</v>
      </c>
      <c r="B77" s="26">
        <v>2376.9</v>
      </c>
    </row>
    <row r="78" spans="1:2">
      <c r="A78" s="26" t="s">
        <v>74</v>
      </c>
      <c r="B78" s="26">
        <v>2311.5</v>
      </c>
    </row>
    <row r="79" spans="1:2">
      <c r="A79" s="26" t="s">
        <v>75</v>
      </c>
      <c r="B79" s="26">
        <v>2020.3</v>
      </c>
    </row>
    <row r="80" spans="1:2">
      <c r="A80" s="26" t="s">
        <v>76</v>
      </c>
      <c r="B80" s="26">
        <v>2501.5</v>
      </c>
    </row>
    <row r="81" spans="1:2">
      <c r="A81" s="26" t="s">
        <v>77</v>
      </c>
      <c r="B81" s="26">
        <v>2152.6</v>
      </c>
    </row>
    <row r="82" spans="1:2">
      <c r="A82" s="26" t="s">
        <v>78</v>
      </c>
      <c r="B82" s="26">
        <v>2110.2</v>
      </c>
    </row>
    <row r="83" spans="1:2">
      <c r="A83" s="26" t="s">
        <v>79</v>
      </c>
      <c r="B83" s="26">
        <v>1940.9</v>
      </c>
    </row>
    <row r="84" spans="1:2">
      <c r="A84" s="26" t="s">
        <v>80</v>
      </c>
      <c r="B84" s="26">
        <v>2097.6</v>
      </c>
    </row>
    <row r="85" spans="1:2">
      <c r="A85" s="26" t="s">
        <v>81</v>
      </c>
      <c r="B85" s="26">
        <v>2267.4</v>
      </c>
    </row>
    <row r="86" spans="1:2">
      <c r="A86" s="26" t="s">
        <v>82</v>
      </c>
      <c r="B86" s="26">
        <v>2034.8</v>
      </c>
    </row>
    <row r="87" spans="1:2">
      <c r="A87" s="26" t="s">
        <v>83</v>
      </c>
      <c r="B87" s="26">
        <v>2131.4</v>
      </c>
    </row>
    <row r="88" spans="1:2">
      <c r="A88" s="26" t="s">
        <v>84</v>
      </c>
      <c r="B88" s="26">
        <v>3198.4</v>
      </c>
    </row>
    <row r="89" spans="1:2">
      <c r="A89" s="26" t="s">
        <v>85</v>
      </c>
      <c r="B89" s="26">
        <v>2105.9</v>
      </c>
    </row>
    <row r="90" spans="1:2">
      <c r="A90" s="26" t="s">
        <v>86</v>
      </c>
      <c r="B90" s="26">
        <v>2125.2</v>
      </c>
    </row>
    <row r="91" spans="1:2">
      <c r="A91" s="26" t="s">
        <v>87</v>
      </c>
      <c r="B91" s="26">
        <v>2182.8</v>
      </c>
    </row>
    <row r="92" spans="1:2">
      <c r="A92" s="26" t="s">
        <v>88</v>
      </c>
      <c r="B92" s="26">
        <v>2405.6</v>
      </c>
    </row>
    <row r="93" spans="1:2">
      <c r="A93" s="26" t="s">
        <v>89</v>
      </c>
      <c r="B93" s="26">
        <v>2272.4</v>
      </c>
    </row>
    <row r="94" spans="1:2">
      <c r="A94" s="26" t="s">
        <v>90</v>
      </c>
      <c r="B94" s="26">
        <v>2572.3</v>
      </c>
    </row>
    <row r="95" spans="1:2">
      <c r="A95" s="26" t="s">
        <v>91</v>
      </c>
      <c r="B95" s="26">
        <v>3460.8</v>
      </c>
    </row>
    <row r="96" spans="1:2">
      <c r="A96" s="26" t="s">
        <v>92</v>
      </c>
      <c r="B96" s="26">
        <v>2721</v>
      </c>
    </row>
    <row r="97" spans="1:2">
      <c r="A97" s="26" t="s">
        <v>93</v>
      </c>
      <c r="B97" s="26">
        <v>2127.3</v>
      </c>
    </row>
    <row r="98" spans="1:2">
      <c r="A98" s="26" t="s">
        <v>94</v>
      </c>
      <c r="B98" s="26">
        <v>2409.7</v>
      </c>
    </row>
    <row r="99" spans="1:2">
      <c r="A99" s="26" t="s">
        <v>95</v>
      </c>
      <c r="B99" s="26">
        <v>2149.9</v>
      </c>
    </row>
    <row r="100" spans="1:2">
      <c r="A100" s="26" t="s">
        <v>96</v>
      </c>
      <c r="B100" s="26">
        <v>2254.1</v>
      </c>
    </row>
    <row r="101" spans="1:2">
      <c r="A101" s="26" t="s">
        <v>97</v>
      </c>
      <c r="B101" s="26">
        <v>2941.2</v>
      </c>
    </row>
    <row r="102" spans="1:2">
      <c r="A102" s="26" t="s">
        <v>98</v>
      </c>
      <c r="B102" s="26">
        <v>2198.7</v>
      </c>
    </row>
    <row r="103" spans="1:2">
      <c r="A103" s="26" t="s">
        <v>99</v>
      </c>
      <c r="B103" s="26">
        <v>2308.1</v>
      </c>
    </row>
    <row r="104" spans="1:2">
      <c r="A104" s="26" t="s">
        <v>100</v>
      </c>
      <c r="B104" s="26">
        <v>2240.4</v>
      </c>
    </row>
    <row r="105" spans="1:2">
      <c r="A105" s="26" t="s">
        <v>101</v>
      </c>
      <c r="B105" s="26">
        <v>2579.7</v>
      </c>
    </row>
    <row r="106" spans="1:2">
      <c r="A106" s="26" t="s">
        <v>102</v>
      </c>
      <c r="B106" s="26">
        <v>2459</v>
      </c>
    </row>
    <row r="107" spans="1:2">
      <c r="A107" s="26" t="s">
        <v>103</v>
      </c>
      <c r="B107" s="26">
        <v>3309.5</v>
      </c>
    </row>
    <row r="108" spans="1:2">
      <c r="A108" s="26" t="s">
        <v>104</v>
      </c>
      <c r="B108" s="26">
        <v>2303.8</v>
      </c>
    </row>
    <row r="109" spans="1:2">
      <c r="A109" s="26" t="s">
        <v>105</v>
      </c>
      <c r="B109" s="26">
        <v>2215</v>
      </c>
    </row>
    <row r="110" spans="1:2">
      <c r="A110" s="26" t="s">
        <v>106</v>
      </c>
      <c r="B110" s="26">
        <v>2606.1</v>
      </c>
    </row>
    <row r="111" spans="1:2">
      <c r="A111" s="26" t="s">
        <v>107</v>
      </c>
      <c r="B111" s="26">
        <v>2567.3</v>
      </c>
    </row>
    <row r="112" spans="1:2">
      <c r="A112" s="26" t="s">
        <v>108</v>
      </c>
      <c r="B112" s="26">
        <v>2401.7</v>
      </c>
    </row>
    <row r="113" spans="1:2">
      <c r="A113" s="26" t="s">
        <v>109</v>
      </c>
      <c r="B113" s="26">
        <v>3083.5</v>
      </c>
    </row>
    <row r="114" spans="1:2">
      <c r="A114" s="26" t="s">
        <v>110</v>
      </c>
      <c r="B114" s="26">
        <v>3220.8</v>
      </c>
    </row>
    <row r="115" spans="1:2">
      <c r="A115" s="26" t="s">
        <v>111</v>
      </c>
      <c r="B115" s="26">
        <v>2257.6</v>
      </c>
    </row>
    <row r="116" spans="1:2">
      <c r="A116" s="26" t="s">
        <v>112</v>
      </c>
      <c r="B116" s="26">
        <v>2361.6</v>
      </c>
    </row>
    <row r="117" spans="1:2">
      <c r="A117" s="26" t="s">
        <v>113</v>
      </c>
      <c r="B117" s="26">
        <v>2384.7</v>
      </c>
    </row>
    <row r="118" spans="1:2">
      <c r="A118" s="26" t="s">
        <v>114</v>
      </c>
      <c r="B118" s="26">
        <v>2283</v>
      </c>
    </row>
    <row r="119" ht="26.25" spans="1:2">
      <c r="A119" s="26" t="s">
        <v>115</v>
      </c>
      <c r="B119" s="26">
        <v>2921.7</v>
      </c>
    </row>
    <row r="120" spans="1:2">
      <c r="A120" s="26" t="s">
        <v>116</v>
      </c>
      <c r="B120" s="26">
        <v>2719.4</v>
      </c>
    </row>
    <row r="121" spans="1:2">
      <c r="A121" s="26" t="s">
        <v>117</v>
      </c>
      <c r="B121" s="26">
        <v>2243.5</v>
      </c>
    </row>
    <row r="122" spans="1:2">
      <c r="A122" s="26" t="s">
        <v>118</v>
      </c>
      <c r="B122" s="26">
        <v>2173.5</v>
      </c>
    </row>
    <row r="123" spans="1:2">
      <c r="A123" s="26" t="s">
        <v>119</v>
      </c>
      <c r="B123" s="26">
        <v>1998.5</v>
      </c>
    </row>
    <row r="124" spans="1:2">
      <c r="A124" s="26" t="s">
        <v>120</v>
      </c>
      <c r="B124" s="26">
        <v>2066</v>
      </c>
    </row>
    <row r="125" spans="1:2">
      <c r="A125" s="26" t="s">
        <v>121</v>
      </c>
      <c r="B125" s="26">
        <v>1952.4</v>
      </c>
    </row>
    <row r="126" spans="1:2">
      <c r="A126" s="26" t="s">
        <v>122</v>
      </c>
      <c r="B126" s="26">
        <v>2102.5</v>
      </c>
    </row>
    <row r="127" spans="1:2">
      <c r="A127" s="26" t="s">
        <v>123</v>
      </c>
      <c r="B127" s="26">
        <v>1891.5</v>
      </c>
    </row>
    <row r="128" spans="1:2">
      <c r="A128" s="26" t="s">
        <v>124</v>
      </c>
      <c r="B128" s="26">
        <v>2018.8</v>
      </c>
    </row>
    <row r="129" spans="1:2">
      <c r="A129" s="26" t="s">
        <v>125</v>
      </c>
      <c r="B129" s="26">
        <v>1953.3</v>
      </c>
    </row>
    <row r="130" spans="1:2">
      <c r="A130" s="26" t="s">
        <v>126</v>
      </c>
      <c r="B130" s="26">
        <v>2060</v>
      </c>
    </row>
    <row r="131" spans="1:2">
      <c r="A131" s="26" t="s">
        <v>127</v>
      </c>
      <c r="B131" s="26">
        <v>2187.2</v>
      </c>
    </row>
    <row r="132" spans="1:2">
      <c r="A132" s="26" t="s">
        <v>128</v>
      </c>
      <c r="B132" s="26">
        <v>1844.8</v>
      </c>
    </row>
    <row r="133" spans="1:2">
      <c r="A133" s="26" t="s">
        <v>129</v>
      </c>
      <c r="B133" s="26">
        <v>2123.2</v>
      </c>
    </row>
    <row r="134" spans="1:2">
      <c r="A134" s="26" t="s">
        <v>130</v>
      </c>
      <c r="B134" s="26">
        <v>1940.3</v>
      </c>
    </row>
    <row r="135" spans="1:2">
      <c r="A135" s="26" t="s">
        <v>131</v>
      </c>
      <c r="B135" s="26">
        <v>2533.8</v>
      </c>
    </row>
    <row r="136" spans="1:2">
      <c r="A136" s="26" t="s">
        <v>132</v>
      </c>
      <c r="B136" s="26">
        <v>1913.1</v>
      </c>
    </row>
    <row r="137" spans="1:2">
      <c r="A137" s="26" t="s">
        <v>133</v>
      </c>
      <c r="B137" s="26">
        <v>2296.2</v>
      </c>
    </row>
    <row r="138" spans="1:2">
      <c r="A138" s="26" t="s">
        <v>134</v>
      </c>
      <c r="B138" s="26">
        <v>1862.2</v>
      </c>
    </row>
    <row r="139" spans="1:2">
      <c r="A139" s="26" t="s">
        <v>135</v>
      </c>
      <c r="B139" s="26">
        <v>1895.3</v>
      </c>
    </row>
    <row r="140" spans="1:2">
      <c r="A140" s="26" t="s">
        <v>136</v>
      </c>
      <c r="B140" s="26">
        <v>1924.3</v>
      </c>
    </row>
    <row r="141" spans="1:2">
      <c r="A141" s="26" t="s">
        <v>137</v>
      </c>
      <c r="B141" s="26">
        <v>1924.4</v>
      </c>
    </row>
    <row r="142" spans="1:2">
      <c r="A142" s="26" t="s">
        <v>138</v>
      </c>
      <c r="B142" s="26">
        <v>2401</v>
      </c>
    </row>
    <row r="143" spans="1:2">
      <c r="A143" s="26" t="s">
        <v>139</v>
      </c>
      <c r="B143" s="26">
        <v>2454.9</v>
      </c>
    </row>
    <row r="144" spans="1:2">
      <c r="A144" s="26" t="s">
        <v>140</v>
      </c>
      <c r="B144" s="26">
        <v>2149.7</v>
      </c>
    </row>
  </sheetData>
  <pageMargins left="0.25" right="0.25" top="0.75" bottom="0.75" header="0.3" footer="0.3"/>
  <pageSetup paperSize="9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31"/>
  <sheetViews>
    <sheetView tabSelected="1" topLeftCell="I1" workbookViewId="0">
      <selection activeCell="P3" sqref="P3"/>
    </sheetView>
  </sheetViews>
  <sheetFormatPr defaultColWidth="9" defaultRowHeight="14.6"/>
  <cols>
    <col min="1" max="1" width="34.9203539823009" customWidth="1"/>
    <col min="2" max="2" width="10.6106194690265" customWidth="1"/>
    <col min="3" max="3" width="12" style="1" customWidth="1"/>
    <col min="4" max="4" width="14.6106194690265" style="1" customWidth="1"/>
    <col min="5" max="5" width="15.6106194690265" style="1" customWidth="1"/>
    <col min="6" max="6" width="23.3008849557522" customWidth="1"/>
    <col min="7" max="7" width="23.7699115044248" customWidth="1"/>
    <col min="9" max="9" width="18.5309734513274" customWidth="1"/>
    <col min="10" max="10" width="13.3805309734513" customWidth="1"/>
    <col min="11" max="11" width="14.070796460177" customWidth="1"/>
    <col min="12" max="12" width="12.8407079646018" customWidth="1"/>
    <col min="13" max="13" width="11" customWidth="1"/>
    <col min="14" max="14" width="15.2300884955752" customWidth="1"/>
    <col min="15" max="15" width="10.7699115044248" customWidth="1"/>
    <col min="16" max="16" width="11.8407079646018" customWidth="1"/>
    <col min="17" max="17" width="14.2300884955752" customWidth="1"/>
    <col min="18" max="18" width="15.2300884955752" customWidth="1"/>
    <col min="19" max="19" width="3.76991150442478" customWidth="1"/>
    <col min="20" max="20" width="23.5309734513274" customWidth="1"/>
    <col min="21" max="21" width="11.8407079646018" customWidth="1"/>
    <col min="23" max="23" width="10.4601769911504" customWidth="1"/>
    <col min="25" max="25" width="9" customWidth="1"/>
    <col min="26" max="26" width="12.070796460177" customWidth="1"/>
    <col min="27" max="27" width="11.8407079646018" customWidth="1"/>
    <col min="28" max="28" width="11.9203539823009" customWidth="1"/>
    <col min="29" max="29" width="12.6902654867257" customWidth="1"/>
    <col min="30" max="30" width="14.5309734513274" customWidth="1"/>
  </cols>
  <sheetData>
    <row r="1" spans="1:9">
      <c r="A1" t="s">
        <v>141</v>
      </c>
      <c r="I1" t="s">
        <v>142</v>
      </c>
    </row>
    <row r="2" spans="1:27">
      <c r="A2" s="2" t="s">
        <v>2</v>
      </c>
      <c r="B2" s="3" t="s">
        <v>143</v>
      </c>
      <c r="C2" s="4" t="s">
        <v>3</v>
      </c>
      <c r="D2" s="4" t="s">
        <v>144</v>
      </c>
      <c r="E2" s="7" t="s">
        <v>145</v>
      </c>
      <c r="F2" s="8" t="s">
        <v>146</v>
      </c>
      <c r="G2" s="8">
        <f>COUNT(Таблица2[2025])</f>
        <v>129</v>
      </c>
      <c r="I2" s="2" t="s">
        <v>147</v>
      </c>
      <c r="J2" s="12" t="s">
        <v>148</v>
      </c>
      <c r="K2" s="12" t="s">
        <v>149</v>
      </c>
      <c r="L2" s="12" t="s">
        <v>150</v>
      </c>
      <c r="M2" s="15" t="s">
        <v>151</v>
      </c>
      <c r="N2" s="12" t="s">
        <v>152</v>
      </c>
      <c r="O2" s="12" t="s">
        <v>153</v>
      </c>
      <c r="P2" s="12" t="s">
        <v>154</v>
      </c>
      <c r="Q2" t="s">
        <v>155</v>
      </c>
      <c r="R2" t="s">
        <v>156</v>
      </c>
      <c r="T2" t="s">
        <v>157</v>
      </c>
      <c r="Y2" s="18" t="s">
        <v>151</v>
      </c>
      <c r="Z2" s="8"/>
      <c r="AA2" s="8"/>
    </row>
    <row r="3" spans="1:27">
      <c r="A3" s="5" t="s">
        <v>91</v>
      </c>
      <c r="B3" s="5">
        <f>MATCH(Таблица2[[#This Row],[2025]],Таблица3[Ниж. Гран],1)</f>
        <v>9</v>
      </c>
      <c r="C3" s="6">
        <v>3460.8</v>
      </c>
      <c r="D3" s="6">
        <f>LN(Таблица2[[#This Row],[2025]])</f>
        <v>8.14925505519879</v>
      </c>
      <c r="E3" s="6" t="str">
        <f>IF(OR(C3&gt;3*$G$4,C3&lt;$G$4/3),"ВЫБРОС","ОК")</f>
        <v>ОК</v>
      </c>
      <c r="F3" s="5" t="s">
        <v>158</v>
      </c>
      <c r="G3" s="8">
        <f>AVERAGE(Таблица2[2025])</f>
        <v>2225.06976744186</v>
      </c>
      <c r="I3" s="5">
        <v>1</v>
      </c>
      <c r="J3" s="8">
        <f>$G$13</f>
        <v>1751.3</v>
      </c>
      <c r="K3" s="8">
        <f>J3+$G$15</f>
        <v>1941.24444444444</v>
      </c>
      <c r="L3" s="8">
        <f>ROUND((Таблица3[[#This Row],[Ниж. Гран]]+Таблица3[[#This Row],[Верх. Гран.]])/2,2)</f>
        <v>1846.27</v>
      </c>
      <c r="M3" s="16">
        <f>IF(Таблица3[[#This Row],[Интервал]]=MAX(Таблица3[Интервал]),COUNTIFS(Таблица2[2025],"&gt;="&amp;Таблица3[[#This Row],[Ниж. Гран]],Таблица2[2025],"&lt;="&amp;Таблица3[[#This Row],[Верх. Гран.]]),COUNTIFS(Таблица2[2025],"&gt;="&amp;Таблица3[[#This Row],[Ниж. Гран]],Таблица2[2025],"&lt;"&amp;Таблица3[[#This Row],[Верх. Гран.]]))</f>
        <v>21</v>
      </c>
      <c r="N3" s="12">
        <f>Таблица3[[#This Row],[Частота]]/$G$2</f>
        <v>0.162790697674419</v>
      </c>
      <c r="O3" s="8">
        <f>Таблица3[[#This Row],[Частота]]</f>
        <v>21</v>
      </c>
      <c r="P3" s="8" t="e">
        <f>LOGNORM.DIST(Таблица3[[#This Row],[Верх. Гран.]],$U$4,$U$5,TRUE)</f>
        <v>#NAME?</v>
      </c>
      <c r="Q3" s="8" t="e">
        <f>Таблица3[[#This Row],[F(b_i)]]</f>
        <v>#NAME?</v>
      </c>
      <c r="R3" s="8" t="e">
        <f>Таблица3[[#This Row],[тервер(р_i)]]*$G$2</f>
        <v>#NAME?</v>
      </c>
      <c r="Y3" s="19">
        <f>M3</f>
        <v>21</v>
      </c>
      <c r="Z3" s="19" t="e">
        <f>R3</f>
        <v>#NAME?</v>
      </c>
      <c r="AA3" s="8" t="e">
        <f>(Y3-Z3)*(Y3-Z3)/Z3</f>
        <v>#NAME?</v>
      </c>
    </row>
    <row r="4" spans="1:27">
      <c r="A4" s="5" t="s">
        <v>103</v>
      </c>
      <c r="B4" s="5">
        <f>MATCH(Таблица2[[#This Row],[2025]],Таблица3[Ниж. Гран],1)</f>
        <v>9</v>
      </c>
      <c r="C4" s="6">
        <v>3309.5</v>
      </c>
      <c r="D4" s="6">
        <f>LN(Таблица2[[#This Row],[2025]])</f>
        <v>8.10455239955898</v>
      </c>
      <c r="E4" s="6" t="str">
        <f>IF(OR(C4&gt;3*$G$4,C4&lt;$G$4/3),"ВЫБРОС","ОК")</f>
        <v>ОК</v>
      </c>
      <c r="F4" s="5" t="s">
        <v>159</v>
      </c>
      <c r="G4" s="8">
        <f>MEDIAN(Таблица2[2025])</f>
        <v>2151.4</v>
      </c>
      <c r="I4" s="5">
        <v>2</v>
      </c>
      <c r="J4" s="8">
        <f>K3</f>
        <v>1941.24444444444</v>
      </c>
      <c r="K4" s="8">
        <f>J4+$G$15</f>
        <v>2131.18888888889</v>
      </c>
      <c r="L4" s="8">
        <f>ROUND((Таблица3[[#This Row],[Ниж. Гран]]+Таблица3[[#This Row],[Верх. Гран.]])/2,2)</f>
        <v>2036.22</v>
      </c>
      <c r="M4" s="16">
        <f>IF(Таблица3[[#This Row],[Интервал]]=MAX(Таблица3[Интервал]),COUNTIFS(Таблица2[2025],"&gt;="&amp;Таблица3[[#This Row],[Ниж. Гран]],Таблица2[2025],"&lt;="&amp;Таблица3[[#This Row],[Верх. Гран.]]),COUNTIFS(Таблица2[2025],"&gt;="&amp;Таблица3[[#This Row],[Ниж. Гран]],Таблица2[2025],"&lt;"&amp;Таблица3[[#This Row],[Верх. Гран.]]))</f>
        <v>37</v>
      </c>
      <c r="N4" s="8">
        <f>Таблица3[[#This Row],[Частота]]/$G$2</f>
        <v>0.286821705426357</v>
      </c>
      <c r="O4" s="8">
        <f>O3+Таблица3[[#This Row],[Частота]]</f>
        <v>58</v>
      </c>
      <c r="P4" s="8" t="e">
        <f>_xlfn.LOGNORM.DIST(Таблица3[[#This Row],[Верх. Гран.]],$U$4,$U$5,TRUE)</f>
        <v>#NAME?</v>
      </c>
      <c r="Q4" s="8" t="e">
        <f>Таблица3[[#This Row],[F(b_i)]]-_xlfn.LOGNORM.DIST(Таблица3[[#This Row],[Ниж. Гран]],$U$4,$U$5,TRUE)</f>
        <v>#NAME?</v>
      </c>
      <c r="R4" s="8" t="e">
        <f>Таблица3[[#This Row],[тервер(р_i)]]*$G$2</f>
        <v>#NAME?</v>
      </c>
      <c r="T4" s="8" t="s">
        <v>160</v>
      </c>
      <c r="U4" s="8">
        <f>AVERAGE(Таблица2[ln_2025])</f>
        <v>7.69886990965716</v>
      </c>
      <c r="Y4" s="19">
        <f>M4</f>
        <v>37</v>
      </c>
      <c r="Z4" s="19" t="e">
        <f>R4</f>
        <v>#NAME?</v>
      </c>
      <c r="AA4" s="8" t="e">
        <f t="shared" ref="AA4:AA8" si="0">(Y4-Z4)*(Y4-Z4)/Z4</f>
        <v>#NAME?</v>
      </c>
    </row>
    <row r="5" spans="1:27">
      <c r="A5" s="5" t="s">
        <v>110</v>
      </c>
      <c r="B5" s="5">
        <f>MATCH(Таблица2[[#This Row],[2025]],Таблица3[Ниж. Гран],1)</f>
        <v>8</v>
      </c>
      <c r="C5" s="6">
        <v>3220.8</v>
      </c>
      <c r="D5" s="6">
        <f>LN(Таблица2[[#This Row],[2025]])</f>
        <v>8.07738505488553</v>
      </c>
      <c r="E5" s="6" t="str">
        <f>IF(OR(C5&gt;3*$G$4,C5&lt;$G$4/3),"ВЫБРОС","ОК")</f>
        <v>ОК</v>
      </c>
      <c r="F5" s="5" t="s">
        <v>161</v>
      </c>
      <c r="G5" s="8" t="s">
        <v>162</v>
      </c>
      <c r="I5" s="5">
        <v>3</v>
      </c>
      <c r="J5" s="8">
        <f t="shared" ref="J5:J11" si="1">K4</f>
        <v>2131.18888888889</v>
      </c>
      <c r="K5" s="8">
        <f t="shared" ref="K5:K11" si="2">J5+$G$15</f>
        <v>2321.13333333333</v>
      </c>
      <c r="L5" s="8">
        <f>ROUND((Таблица3[[#This Row],[Ниж. Гран]]+Таблица3[[#This Row],[Верх. Гран.]])/2,2)</f>
        <v>2226.16</v>
      </c>
      <c r="M5" s="16">
        <f>IF(Таблица3[[#This Row],[Интервал]]=MAX(Таблица3[Интервал]),COUNTIFS(Таблица2[2025],"&gt;="&amp;Таблица3[[#This Row],[Ниж. Гран]],Таблица2[2025],"&lt;="&amp;Таблица3[[#This Row],[Верх. Гран.]]),COUNTIFS(Таблица2[2025],"&gt;="&amp;Таблица3[[#This Row],[Ниж. Гран]],Таблица2[2025],"&lt;"&amp;Таблица3[[#This Row],[Верх. Гран.]]))</f>
        <v>38</v>
      </c>
      <c r="N5" s="8">
        <f>Таблица3[[#This Row],[Частота]]/$G$2</f>
        <v>0.294573643410853</v>
      </c>
      <c r="O5" s="8">
        <f>O4+Таблица3[[#This Row],[Частота]]</f>
        <v>96</v>
      </c>
      <c r="P5" s="8" t="e">
        <f>_xlfn.LOGNORM.DIST(Таблица3[[#This Row],[Верх. Гран.]],$U$4,$U$5,TRUE)</f>
        <v>#NAME?</v>
      </c>
      <c r="Q5" s="8" t="e">
        <f>Таблица3[[#This Row],[F(b_i)]]-_xlfn.LOGNORM.DIST(Таблица3[[#This Row],[Ниж. Гран]],$U$4,$U$5,TRUE)</f>
        <v>#NAME?</v>
      </c>
      <c r="R5" s="8" t="e">
        <f>Таблица3[[#This Row],[тервер(р_i)]]*$G$2</f>
        <v>#NAME?</v>
      </c>
      <c r="T5" s="8" t="s">
        <v>163</v>
      </c>
      <c r="U5" s="8">
        <f>_xlfn.STDEV.S(Таблица2[ln_2025])</f>
        <v>0.129085207549801</v>
      </c>
      <c r="Y5" s="19">
        <f>M5</f>
        <v>38</v>
      </c>
      <c r="Z5" s="19" t="e">
        <f>R5</f>
        <v>#NAME?</v>
      </c>
      <c r="AA5" s="8" t="e">
        <f t="shared" si="0"/>
        <v>#NAME?</v>
      </c>
    </row>
    <row r="6" spans="1:27">
      <c r="A6" s="5" t="s">
        <v>84</v>
      </c>
      <c r="B6" s="5">
        <f>MATCH(Таблица2[[#This Row],[2025]],Таблица3[Ниж. Гран],1)</f>
        <v>8</v>
      </c>
      <c r="C6" s="6">
        <v>3198.4</v>
      </c>
      <c r="D6" s="6">
        <f>LN(Таблица2[[#This Row],[2025]])</f>
        <v>8.07040596374614</v>
      </c>
      <c r="E6" s="6" t="str">
        <f>IF(OR(C6&gt;3*$G$4,C6&lt;$G$4/3),"ВЫБРОС","ОК")</f>
        <v>ОК</v>
      </c>
      <c r="F6" s="5" t="s">
        <v>164</v>
      </c>
      <c r="G6" s="8">
        <f>_xlfn.VAR.S(Таблица2[2025])</f>
        <v>96264.7949382272</v>
      </c>
      <c r="I6" s="5">
        <v>4</v>
      </c>
      <c r="J6" s="8">
        <f t="shared" si="1"/>
        <v>2321.13333333333</v>
      </c>
      <c r="K6" s="8">
        <f t="shared" si="2"/>
        <v>2511.07777777778</v>
      </c>
      <c r="L6" s="8">
        <f>ROUND((Таблица3[[#This Row],[Ниж. Гран]]+Таблица3[[#This Row],[Верх. Гран.]])/2,2)</f>
        <v>2416.11</v>
      </c>
      <c r="M6" s="16">
        <f>IF(Таблица3[[#This Row],[Интервал]]=MAX(Таблица3[Интервал]),COUNTIFS(Таблица2[2025],"&gt;="&amp;Таблица3[[#This Row],[Ниж. Гран]],Таблица2[2025],"&lt;="&amp;Таблица3[[#This Row],[Верх. Гран.]]),COUNTIFS(Таблица2[2025],"&gt;="&amp;Таблица3[[#This Row],[Ниж. Гран]],Таблица2[2025],"&lt;"&amp;Таблица3[[#This Row],[Верх. Гран.]]))</f>
        <v>16</v>
      </c>
      <c r="N6" s="8">
        <f>Таблица3[[#This Row],[Частота]]/$G$2</f>
        <v>0.124031007751938</v>
      </c>
      <c r="O6" s="8">
        <f>O5+Таблица3[[#This Row],[Частота]]</f>
        <v>112</v>
      </c>
      <c r="P6" s="8" t="e">
        <f>_xlfn.LOGNORM.DIST(Таблица3[[#This Row],[Верх. Гран.]],$U$4,$U$5,TRUE)</f>
        <v>#NAME?</v>
      </c>
      <c r="Q6" s="8" t="e">
        <f>Таблица3[[#This Row],[F(b_i)]]-_xlfn.LOGNORM.DIST(Таблица3[[#This Row],[Ниж. Гран]],$U$4,$U$5,TRUE)</f>
        <v>#NAME?</v>
      </c>
      <c r="R6" s="8" t="e">
        <f>Таблица3[[#This Row],[тервер(р_i)]]*$G$2</f>
        <v>#NAME?</v>
      </c>
      <c r="Y6" s="19">
        <f>M6</f>
        <v>16</v>
      </c>
      <c r="Z6" s="19" t="e">
        <f>R6</f>
        <v>#NAME?</v>
      </c>
      <c r="AA6" s="8" t="e">
        <f t="shared" si="0"/>
        <v>#NAME?</v>
      </c>
    </row>
    <row r="7" spans="1:27">
      <c r="A7" s="5" t="s">
        <v>109</v>
      </c>
      <c r="B7" s="5">
        <f>MATCH(Таблица2[[#This Row],[2025]],Таблица3[Ниж. Гран],1)</f>
        <v>8</v>
      </c>
      <c r="C7" s="6">
        <v>3083.5</v>
      </c>
      <c r="D7" s="6">
        <f>LN(Таблица2[[#This Row],[2025]])</f>
        <v>8.03382059443155</v>
      </c>
      <c r="E7" s="6" t="str">
        <f>IF(OR(C7&gt;3*$G$4,C7&lt;$G$4/3),"ВЫБРОС","ОК")</f>
        <v>ОК</v>
      </c>
      <c r="F7" s="5" t="s">
        <v>165</v>
      </c>
      <c r="G7" s="8">
        <f>SQRT(G6)</f>
        <v>310.265684435497</v>
      </c>
      <c r="I7" s="5">
        <v>5</v>
      </c>
      <c r="J7" s="8">
        <f t="shared" si="1"/>
        <v>2511.07777777778</v>
      </c>
      <c r="K7" s="8">
        <f t="shared" si="2"/>
        <v>2701.02222222222</v>
      </c>
      <c r="L7" s="8">
        <f>ROUND((Таблица3[[#This Row],[Ниж. Гран]]+Таблица3[[#This Row],[Верх. Гран.]])/2,2)</f>
        <v>2606.05</v>
      </c>
      <c r="M7" s="16">
        <f>IF(Таблица3[[#This Row],[Интервал]]=MAX(Таблица3[Интервал]),COUNTIFS(Таблица2[2025],"&gt;="&amp;Таблица3[[#This Row],[Ниж. Гран]],Таблица2[2025],"&lt;="&amp;Таблица3[[#This Row],[Верх. Гран.]]),COUNTIFS(Таблица2[2025],"&gt;="&amp;Таблица3[[#This Row],[Ниж. Гран]],Таблица2[2025],"&lt;"&amp;Таблица3[[#This Row],[Верх. Гран.]]))</f>
        <v>8</v>
      </c>
      <c r="N7" s="8">
        <f>Таблица3[[#This Row],[Частота]]/$G$2</f>
        <v>0.062015503875969</v>
      </c>
      <c r="O7" s="8">
        <f>O6+Таблица3[[#This Row],[Частота]]</f>
        <v>120</v>
      </c>
      <c r="P7" s="8" t="e">
        <f>_xlfn.LOGNORM.DIST(Таблица3[[#This Row],[Верх. Гран.]],$U$4,$U$5,TRUE)</f>
        <v>#NAME?</v>
      </c>
      <c r="Q7" s="8" t="e">
        <f>Таблица3[[#This Row],[F(b_i)]]-_xlfn.LOGNORM.DIST(Таблица3[[#This Row],[Ниж. Гран]],$U$4,$U$5,TRUE)</f>
        <v>#NAME?</v>
      </c>
      <c r="R7" s="8" t="e">
        <f>Таблица3[[#This Row],[тервер(р_i)]]*$G$2</f>
        <v>#NAME?</v>
      </c>
      <c r="Y7" s="19">
        <f>M7</f>
        <v>8</v>
      </c>
      <c r="Z7" s="19" t="e">
        <f>R7</f>
        <v>#NAME?</v>
      </c>
      <c r="AA7" s="8" t="e">
        <f t="shared" si="0"/>
        <v>#NAME?</v>
      </c>
    </row>
    <row r="8" spans="1:27">
      <c r="A8" s="5" t="s">
        <v>97</v>
      </c>
      <c r="B8" s="5">
        <f>MATCH(Таблица2[[#This Row],[2025]],Таблица3[Ниж. Гран],1)</f>
        <v>7</v>
      </c>
      <c r="C8" s="6">
        <v>2941.2</v>
      </c>
      <c r="D8" s="6">
        <f>LN(Таблица2[[#This Row],[2025]])</f>
        <v>7.98657294032207</v>
      </c>
      <c r="E8" s="6" t="str">
        <f>IF(OR(C8&gt;3*$G$4,C8&lt;$G$4/3),"ВЫБРОС","ОК")</f>
        <v>ОК</v>
      </c>
      <c r="F8" s="5" t="s">
        <v>166</v>
      </c>
      <c r="G8" s="8">
        <f>G7/G3*100</f>
        <v>13.9440879102054</v>
      </c>
      <c r="I8" s="5">
        <v>6</v>
      </c>
      <c r="J8" s="8">
        <f t="shared" si="1"/>
        <v>2701.02222222222</v>
      </c>
      <c r="K8" s="8">
        <f t="shared" si="2"/>
        <v>2890.96666666667</v>
      </c>
      <c r="L8" s="8">
        <f>ROUND((Таблица3[[#This Row],[Ниж. Гран]]+Таблица3[[#This Row],[Верх. Гран.]])/2,2)</f>
        <v>2795.99</v>
      </c>
      <c r="M8" s="16">
        <f>IF(Таблица3[[#This Row],[Интервал]]=MAX(Таблица3[Интервал]),COUNTIFS(Таблица2[2025],"&gt;="&amp;Таблица3[[#This Row],[Ниж. Гран]],Таблица2[2025],"&lt;="&amp;Таблица3[[#This Row],[Верх. Гран.]]),COUNTIFS(Таблица2[2025],"&gt;="&amp;Таблица3[[#This Row],[Ниж. Гран]],Таблица2[2025],"&lt;"&amp;Таблица3[[#This Row],[Верх. Гран.]]))</f>
        <v>3</v>
      </c>
      <c r="N8" s="8">
        <f>Таблица3[[#This Row],[Частота]]/$G$2</f>
        <v>0.0232558139534884</v>
      </c>
      <c r="O8" s="8">
        <f>O7+Таблица3[[#This Row],[Частота]]</f>
        <v>123</v>
      </c>
      <c r="P8" s="8" t="e">
        <f>_xlfn.LOGNORM.DIST(Таблица3[[#This Row],[Верх. Гран.]],$U$4,$U$5,TRUE)</f>
        <v>#NAME?</v>
      </c>
      <c r="Q8" s="8" t="e">
        <f>Таблица3[[#This Row],[F(b_i)]]-_xlfn.LOGNORM.DIST(Таблица3[[#This Row],[Ниж. Гран]],$U$4,$U$5,TRUE)</f>
        <v>#NAME?</v>
      </c>
      <c r="R8" s="8" t="e">
        <f>Таблица3[[#This Row],[тервер(р_i)]]*$G$2</f>
        <v>#NAME?</v>
      </c>
      <c r="S8" t="s">
        <v>167</v>
      </c>
      <c r="Y8" s="19">
        <f>SUM(M8:M11)</f>
        <v>9</v>
      </c>
      <c r="Z8" s="19" t="e">
        <f>SUM(R8:R11)</f>
        <v>#NAME?</v>
      </c>
      <c r="AA8" s="8" t="e">
        <f t="shared" si="0"/>
        <v>#NAME?</v>
      </c>
    </row>
    <row r="9" spans="1:18">
      <c r="A9" s="5" t="s">
        <v>66</v>
      </c>
      <c r="B9" s="5">
        <f>MATCH(Таблица2[[#This Row],[2025]],Таблица3[Ниж. Гран],1)</f>
        <v>6</v>
      </c>
      <c r="C9" s="6">
        <v>2877.8</v>
      </c>
      <c r="D9" s="6">
        <f>LN(Таблица2[[#This Row],[2025]])</f>
        <v>7.96478139232932</v>
      </c>
      <c r="E9" s="6" t="str">
        <f>IF(OR(C9&gt;3*$G$4,C9&lt;$G$4/3),"ВЫБРОС","ОК")</f>
        <v>ОК</v>
      </c>
      <c r="F9" s="9" t="s">
        <v>168</v>
      </c>
      <c r="G9" s="10" t="str">
        <f>IF(G8&lt;=33,"Совокупность однородна","Совокупность неоднородна")</f>
        <v>Совокупность однородна</v>
      </c>
      <c r="I9" s="5">
        <v>7</v>
      </c>
      <c r="J9" s="8">
        <f t="shared" si="1"/>
        <v>2890.96666666667</v>
      </c>
      <c r="K9" s="8">
        <f t="shared" si="2"/>
        <v>3080.91111111111</v>
      </c>
      <c r="L9" s="8">
        <f>ROUND((Таблица3[[#This Row],[Ниж. Гран]]+Таблица3[[#This Row],[Верх. Гран.]])/2,2)</f>
        <v>2985.94</v>
      </c>
      <c r="M9" s="16">
        <f>IF(Таблица3[[#This Row],[Интервал]]=MAX(Таблица3[Интервал]),COUNTIFS(Таблица2[2025],"&gt;="&amp;Таблица3[[#This Row],[Ниж. Гран]],Таблица2[2025],"&lt;="&amp;Таблица3[[#This Row],[Верх. Гран.]]),COUNTIFS(Таблица2[2025],"&gt;="&amp;Таблица3[[#This Row],[Ниж. Гран]],Таблица2[2025],"&lt;"&amp;Таблица3[[#This Row],[Верх. Гран.]]))</f>
        <v>1</v>
      </c>
      <c r="N9" s="8">
        <f>Таблица3[[#This Row],[Частота]]/$G$2</f>
        <v>0.00775193798449612</v>
      </c>
      <c r="O9" s="8">
        <f>O8+Таблица3[[#This Row],[Частота]]</f>
        <v>124</v>
      </c>
      <c r="P9" s="8" t="e">
        <f>_xlfn.LOGNORM.DIST(Таблица3[[#This Row],[Верх. Гран.]],$U$4,$U$5,TRUE)</f>
        <v>#NAME?</v>
      </c>
      <c r="Q9" s="8" t="e">
        <f>Таблица3[[#This Row],[F(b_i)]]-_xlfn.LOGNORM.DIST(Таблица3[[#This Row],[Ниж. Гран]],$U$4,$U$5,TRUE)</f>
        <v>#NAME?</v>
      </c>
      <c r="R9" s="8" t="e">
        <f>Таблица3[[#This Row],[тервер(р_i)]]*$G$2</f>
        <v>#NAME?</v>
      </c>
    </row>
    <row r="10" spans="1:26">
      <c r="A10" s="5" t="s">
        <v>116</v>
      </c>
      <c r="B10" s="5">
        <f>MATCH(Таблица2[[#This Row],[2025]],Таблица3[Ниж. Гран],1)</f>
        <v>6</v>
      </c>
      <c r="C10" s="6">
        <v>2719.4</v>
      </c>
      <c r="D10" s="6">
        <f>LN(Таблица2[[#This Row],[2025]])</f>
        <v>7.90816654672159</v>
      </c>
      <c r="E10" s="6" t="str">
        <f>IF(OR(C10&gt;3*$G$4,C10&lt;$G$4/3),"ВЫБРОС","ОК")</f>
        <v>ОК</v>
      </c>
      <c r="F10" s="11" t="s">
        <v>169</v>
      </c>
      <c r="I10" s="5">
        <v>8</v>
      </c>
      <c r="J10" s="8">
        <f t="shared" si="1"/>
        <v>3080.91111111111</v>
      </c>
      <c r="K10" s="8">
        <f t="shared" si="2"/>
        <v>3270.85555555555</v>
      </c>
      <c r="L10" s="8">
        <f>ROUND((Таблица3[[#This Row],[Ниж. Гран]]+Таблица3[[#This Row],[Верх. Гран.]])/2,2)</f>
        <v>3175.88</v>
      </c>
      <c r="M10" s="16">
        <f>IF(Таблица3[[#This Row],[Интервал]]=MAX(Таблица3[Интервал]),COUNTIFS(Таблица2[2025],"&gt;="&amp;Таблица3[[#This Row],[Ниж. Гран]],Таблица2[2025],"&lt;="&amp;Таблица3[[#This Row],[Верх. Гран.]]),COUNTIFS(Таблица2[2025],"&gt;="&amp;Таблица3[[#This Row],[Ниж. Гран]],Таблица2[2025],"&lt;"&amp;Таблица3[[#This Row],[Верх. Гран.]]))</f>
        <v>3</v>
      </c>
      <c r="N10" s="8">
        <f>Таблица3[[#This Row],[Частота]]/$G$2</f>
        <v>0.0232558139534884</v>
      </c>
      <c r="O10" s="8">
        <f>O9+Таблица3[[#This Row],[Частота]]</f>
        <v>127</v>
      </c>
      <c r="P10" s="8" t="e">
        <f>_xlfn.LOGNORM.DIST(Таблица3[[#This Row],[Верх. Гран.]],$U$4,$U$5,TRUE)</f>
        <v>#NAME?</v>
      </c>
      <c r="Q10" s="8" t="e">
        <f>Таблица3[[#This Row],[F(b_i)]]-_xlfn.LOGNORM.DIST(Таблица3[[#This Row],[Ниж. Гран]],$U$4,$U$5,TRUE)</f>
        <v>#NAME?</v>
      </c>
      <c r="R10" s="8" t="e">
        <f>Таблица3[[#This Row],[тервер(р_i)]]*$G$2</f>
        <v>#NAME?</v>
      </c>
      <c r="Y10" s="8" t="s">
        <v>170</v>
      </c>
      <c r="Z10" s="8" t="e">
        <f>SUM(AA3:AA8)</f>
        <v>#NAME?</v>
      </c>
    </row>
    <row r="11" spans="1:26">
      <c r="A11" s="5" t="s">
        <v>22</v>
      </c>
      <c r="B11" s="5">
        <f>MATCH(Таблица2[[#This Row],[2025]],Таблица3[Ниж. Гран],1)</f>
        <v>6</v>
      </c>
      <c r="C11" s="6">
        <v>2710.5</v>
      </c>
      <c r="D11" s="6">
        <f>LN(Таблица2[[#This Row],[2025]])</f>
        <v>7.90488839870039</v>
      </c>
      <c r="E11" s="6" t="str">
        <f>IF(OR(C11&gt;3*$G$4,C11&lt;$G$4/3),"ВЫБРОС","ОК")</f>
        <v>ОК</v>
      </c>
      <c r="I11" s="13">
        <v>9</v>
      </c>
      <c r="J11" s="14">
        <f t="shared" si="1"/>
        <v>3270.85555555555</v>
      </c>
      <c r="K11" s="14">
        <f t="shared" si="2"/>
        <v>3460.8</v>
      </c>
      <c r="L11" s="14">
        <f>ROUND((Таблица3[[#This Row],[Ниж. Гран]]+Таблица3[[#This Row],[Верх. Гран.]])/2,2)</f>
        <v>3365.83</v>
      </c>
      <c r="M11" s="17">
        <f>IF(Таблица3[[#This Row],[Интервал]]=MAX(Таблица3[Интервал]),COUNTIFS(Таблица2[2025],"&gt;="&amp;Таблица3[[#This Row],[Ниж. Гран]],Таблица2[2025],"&lt;="&amp;Таблица3[[#This Row],[Верх. Гран.]]),COUNTIFS(Таблица2[2025],"&gt;="&amp;Таблица3[[#This Row],[Ниж. Гран]],Таблица2[2025],"&lt;"&amp;Таблица3[[#This Row],[Верх. Гран.]]))</f>
        <v>2</v>
      </c>
      <c r="N11" s="14">
        <f>Таблица3[[#This Row],[Частота]]/$G$2</f>
        <v>0.0155038759689922</v>
      </c>
      <c r="O11" s="8">
        <f>O10+Таблица3[[#This Row],[Частота]]</f>
        <v>129</v>
      </c>
      <c r="P11" s="8" t="e">
        <f>_xlfn.LOGNORM.DIST(Таблица3[[#This Row],[Верх. Гран.]],$U$4,$U$5,TRUE)</f>
        <v>#NAME?</v>
      </c>
      <c r="Q11" s="8" t="e">
        <f>1-_xlfn.LOGNORM.DIST(Таблица3[[#This Row],[Ниж. Гран]],$U$4,$U$5,TRUE)</f>
        <v>#NAME?</v>
      </c>
      <c r="R11" s="8" t="e">
        <f>Таблица3[[#This Row],[тервер(р_i)]]*$G$2</f>
        <v>#NAME?</v>
      </c>
      <c r="Y11" s="8" t="s">
        <v>171</v>
      </c>
      <c r="Z11" s="8">
        <f>COUNT(AA3:AA8)</f>
        <v>0</v>
      </c>
    </row>
    <row r="12" spans="1:26">
      <c r="A12" s="5" t="s">
        <v>68</v>
      </c>
      <c r="B12" s="5">
        <f>MATCH(Таблица2[[#This Row],[2025]],Таблица3[Ниж. Гран],1)</f>
        <v>5</v>
      </c>
      <c r="C12" s="6">
        <v>2685.3</v>
      </c>
      <c r="D12" s="6">
        <f>LN(Таблица2[[#This Row],[2025]])</f>
        <v>7.895547732545</v>
      </c>
      <c r="E12" s="6" t="str">
        <f>IF(OR(C12&gt;3*$G$4,C12&lt;$G$4/3),"ВЫБРОС","ОК")</f>
        <v>ОК</v>
      </c>
      <c r="F12" s="8" t="s">
        <v>172</v>
      </c>
      <c r="G12" s="8">
        <f>1+_xlfn.CEILING.PRECISE(3.322*LOG10($G$2),1)</f>
        <v>9</v>
      </c>
      <c r="I12" s="13" t="s">
        <v>173</v>
      </c>
      <c r="J12" s="14">
        <f>SUBTOTAL(109,Таблица3[Ниж. Гран])</f>
        <v>22599.7</v>
      </c>
      <c r="K12" s="14">
        <f>SUBTOTAL(109,Таблица3[Верх. Гран.])</f>
        <v>24309.2</v>
      </c>
      <c r="L12" s="14">
        <f>SUBTOTAL(109,Таблица3[Середина])</f>
        <v>23454.45</v>
      </c>
      <c r="M12" s="14">
        <f>SUBTOTAL(109,Таблица3[Частота])</f>
        <v>129</v>
      </c>
      <c r="N12" s="14">
        <f>SUBTOTAL(109,Таблица3[Отн. Частота])</f>
        <v>1</v>
      </c>
      <c r="O12" s="14"/>
      <c r="P12" s="14"/>
      <c r="Y12" s="8" t="s">
        <v>174</v>
      </c>
      <c r="Z12" s="8">
        <v>2</v>
      </c>
    </row>
    <row r="13" spans="1:26">
      <c r="A13" s="5" t="s">
        <v>106</v>
      </c>
      <c r="B13" s="5">
        <f>MATCH(Таблица2[[#This Row],[2025]],Таблица3[Ниж. Гран],1)</f>
        <v>5</v>
      </c>
      <c r="C13" s="6">
        <v>2606.1</v>
      </c>
      <c r="D13" s="6">
        <f>LN(Таблица2[[#This Row],[2025]])</f>
        <v>7.86561012993398</v>
      </c>
      <c r="E13" s="6" t="str">
        <f>IF(OR(C13&gt;3*$G$4,C13&lt;$G$4/3),"ВЫБРОС","ОК")</f>
        <v>ОК</v>
      </c>
      <c r="F13" s="8" t="s">
        <v>175</v>
      </c>
      <c r="G13" s="8">
        <f>MIN(Таблица2[2025])</f>
        <v>1751.3</v>
      </c>
      <c r="Y13" s="8" t="s">
        <v>176</v>
      </c>
      <c r="Z13" s="8">
        <f>Z11-1-Z12</f>
        <v>-3</v>
      </c>
    </row>
    <row r="14" spans="1:26">
      <c r="A14" s="5" t="s">
        <v>101</v>
      </c>
      <c r="B14" s="5">
        <f>MATCH(Таблица2[[#This Row],[2025]],Таблица3[Ниж. Гран],1)</f>
        <v>5</v>
      </c>
      <c r="C14" s="6">
        <v>2579.7</v>
      </c>
      <c r="D14" s="6">
        <f>LN(Таблица2[[#This Row],[2025]])</f>
        <v>7.85542839208496</v>
      </c>
      <c r="E14" s="6" t="str">
        <f>IF(OR(C14&gt;3*$G$4,C14&lt;$G$4/3),"ВЫБРОС","ОК")</f>
        <v>ОК</v>
      </c>
      <c r="F14" s="8" t="s">
        <v>177</v>
      </c>
      <c r="G14" s="8">
        <f>MAX(Таблица2[2025])</f>
        <v>3460.8</v>
      </c>
      <c r="Y14" s="8" t="s">
        <v>178</v>
      </c>
      <c r="Z14" s="8">
        <v>0.05</v>
      </c>
    </row>
    <row r="15" spans="1:27">
      <c r="A15" s="5" t="s">
        <v>90</v>
      </c>
      <c r="B15" s="5">
        <f>MATCH(Таблица2[[#This Row],[2025]],Таблица3[Ниж. Гран],1)</f>
        <v>5</v>
      </c>
      <c r="C15" s="6">
        <v>2572.3</v>
      </c>
      <c r="D15" s="6">
        <f>LN(Таблица2[[#This Row],[2025]])</f>
        <v>7.85255571930201</v>
      </c>
      <c r="E15" s="6" t="str">
        <f>IF(OR(C15&gt;3*$G$4,C15&lt;$G$4/3),"ВЫБРОС","ОК")</f>
        <v>ОК</v>
      </c>
      <c r="F15" s="8" t="s">
        <v>179</v>
      </c>
      <c r="G15" s="8">
        <f>(G14-G13)/G12</f>
        <v>189.944444444444</v>
      </c>
      <c r="Y15" s="8" t="s">
        <v>180</v>
      </c>
      <c r="Z15" s="8" t="e">
        <f>CHIINV(Z14,Z13)</f>
        <v>#NUM!</v>
      </c>
      <c r="AA15" t="s">
        <v>181</v>
      </c>
    </row>
    <row r="16" spans="1:27">
      <c r="A16" s="5" t="s">
        <v>62</v>
      </c>
      <c r="B16" s="5">
        <f>MATCH(Таблица2[[#This Row],[2025]],Таблица3[Ниж. Гран],1)</f>
        <v>5</v>
      </c>
      <c r="C16" s="6">
        <v>2568.2</v>
      </c>
      <c r="D16" s="6">
        <f>LN(Таблица2[[#This Row],[2025]])</f>
        <v>7.85096054339717</v>
      </c>
      <c r="E16" s="6" t="str">
        <f>IF(OR(C16&gt;3*$G$4,C16&lt;$G$4/3),"ВЫБРОС","ОК")</f>
        <v>ОК</v>
      </c>
      <c r="Y16" s="8" t="s">
        <v>182</v>
      </c>
      <c r="Z16" s="8" t="e">
        <f>CHIDIST(Z10,Z13)</f>
        <v>#NAME?</v>
      </c>
      <c r="AA16" t="s">
        <v>183</v>
      </c>
    </row>
    <row r="17" spans="1:26">
      <c r="A17" s="5" t="s">
        <v>107</v>
      </c>
      <c r="B17" s="5">
        <f>MATCH(Таблица2[[#This Row],[2025]],Таблица3[Ниж. Гран],1)</f>
        <v>5</v>
      </c>
      <c r="C17" s="6">
        <v>2567.3</v>
      </c>
      <c r="D17" s="6">
        <f>LN(Таблица2[[#This Row],[2025]])</f>
        <v>7.85061004198184</v>
      </c>
      <c r="E17" s="6" t="str">
        <f>IF(OR(C17&gt;3*$G$4,C17&lt;$G$4/3),"ВЫБРОС","ОК")</f>
        <v>ОК</v>
      </c>
      <c r="Y17" s="20" t="s">
        <v>184</v>
      </c>
      <c r="Z17" s="8" t="s">
        <v>185</v>
      </c>
    </row>
    <row r="18" spans="1:5">
      <c r="A18" s="5" t="s">
        <v>48</v>
      </c>
      <c r="B18" s="5">
        <f>MATCH(Таблица2[[#This Row],[2025]],Таблица3[Ниж. Гран],1)</f>
        <v>5</v>
      </c>
      <c r="C18" s="6">
        <v>2550.1</v>
      </c>
      <c r="D18" s="6">
        <f>LN(Таблица2[[#This Row],[2025]])</f>
        <v>7.84388785306983</v>
      </c>
      <c r="E18" s="6" t="str">
        <f>IF(OR(C18&gt;3*$G$4,C18&lt;$G$4/3),"ВЫБРОС","ОК")</f>
        <v>ОК</v>
      </c>
    </row>
    <row r="19" spans="1:5">
      <c r="A19" s="5" t="s">
        <v>131</v>
      </c>
      <c r="B19" s="5">
        <f>MATCH(Таблица2[[#This Row],[2025]],Таблица3[Ниж. Гран],1)</f>
        <v>5</v>
      </c>
      <c r="C19" s="6">
        <v>2533.8</v>
      </c>
      <c r="D19" s="6">
        <f>LN(Таблица2[[#This Row],[2025]])</f>
        <v>7.83747543116795</v>
      </c>
      <c r="E19" s="6" t="str">
        <f>IF(OR(C19&gt;3*$G$4,C19&lt;$G$4/3),"ВЫБРОС","ОК")</f>
        <v>ОК</v>
      </c>
    </row>
    <row r="20" spans="1:30">
      <c r="A20" s="5" t="s">
        <v>8</v>
      </c>
      <c r="B20" s="5">
        <f>MATCH(Таблица2[[#This Row],[2025]],Таблица3[Ниж. Гран],1)</f>
        <v>4</v>
      </c>
      <c r="C20" s="6">
        <v>2502</v>
      </c>
      <c r="D20" s="6">
        <f>LN(Таблица2[[#This Row],[2025]])</f>
        <v>7.82484569102686</v>
      </c>
      <c r="E20" s="6" t="str">
        <f>IF(OR(C20&gt;3*$G$4,C20&lt;$G$4/3),"ВЫБРОС","ОК")</f>
        <v>ОК</v>
      </c>
      <c r="Y20" s="2" t="s">
        <v>186</v>
      </c>
      <c r="Z20" s="12" t="s">
        <v>187</v>
      </c>
      <c r="AA20" s="12" t="s">
        <v>188</v>
      </c>
      <c r="AB20" s="12" t="s">
        <v>189</v>
      </c>
      <c r="AC20" s="12" t="s">
        <v>190</v>
      </c>
      <c r="AD20" s="15" t="s">
        <v>191</v>
      </c>
    </row>
    <row r="21" spans="1:30">
      <c r="A21" s="5" t="s">
        <v>76</v>
      </c>
      <c r="B21" s="5">
        <f>MATCH(Таблица2[[#This Row],[2025]],Таблица3[Ниж. Гран],1)</f>
        <v>4</v>
      </c>
      <c r="C21" s="6">
        <v>2501.5</v>
      </c>
      <c r="D21" s="6">
        <f>LN(Таблица2[[#This Row],[2025]])</f>
        <v>7.82464583092826</v>
      </c>
      <c r="E21" s="6" t="str">
        <f>IF(OR(C21&gt;3*$G$4,C21&lt;$G$4/3),"ВЫБРОС","ОК")</f>
        <v>ОК</v>
      </c>
      <c r="Y21" s="5">
        <v>1</v>
      </c>
      <c r="Z21" s="8">
        <f>M3</f>
        <v>21</v>
      </c>
      <c r="AA21" s="8">
        <f>AVERAGEIF(Таблица2[Группа],Таблица1[[#This Row],[группа]],Таблица2[2025])</f>
        <v>1887.85238095238</v>
      </c>
      <c r="AB21" s="8">
        <f>_xlfn.VAR.P(_xlfn._xlws.FILTER(Таблица2[2025],Таблица2[Группа]=Таблица1[[#This Row],[группа]]))</f>
        <v>2032.00439909297</v>
      </c>
      <c r="AC21" s="8">
        <f>Таблица1[[#This Row],[частота]]*Таблица1[[#This Row],[групп дисп]]</f>
        <v>42672.0923809524</v>
      </c>
      <c r="AD21" s="16">
        <f>Таблица1[[#This Row],[частота]]*(Таблица1[[#This Row],[групп сред]]-$G$3)^2</f>
        <v>2388026.88076671</v>
      </c>
    </row>
    <row r="22" spans="1:30">
      <c r="A22" s="5" t="s">
        <v>102</v>
      </c>
      <c r="B22" s="5">
        <f>MATCH(Таблица2[[#This Row],[2025]],Таблица3[Ниж. Гран],1)</f>
        <v>4</v>
      </c>
      <c r="C22" s="6">
        <v>2459</v>
      </c>
      <c r="D22" s="6">
        <f>LN(Таблица2[[#This Row],[2025]])</f>
        <v>7.80751004221619</v>
      </c>
      <c r="E22" s="6" t="str">
        <f>IF(OR(C22&gt;3*$G$4,C22&lt;$G$4/3),"ВЫБРОС","ОК")</f>
        <v>ОК</v>
      </c>
      <c r="Y22" s="5">
        <v>2</v>
      </c>
      <c r="Z22" s="8">
        <f t="shared" ref="Z22:Z29" si="3">M4</f>
        <v>37</v>
      </c>
      <c r="AA22" s="8">
        <f>AVERAGEIF(Таблица2[Группа],Таблица1[[#This Row],[группа]],Таблица2[2025])</f>
        <v>2048.7972972973</v>
      </c>
      <c r="AB22" s="8">
        <f>_xlfn.VAR.P(_xlfn._xlws.FILTER(Таблица2[2025],Таблица2[Группа]=Таблица1[[#This Row],[группа]]))</f>
        <v>3448.88566837107</v>
      </c>
      <c r="AC22" s="8">
        <f>Таблица1[[#This Row],[частота]]*Таблица1[[#This Row],[групп дисп]]</f>
        <v>127608.76972973</v>
      </c>
      <c r="AD22" s="16">
        <f>Таблица1[[#This Row],[частота]]*(Таблица1[[#This Row],[групп сред]]-$G$3)^2</f>
        <v>1149663.39804203</v>
      </c>
    </row>
    <row r="23" spans="1:30">
      <c r="A23" s="5" t="s">
        <v>139</v>
      </c>
      <c r="B23" s="5">
        <f>MATCH(Таблица2[[#This Row],[2025]],Таблица3[Ниж. Гран],1)</f>
        <v>4</v>
      </c>
      <c r="C23" s="6">
        <v>2454.9</v>
      </c>
      <c r="D23" s="6">
        <f>LN(Таблица2[[#This Row],[2025]])</f>
        <v>7.80584130620145</v>
      </c>
      <c r="E23" s="6" t="str">
        <f>IF(OR(C23&gt;3*$G$4,C23&lt;$G$4/3),"ВЫБРОС","ОК")</f>
        <v>ОК</v>
      </c>
      <c r="Y23" s="5">
        <v>3</v>
      </c>
      <c r="Z23" s="8">
        <f t="shared" si="3"/>
        <v>38</v>
      </c>
      <c r="AA23" s="8">
        <f>AVERAGEIF(Таблица2[Группа],Таблица1[[#This Row],[группа]],Таблица2[2025])</f>
        <v>2226.66578947368</v>
      </c>
      <c r="AB23" s="8">
        <f t="array" ref="AB23">_xlfn.VAR.P(_xlfn._xlws.FILTER(Таблица2[2025],Таблица2[Группа]=Таблица1[[#This Row],[группа]]))</f>
        <v>3088.61067174515</v>
      </c>
      <c r="AC23" s="8">
        <f>Таблица1[[#This Row],[частота]]*Таблица1[[#This Row],[групп дисп]]</f>
        <v>117367.205526316</v>
      </c>
      <c r="AD23" s="16">
        <f>Таблица1[[#This Row],[частота]]*(Таблица1[[#This Row],[групп сред]]-$G$3)^2</f>
        <v>96.7968803905509</v>
      </c>
    </row>
    <row r="24" spans="1:30">
      <c r="A24" s="5" t="s">
        <v>71</v>
      </c>
      <c r="B24" s="5">
        <f>MATCH(Таблица2[[#This Row],[2025]],Таблица3[Ниж. Гран],1)</f>
        <v>4</v>
      </c>
      <c r="C24" s="6">
        <v>2454.4</v>
      </c>
      <c r="D24" s="6">
        <f>LN(Таблица2[[#This Row],[2025]])</f>
        <v>7.80563761117294</v>
      </c>
      <c r="E24" s="6" t="str">
        <f>IF(OR(C24&gt;3*$G$4,C24&lt;$G$4/3),"ВЫБРОС","ОК")</f>
        <v>ОК</v>
      </c>
      <c r="Y24" s="5">
        <v>4</v>
      </c>
      <c r="Z24" s="8">
        <f t="shared" si="3"/>
        <v>16</v>
      </c>
      <c r="AA24" s="8">
        <f>AVERAGEIF(Таблица2[Группа],Таблица1[[#This Row],[группа]],Таблица2[2025])</f>
        <v>2424.1</v>
      </c>
      <c r="AB24" s="8">
        <f t="array" ref="AB24">_xlfn.VAR.P(_xlfn._xlws.FILTER(Таблица2[2025],Таблица2[Группа]=Таблица1[[#This Row],[группа]]))</f>
        <v>1614.29</v>
      </c>
      <c r="AC24" s="8">
        <f>Таблица1[[#This Row],[частота]]*Таблица1[[#This Row],[групп дисп]]</f>
        <v>25828.64</v>
      </c>
      <c r="AD24" s="16">
        <f>Таблица1[[#This Row],[частота]]*(Таблица1[[#This Row],[групп сред]]-$G$3)^2</f>
        <v>633808.535554355</v>
      </c>
    </row>
    <row r="25" spans="1:30">
      <c r="A25" s="5" t="s">
        <v>11</v>
      </c>
      <c r="B25" s="5">
        <f>MATCH(Таблица2[[#This Row],[2025]],Таблица3[Ниж. Гран],1)</f>
        <v>4</v>
      </c>
      <c r="C25" s="6">
        <v>2443</v>
      </c>
      <c r="D25" s="6">
        <f>LN(Таблица2[[#This Row],[2025]])</f>
        <v>7.80098207125774</v>
      </c>
      <c r="E25" s="6" t="str">
        <f>IF(OR(C25&gt;3*$G$4,C25&lt;$G$4/3),"ВЫБРОС","ОК")</f>
        <v>ОК</v>
      </c>
      <c r="Y25" s="5">
        <v>5</v>
      </c>
      <c r="Z25" s="8">
        <f t="shared" si="3"/>
        <v>8</v>
      </c>
      <c r="AA25" s="8">
        <f>AVERAGEIF(Таблица2[Группа],Таблица1[[#This Row],[группа]],Таблица2[2025])</f>
        <v>2582.85</v>
      </c>
      <c r="AB25" s="8">
        <f t="array" ref="AB25">_xlfn.VAR.P(_xlfn._xlws.FILTER(Таблица2[2025],Таблица2[Группа]=Таблица1[[#This Row],[группа]]))</f>
        <v>1886.585</v>
      </c>
      <c r="AC25" s="8">
        <f>Таблица1[[#This Row],[частота]]*Таблица1[[#This Row],[групп дисп]]</f>
        <v>15092.68</v>
      </c>
      <c r="AD25" s="16">
        <f>Таблица1[[#This Row],[частота]]*(Таблица1[[#This Row],[групп сред]]-$G$3)^2</f>
        <v>1024053.55847485</v>
      </c>
    </row>
    <row r="26" spans="1:30">
      <c r="A26" s="5" t="s">
        <v>7</v>
      </c>
      <c r="B26" s="5">
        <f>MATCH(Таблица2[[#This Row],[2025]],Таблица3[Ниж. Гран],1)</f>
        <v>4</v>
      </c>
      <c r="C26" s="6">
        <v>2427</v>
      </c>
      <c r="D26" s="6">
        <f>LN(Таблица2[[#This Row],[2025]])</f>
        <v>7.7944112057266</v>
      </c>
      <c r="E26" s="6" t="str">
        <f>IF(OR(C26&gt;3*$G$4,C26&lt;$G$4/3),"ВЫБРОС","ОК")</f>
        <v>ОК</v>
      </c>
      <c r="Y26" s="5">
        <v>6</v>
      </c>
      <c r="Z26" s="8">
        <f t="shared" si="3"/>
        <v>3</v>
      </c>
      <c r="AA26" s="8">
        <f>AVERAGEIF(Таблица2[Группа],Таблица1[[#This Row],[группа]],Таблица2[2025])</f>
        <v>2769.23333333333</v>
      </c>
      <c r="AB26" s="8">
        <f t="array" ref="AB26">_xlfn.VAR.P(_xlfn._xlws.FILTER(Таблица2[2025],Таблица2[Группа]=Таблица1[[#This Row],[группа]]))</f>
        <v>5906.56222222223</v>
      </c>
      <c r="AC26" s="8">
        <f>Таблица1[[#This Row],[частота]]*Таблица1[[#This Row],[групп дисп]]</f>
        <v>17719.6866666667</v>
      </c>
      <c r="AD26" s="16">
        <f>Таблица1[[#This Row],[частота]]*(Таблица1[[#This Row],[групп сред]]-$G$3)^2</f>
        <v>888341.959331172</v>
      </c>
    </row>
    <row r="27" spans="1:30">
      <c r="A27" s="5" t="s">
        <v>94</v>
      </c>
      <c r="B27" s="5">
        <f>MATCH(Таблица2[[#This Row],[2025]],Таблица3[Ниж. Гран],1)</f>
        <v>4</v>
      </c>
      <c r="C27" s="6">
        <v>2409.7</v>
      </c>
      <c r="D27" s="6">
        <f>LN(Таблица2[[#This Row],[2025]])</f>
        <v>7.78725753740846</v>
      </c>
      <c r="E27" s="6" t="str">
        <f>IF(OR(C27&gt;3*$G$4,C27&lt;$G$4/3),"ВЫБРОС","ОК")</f>
        <v>ОК</v>
      </c>
      <c r="Y27" s="5">
        <v>7</v>
      </c>
      <c r="Z27" s="8">
        <f t="shared" si="3"/>
        <v>1</v>
      </c>
      <c r="AA27" s="8">
        <f>AVERAGEIF(Таблица2[Группа],Таблица1[[#This Row],[группа]],Таблица2[2025])</f>
        <v>2941.2</v>
      </c>
      <c r="AB27" s="8">
        <f t="array" ref="AB27">_xlfn.VAR.P(_xlfn._xlws.FILTER(Таблица2[2025],Таблица2[Группа]=Таблица1[[#This Row],[группа]]))</f>
        <v>0</v>
      </c>
      <c r="AC27" s="8">
        <f>Таблица1[[#This Row],[частота]]*Таблица1[[#This Row],[групп дисп]]</f>
        <v>0</v>
      </c>
      <c r="AD27" s="16">
        <f>Таблица1[[#This Row],[частота]]*(Таблица1[[#This Row],[групп сред]]-$G$3)^2</f>
        <v>512842.509983775</v>
      </c>
    </row>
    <row r="28" spans="1:30">
      <c r="A28" s="5" t="s">
        <v>88</v>
      </c>
      <c r="B28" s="5">
        <f>MATCH(Таблица2[[#This Row],[2025]],Таблица3[Ниж. Гран],1)</f>
        <v>4</v>
      </c>
      <c r="C28" s="6">
        <v>2405.6</v>
      </c>
      <c r="D28" s="6">
        <f>LN(Таблица2[[#This Row],[2025]])</f>
        <v>7.78555463167432</v>
      </c>
      <c r="E28" s="6" t="str">
        <f>IF(OR(C28&gt;3*$G$4,C28&lt;$G$4/3),"ВЫБРОС","ОК")</f>
        <v>ОК</v>
      </c>
      <c r="Y28" s="5">
        <v>8</v>
      </c>
      <c r="Z28" s="8">
        <f t="shared" si="3"/>
        <v>3</v>
      </c>
      <c r="AA28" s="8">
        <f>AVERAGEIF(Таблица2[Группа],Таблица1[[#This Row],[группа]],Таблица2[2025])</f>
        <v>3167.56666666667</v>
      </c>
      <c r="AB28" s="8">
        <f t="array" ref="AB28">_xlfn.VAR.P(_xlfn._xlws.FILTER(Таблица2[2025],Таблица2[Группа]=Таблица1[[#This Row],[группа]]))</f>
        <v>3617.2288888889</v>
      </c>
      <c r="AC28" s="8">
        <f>Таблица1[[#This Row],[частота]]*Таблица1[[#This Row],[групп дисп]]</f>
        <v>10851.6866666667</v>
      </c>
      <c r="AD28" s="16">
        <f>Таблица1[[#This Row],[частота]]*(Таблица1[[#This Row],[групп сред]]-$G$3)^2</f>
        <v>2664901.21514513</v>
      </c>
    </row>
    <row r="29" spans="1:30">
      <c r="A29" s="5" t="s">
        <v>47</v>
      </c>
      <c r="B29" s="5">
        <f>MATCH(Таблица2[[#This Row],[2025]],Таблица3[Ниж. Гран],1)</f>
        <v>4</v>
      </c>
      <c r="C29" s="6">
        <v>2403.3</v>
      </c>
      <c r="D29" s="6">
        <f>LN(Таблица2[[#This Row],[2025]])</f>
        <v>7.78459807188918</v>
      </c>
      <c r="E29" s="6" t="str">
        <f>IF(OR(C29&gt;3*$G$4,C29&lt;$G$4/3),"ВЫБРОС","ОК")</f>
        <v>ОК</v>
      </c>
      <c r="Y29" s="13">
        <v>9</v>
      </c>
      <c r="Z29" s="14">
        <f t="shared" si="3"/>
        <v>2</v>
      </c>
      <c r="AA29" s="14">
        <f>AVERAGEIF(Таблица2[Группа],Таблица1[[#This Row],[группа]],Таблица2[2025])</f>
        <v>3385.15</v>
      </c>
      <c r="AB29" s="14">
        <f t="array" ref="AB29">_xlfn.VAR.P(_xlfn._xlws.FILTER(Таблица2[2025],Таблица2[Группа]=Таблица1[[#This Row],[группа]]))</f>
        <v>5722.92250000001</v>
      </c>
      <c r="AC29" s="14">
        <f>Таблица1[[#This Row],[частота]]*Таблица1[[#This Row],[групп дисп]]</f>
        <v>11445.845</v>
      </c>
      <c r="AD29" s="17">
        <f>Таблица1[[#This Row],[частота]]*(Таблица1[[#This Row],[групп сред]]-$G$3)^2</f>
        <v>2691572.2919443</v>
      </c>
    </row>
    <row r="30" spans="1:30">
      <c r="A30" s="5" t="s">
        <v>108</v>
      </c>
      <c r="B30" s="5">
        <f>MATCH(Таблица2[[#This Row],[2025]],Таблица3[Ниж. Гран],1)</f>
        <v>4</v>
      </c>
      <c r="C30" s="6">
        <v>2401.7</v>
      </c>
      <c r="D30" s="6">
        <f>LN(Таблица2[[#This Row],[2025]])</f>
        <v>7.78393209891972</v>
      </c>
      <c r="E30" s="6" t="str">
        <f>IF(OR(C30&gt;3*$G$4,C30&lt;$G$4/3),"ВЫБРОС","ОК")</f>
        <v>ОК</v>
      </c>
      <c r="Y30" s="13" t="s">
        <v>173</v>
      </c>
      <c r="Z30" s="14"/>
      <c r="AA30" s="14"/>
      <c r="AB30" s="14"/>
      <c r="AC30" s="14">
        <f>SUM(Таблица1[взвеш дисп])</f>
        <v>368586.605970331</v>
      </c>
      <c r="AD30" s="17">
        <f>SUBTOTAL(109,Таблица1[взвеш кв откл])</f>
        <v>11953307.1461227</v>
      </c>
    </row>
    <row r="31" spans="1:5">
      <c r="A31" s="5" t="s">
        <v>138</v>
      </c>
      <c r="B31" s="5">
        <f>MATCH(Таблица2[[#This Row],[2025]],Таблица3[Ниж. Гран],1)</f>
        <v>4</v>
      </c>
      <c r="C31" s="6">
        <v>2401</v>
      </c>
      <c r="D31" s="6">
        <f>LN(Таблица2[[#This Row],[2025]])</f>
        <v>7.78364059622125</v>
      </c>
      <c r="E31" s="6" t="str">
        <f>IF(OR(C31&gt;3*$G$4,C31&lt;$G$4/3),"ВЫБРОС","ОК")</f>
        <v>ОК</v>
      </c>
    </row>
    <row r="32" spans="1:9">
      <c r="A32" s="5" t="s">
        <v>14</v>
      </c>
      <c r="B32" s="5">
        <f>MATCH(Таблица2[[#This Row],[2025]],Таблица3[Ниж. Гран],1)</f>
        <v>4</v>
      </c>
      <c r="C32" s="6">
        <v>2399.3</v>
      </c>
      <c r="D32" s="6">
        <f>LN(Таблица2[[#This Row],[2025]])</f>
        <v>7.78293230712638</v>
      </c>
      <c r="E32" s="6" t="str">
        <f>IF(OR(C32&gt;3*$G$4,C32&lt;$G$4/3),"ВЫБРОС","ОК")</f>
        <v>ОК</v>
      </c>
      <c r="F32" s="8" t="s">
        <v>172</v>
      </c>
      <c r="G32" s="8">
        <f>G12-1</f>
        <v>8</v>
      </c>
      <c r="I32" t="s">
        <v>142</v>
      </c>
    </row>
    <row r="33" spans="1:28">
      <c r="A33" s="5" t="s">
        <v>113</v>
      </c>
      <c r="B33" s="5">
        <f>MATCH(Таблица2[[#This Row],[2025]],Таблица3[Ниж. Гран],1)</f>
        <v>4</v>
      </c>
      <c r="C33" s="6">
        <v>2384.7</v>
      </c>
      <c r="D33" s="6">
        <f>LN(Таблица2[[#This Row],[2025]])</f>
        <v>7.77682860924718</v>
      </c>
      <c r="E33" s="6" t="str">
        <f>IF(OR(C33&gt;3*$G$4,C33&lt;$G$4/3),"ВЫБРОС","ОК")</f>
        <v>ОК</v>
      </c>
      <c r="F33" s="8" t="s">
        <v>175</v>
      </c>
      <c r="G33" s="8">
        <f>MIN(Таблица2[2025])</f>
        <v>1751.3</v>
      </c>
      <c r="I33" s="2" t="s">
        <v>147</v>
      </c>
      <c r="J33" s="12" t="s">
        <v>148</v>
      </c>
      <c r="K33" s="12" t="s">
        <v>149</v>
      </c>
      <c r="L33" s="12" t="s">
        <v>150</v>
      </c>
      <c r="M33" s="15" t="s">
        <v>151</v>
      </c>
      <c r="N33" s="12" t="s">
        <v>152</v>
      </c>
      <c r="Y33">
        <f>_xlfn.VAR.P(Таблица2[2025])</f>
        <v>95518.5562177753</v>
      </c>
      <c r="Z33">
        <f>Таблица1[[#Totals],[взвеш дисп]]/$G$2</f>
        <v>2857.26051139792</v>
      </c>
      <c r="AA33">
        <f>Таблица1[[#Totals],[взвеш кв откл]]/$G$2</f>
        <v>92661.2957063776</v>
      </c>
      <c r="AB33">
        <f>Z33+AA33-Y33</f>
        <v>1.60071067512035e-10</v>
      </c>
    </row>
    <row r="34" spans="1:14">
      <c r="A34" s="5" t="s">
        <v>73</v>
      </c>
      <c r="B34" s="5">
        <f>MATCH(Таблица2[[#This Row],[2025]],Таблица3[Ниж. Гран],1)</f>
        <v>4</v>
      </c>
      <c r="C34" s="6">
        <v>2376.9</v>
      </c>
      <c r="D34" s="6">
        <f>LN(Таблица2[[#This Row],[2025]])</f>
        <v>7.77355239663931</v>
      </c>
      <c r="E34" s="6" t="str">
        <f>IF(OR(C34&gt;3*$G$4,C34&lt;$G$4/3),"ВЫБРОС","ОК")</f>
        <v>ОК</v>
      </c>
      <c r="F34" s="8" t="s">
        <v>177</v>
      </c>
      <c r="G34" s="8">
        <f>MAX(Таблица2[2025])</f>
        <v>3460.8</v>
      </c>
      <c r="I34" s="5">
        <v>1</v>
      </c>
      <c r="J34" s="8">
        <f>G33</f>
        <v>1751.3</v>
      </c>
      <c r="K34" s="8">
        <f t="shared" ref="K34:K41" si="4">J34+$G$35</f>
        <v>1964.9875</v>
      </c>
      <c r="L34" s="8">
        <f>ROUND((Таблица35[[#This Row],[Ниж. Гран]]+Таблица35[[#This Row],[Верх. Гран.]])/2,2)</f>
        <v>1858.14</v>
      </c>
      <c r="M34" s="16">
        <f>IF(Таблица35[[#This Row],[Интервал]]=MAX(Таблица35[Интервал]),COUNTIFS(Таблица2[2025],"&gt;="&amp;Таблица35[[#This Row],[Ниж. Гран]],Таблица2[2025],"&lt;="&amp;Таблица35[[#This Row],[Верх. Гран.]]),COUNTIFS(Таблица2[2025],"&gt;="&amp;Таблица35[[#This Row],[Ниж. Гран]],Таблица2[2025],"&lt;"&amp;Таблица35[[#This Row],[Верх. Гран.]]))</f>
        <v>25</v>
      </c>
      <c r="N34" s="12">
        <f>Таблица35[[#This Row],[Частота]]/$G$2</f>
        <v>0.193798449612403</v>
      </c>
    </row>
    <row r="35" spans="1:14">
      <c r="A35" s="5" t="s">
        <v>112</v>
      </c>
      <c r="B35" s="5">
        <f>MATCH(Таблица2[[#This Row],[2025]],Таблица3[Ниж. Гран],1)</f>
        <v>4</v>
      </c>
      <c r="C35" s="6">
        <v>2361.6</v>
      </c>
      <c r="D35" s="6">
        <f>LN(Таблица2[[#This Row],[2025]])</f>
        <v>7.76709463440615</v>
      </c>
      <c r="E35" s="6" t="str">
        <f>IF(OR(C35&gt;3*$G$4,C35&lt;$G$4/3),"ВЫБРОС","ОК")</f>
        <v>ОК</v>
      </c>
      <c r="F35" s="8" t="s">
        <v>179</v>
      </c>
      <c r="G35" s="8">
        <f>(G34-G33)/G32</f>
        <v>213.6875</v>
      </c>
      <c r="I35" s="5">
        <v>2</v>
      </c>
      <c r="J35" s="8">
        <f>K34</f>
        <v>1964.9875</v>
      </c>
      <c r="K35" s="8">
        <f t="shared" si="4"/>
        <v>2178.675</v>
      </c>
      <c r="L35" s="8">
        <f>ROUND((Таблица35[[#This Row],[Ниж. Гран]]+Таблица35[[#This Row],[Верх. Гран.]])/2,2)</f>
        <v>2071.83</v>
      </c>
      <c r="M35" s="16">
        <f>IF(Таблица35[[#This Row],[Интервал]]=MAX(Таблица35[Интервал]),COUNTIFS(Таблица2[2025],"&gt;="&amp;Таблица35[[#This Row],[Ниж. Гран]],Таблица2[2025],"&lt;="&amp;Таблица35[[#This Row],[Верх. Гран.]]),COUNTIFS(Таблица2[2025],"&gt;="&amp;Таблица35[[#This Row],[Ниж. Гран]],Таблица2[2025],"&lt;"&amp;Таблица35[[#This Row],[Верх. Гран.]]))</f>
        <v>42</v>
      </c>
      <c r="N35" s="8">
        <f>Таблица35[[#This Row],[Частота]]/$G$2</f>
        <v>0.325581395348837</v>
      </c>
    </row>
    <row r="36" spans="1:14">
      <c r="A36" s="5" t="s">
        <v>74</v>
      </c>
      <c r="B36" s="5">
        <f>MATCH(Таблица2[[#This Row],[2025]],Таблица3[Ниж. Гран],1)</f>
        <v>3</v>
      </c>
      <c r="C36" s="6">
        <v>2311.5</v>
      </c>
      <c r="D36" s="6">
        <f>LN(Таблица2[[#This Row],[2025]])</f>
        <v>7.74565194342828</v>
      </c>
      <c r="E36" s="6" t="str">
        <f>IF(OR(C36&gt;3*$G$4,C36&lt;$G$4/3),"ВЫБРОС","ОК")</f>
        <v>ОК</v>
      </c>
      <c r="I36" s="5">
        <v>3</v>
      </c>
      <c r="J36" s="8">
        <f t="shared" ref="J36:J41" si="5">K35</f>
        <v>2178.675</v>
      </c>
      <c r="K36" s="8">
        <f t="shared" si="4"/>
        <v>2392.3625</v>
      </c>
      <c r="L36" s="8">
        <f>ROUND((Таблица35[[#This Row],[Ниж. Гран]]+Таблица35[[#This Row],[Верх. Гран.]])/2,2)</f>
        <v>2285.52</v>
      </c>
      <c r="M36" s="16">
        <f>IF(Таблица35[[#This Row],[Интервал]]=MAX(Таблица35[Интервал]),COUNTIFS(Таблица2[2025],"&gt;="&amp;Таблица35[[#This Row],[Ниж. Гран]],Таблица2[2025],"&lt;="&amp;Таблица35[[#This Row],[Верх. Гран.]]),COUNTIFS(Таблица2[2025],"&gt;="&amp;Таблица35[[#This Row],[Ниж. Гран]],Таблица2[2025],"&lt;"&amp;Таблица35[[#This Row],[Верх. Гран.]]))</f>
        <v>32</v>
      </c>
      <c r="N36" s="8">
        <f>Таблица35[[#This Row],[Частота]]/$G$2</f>
        <v>0.248062015503876</v>
      </c>
    </row>
    <row r="37" spans="1:14">
      <c r="A37" s="5" t="s">
        <v>99</v>
      </c>
      <c r="B37" s="5">
        <f>MATCH(Таблица2[[#This Row],[2025]],Таблица3[Ниж. Гран],1)</f>
        <v>3</v>
      </c>
      <c r="C37" s="6">
        <v>2308.1</v>
      </c>
      <c r="D37" s="6">
        <f>LN(Таблица2[[#This Row],[2025]])</f>
        <v>7.7441799542457</v>
      </c>
      <c r="E37" s="6" t="str">
        <f>IF(OR(C37&gt;3*$G$4,C37&lt;$G$4/3),"ВЫБРОС","ОК")</f>
        <v>ОК</v>
      </c>
      <c r="I37" s="5">
        <v>4</v>
      </c>
      <c r="J37" s="8">
        <f t="shared" si="5"/>
        <v>2392.3625</v>
      </c>
      <c r="K37" s="8">
        <f t="shared" si="4"/>
        <v>2606.05</v>
      </c>
      <c r="L37" s="8">
        <f>ROUND((Таблица35[[#This Row],[Ниж. Гран]]+Таблица35[[#This Row],[Верх. Гран.]])/2,2)</f>
        <v>2499.21</v>
      </c>
      <c r="M37" s="16">
        <f>IF(Таблица35[[#This Row],[Интервал]]=MAX(Таблица35[Интервал]),COUNTIFS(Таблица2[2025],"&gt;="&amp;Таблица35[[#This Row],[Ниж. Гран]],Таблица2[2025],"&lt;="&amp;Таблица35[[#This Row],[Верх. Гран.]]),COUNTIFS(Таблица2[2025],"&gt;="&amp;Таблица35[[#This Row],[Ниж. Гран]],Таблица2[2025],"&lt;"&amp;Таблица35[[#This Row],[Верх. Гран.]]))</f>
        <v>19</v>
      </c>
      <c r="N37" s="8">
        <f>Таблица35[[#This Row],[Частота]]/$G$2</f>
        <v>0.147286821705426</v>
      </c>
    </row>
    <row r="38" spans="1:14">
      <c r="A38" s="5" t="s">
        <v>104</v>
      </c>
      <c r="B38" s="5">
        <f>MATCH(Таблица2[[#This Row],[2025]],Таблица3[Ниж. Гран],1)</f>
        <v>3</v>
      </c>
      <c r="C38" s="6">
        <v>2303.8</v>
      </c>
      <c r="D38" s="6">
        <f>LN(Таблица2[[#This Row],[2025]])</f>
        <v>7.74231521249241</v>
      </c>
      <c r="E38" s="6" t="str">
        <f>IF(OR(C38&gt;3*$G$4,C38&lt;$G$4/3),"ВЫБРОС","ОК")</f>
        <v>ОК</v>
      </c>
      <c r="I38" s="5">
        <v>5</v>
      </c>
      <c r="J38" s="8">
        <f t="shared" si="5"/>
        <v>2606.05</v>
      </c>
      <c r="K38" s="8">
        <f t="shared" si="4"/>
        <v>2819.7375</v>
      </c>
      <c r="L38" s="8">
        <f>ROUND((Таблица35[[#This Row],[Ниж. Гран]]+Таблица35[[#This Row],[Верх. Гран.]])/2,2)</f>
        <v>2712.89</v>
      </c>
      <c r="M38" s="16">
        <f>IF(Таблица35[[#This Row],[Интервал]]=MAX(Таблица35[Интервал]),COUNTIFS(Таблица2[2025],"&gt;="&amp;Таблица35[[#This Row],[Ниж. Гран]],Таблица2[2025],"&lt;="&amp;Таблица35[[#This Row],[Верх. Гран.]]),COUNTIFS(Таблица2[2025],"&gt;="&amp;Таблица35[[#This Row],[Ниж. Гран]],Таблица2[2025],"&lt;"&amp;Таблица35[[#This Row],[Верх. Гран.]]))</f>
        <v>4</v>
      </c>
      <c r="N38" s="8">
        <f>Таблица35[[#This Row],[Частота]]/$G$2</f>
        <v>0.0310077519379845</v>
      </c>
    </row>
    <row r="39" spans="1:14">
      <c r="A39" s="5" t="s">
        <v>57</v>
      </c>
      <c r="B39" s="5">
        <f>MATCH(Таблица2[[#This Row],[2025]],Таблица3[Ниж. Гран],1)</f>
        <v>3</v>
      </c>
      <c r="C39" s="6">
        <v>2302.5</v>
      </c>
      <c r="D39" s="6">
        <f>LN(Таблица2[[#This Row],[2025]])</f>
        <v>7.74175076812946</v>
      </c>
      <c r="E39" s="6" t="str">
        <f>IF(OR(C39&gt;3*$G$4,C39&lt;$G$4/3),"ВЫБРОС","ОК")</f>
        <v>ОК</v>
      </c>
      <c r="I39" s="5">
        <v>6</v>
      </c>
      <c r="J39" s="8">
        <f t="shared" si="5"/>
        <v>2819.7375</v>
      </c>
      <c r="K39" s="8">
        <f t="shared" si="4"/>
        <v>3033.425</v>
      </c>
      <c r="L39" s="8">
        <f>ROUND((Таблица35[[#This Row],[Ниж. Гран]]+Таблица35[[#This Row],[Верх. Гран.]])/2,2)</f>
        <v>2926.58</v>
      </c>
      <c r="M39" s="16">
        <f>IF(Таблица35[[#This Row],[Интервал]]=MAX(Таблица35[Интервал]),COUNTIFS(Таблица2[2025],"&gt;="&amp;Таблица35[[#This Row],[Ниж. Гран]],Таблица2[2025],"&lt;="&amp;Таблица35[[#This Row],[Верх. Гран.]]),COUNTIFS(Таблица2[2025],"&gt;="&amp;Таблица35[[#This Row],[Ниж. Гран]],Таблица2[2025],"&lt;"&amp;Таблица35[[#This Row],[Верх. Гран.]]))</f>
        <v>2</v>
      </c>
      <c r="N39" s="8">
        <f>Таблица35[[#This Row],[Частота]]/$G$2</f>
        <v>0.0155038759689922</v>
      </c>
    </row>
    <row r="40" spans="1:14">
      <c r="A40" s="5" t="s">
        <v>133</v>
      </c>
      <c r="B40" s="5">
        <f>MATCH(Таблица2[[#This Row],[2025]],Таблица3[Ниж. Гран],1)</f>
        <v>3</v>
      </c>
      <c r="C40" s="6">
        <v>2296.2</v>
      </c>
      <c r="D40" s="6">
        <f>LN(Таблица2[[#This Row],[2025]])</f>
        <v>7.73901086165971</v>
      </c>
      <c r="E40" s="6" t="str">
        <f>IF(OR(C40&gt;3*$G$4,C40&lt;$G$4/3),"ВЫБРОС","ОК")</f>
        <v>ОК</v>
      </c>
      <c r="I40" s="5">
        <v>7</v>
      </c>
      <c r="J40" s="8">
        <f t="shared" si="5"/>
        <v>3033.425</v>
      </c>
      <c r="K40" s="8">
        <f t="shared" si="4"/>
        <v>3247.1125</v>
      </c>
      <c r="L40" s="8">
        <f>ROUND((Таблица35[[#This Row],[Ниж. Гран]]+Таблица35[[#This Row],[Верх. Гран.]])/2,2)</f>
        <v>3140.27</v>
      </c>
      <c r="M40" s="16">
        <f>IF(Таблица35[[#This Row],[Интервал]]=MAX(Таблица35[Интервал]),COUNTIFS(Таблица2[2025],"&gt;="&amp;Таблица35[[#This Row],[Ниж. Гран]],Таблица2[2025],"&lt;="&amp;Таблица35[[#This Row],[Верх. Гран.]]),COUNTIFS(Таблица2[2025],"&gt;="&amp;Таблица35[[#This Row],[Ниж. Гран]],Таблица2[2025],"&lt;"&amp;Таблица35[[#This Row],[Верх. Гран.]]))</f>
        <v>3</v>
      </c>
      <c r="N40" s="8">
        <f>Таблица35[[#This Row],[Частота]]/$G$2</f>
        <v>0.0232558139534884</v>
      </c>
    </row>
    <row r="41" spans="1:14">
      <c r="A41" s="5" t="s">
        <v>20</v>
      </c>
      <c r="B41" s="5">
        <f>MATCH(Таблица2[[#This Row],[2025]],Таблица3[Ниж. Гран],1)</f>
        <v>3</v>
      </c>
      <c r="C41" s="6">
        <v>2293.5</v>
      </c>
      <c r="D41" s="6">
        <f>LN(Таблица2[[#This Row],[2025]])</f>
        <v>7.73783431403723</v>
      </c>
      <c r="E41" s="6" t="str">
        <f>IF(OR(C41&gt;3*$G$4,C41&lt;$G$4/3),"ВЫБРОС","ОК")</f>
        <v>ОК</v>
      </c>
      <c r="I41" s="5">
        <v>8</v>
      </c>
      <c r="J41" s="8">
        <f t="shared" si="5"/>
        <v>3247.1125</v>
      </c>
      <c r="K41" s="8">
        <f t="shared" si="4"/>
        <v>3460.8</v>
      </c>
      <c r="L41" s="8">
        <f>ROUND((Таблица35[[#This Row],[Ниж. Гран]]+Таблица35[[#This Row],[Верх. Гран.]])/2,2)</f>
        <v>3353.96</v>
      </c>
      <c r="M41" s="16">
        <f>IF(Таблица35[[#This Row],[Интервал]]=MAX(Таблица35[Интервал]),COUNTIFS(Таблица2[2025],"&gt;="&amp;Таблица35[[#This Row],[Ниж. Гран]],Таблица2[2025],"&lt;="&amp;Таблица35[[#This Row],[Верх. Гран.]]),COUNTIFS(Таблица2[2025],"&gt;="&amp;Таблица35[[#This Row],[Ниж. Гран]],Таблица2[2025],"&lt;"&amp;Таблица35[[#This Row],[Верх. Гран.]]))</f>
        <v>2</v>
      </c>
      <c r="N41" s="8">
        <f>Таблица35[[#This Row],[Частота]]/$G$2</f>
        <v>0.0155038759689922</v>
      </c>
    </row>
    <row r="42" spans="1:14">
      <c r="A42" s="5" t="s">
        <v>44</v>
      </c>
      <c r="B42" s="5">
        <f>MATCH(Таблица2[[#This Row],[2025]],Таблица3[Ниж. Гран],1)</f>
        <v>3</v>
      </c>
      <c r="C42" s="6">
        <v>2288.2</v>
      </c>
      <c r="D42" s="6">
        <f>LN(Таблица2[[#This Row],[2025]])</f>
        <v>7.73552076126684</v>
      </c>
      <c r="E42" s="6" t="str">
        <f>IF(OR(C42&gt;3*$G$4,C42&lt;$G$4/3),"ВЫБРОС","ОК")</f>
        <v>ОК</v>
      </c>
      <c r="I42" s="13" t="s">
        <v>173</v>
      </c>
      <c r="J42" s="14">
        <f>SUBTOTAL(109,Таблица35[Ниж. Гран])</f>
        <v>19993.65</v>
      </c>
      <c r="K42" s="14">
        <f>SUBTOTAL(109,Таблица35[Верх. Гран.])</f>
        <v>21703.15</v>
      </c>
      <c r="L42" s="14">
        <f>SUBTOTAL(109,Таблица35[Середина])</f>
        <v>20848.4</v>
      </c>
      <c r="M42" s="14">
        <f>SUBTOTAL(109,Таблица35[Частота])</f>
        <v>129</v>
      </c>
      <c r="N42" s="14">
        <f>SUBTOTAL(109,Таблица35[Отн. Частота])</f>
        <v>1</v>
      </c>
    </row>
    <row r="43" spans="1:5">
      <c r="A43" s="5" t="s">
        <v>15</v>
      </c>
      <c r="B43" s="5">
        <f>MATCH(Таблица2[[#This Row],[2025]],Таблица3[Ниж. Гран],1)</f>
        <v>3</v>
      </c>
      <c r="C43" s="6">
        <v>2285.7</v>
      </c>
      <c r="D43" s="6">
        <f>LN(Таблица2[[#This Row],[2025]])</f>
        <v>7.73442760214707</v>
      </c>
      <c r="E43" s="6" t="str">
        <f>IF(OR(C43&gt;3*$G$4,C43&lt;$G$4/3),"ВЫБРОС","ОК")</f>
        <v>ОК</v>
      </c>
    </row>
    <row r="44" spans="1:5">
      <c r="A44" s="5" t="s">
        <v>114</v>
      </c>
      <c r="B44" s="5">
        <f>MATCH(Таблица2[[#This Row],[2025]],Таблица3[Ниж. Гран],1)</f>
        <v>3</v>
      </c>
      <c r="C44" s="6">
        <v>2283</v>
      </c>
      <c r="D44" s="6">
        <f>LN(Таблица2[[#This Row],[2025]])</f>
        <v>7.7332456465298</v>
      </c>
      <c r="E44" s="6" t="str">
        <f>IF(OR(C44&gt;3*$G$4,C44&lt;$G$4/3),"ВЫБРОС","ОК")</f>
        <v>ОК</v>
      </c>
    </row>
    <row r="45" spans="1:5">
      <c r="A45" s="5" t="s">
        <v>89</v>
      </c>
      <c r="B45" s="5">
        <f>MATCH(Таблица2[[#This Row],[2025]],Таблица3[Ниж. Гран],1)</f>
        <v>3</v>
      </c>
      <c r="C45" s="6">
        <v>2272.4</v>
      </c>
      <c r="D45" s="6">
        <f>LN(Таблица2[[#This Row],[2025]])</f>
        <v>7.72859182068297</v>
      </c>
      <c r="E45" s="6" t="str">
        <f>IF(OR(C45&gt;3*$G$4,C45&lt;$G$4/3),"ВЫБРОС","ОК")</f>
        <v>ОК</v>
      </c>
    </row>
    <row r="46" spans="1:5">
      <c r="A46" s="5" t="s">
        <v>6</v>
      </c>
      <c r="B46" s="5">
        <f>MATCH(Таблица2[[#This Row],[2025]],Таблица3[Ниж. Гран],1)</f>
        <v>3</v>
      </c>
      <c r="C46" s="6">
        <v>2270.2</v>
      </c>
      <c r="D46" s="6">
        <f>LN(Таблица2[[#This Row],[2025]])</f>
        <v>7.72762321232124</v>
      </c>
      <c r="E46" s="6" t="str">
        <f>IF(OR(C46&gt;3*$G$4,C46&lt;$G$4/3),"ВЫБРОС","ОК")</f>
        <v>ОК</v>
      </c>
    </row>
    <row r="47" spans="1:5">
      <c r="A47" s="5" t="s">
        <v>81</v>
      </c>
      <c r="B47" s="5">
        <f>MATCH(Таблица2[[#This Row],[2025]],Таблица3[Ниж. Гран],1)</f>
        <v>3</v>
      </c>
      <c r="C47" s="6">
        <v>2267.4</v>
      </c>
      <c r="D47" s="6">
        <f>LN(Таблица2[[#This Row],[2025]])</f>
        <v>7.7263890795835</v>
      </c>
      <c r="E47" s="6" t="str">
        <f>IF(OR(C47&gt;3*$G$4,C47&lt;$G$4/3),"ВЫБРОС","ОК")</f>
        <v>ОК</v>
      </c>
    </row>
    <row r="48" spans="1:5">
      <c r="A48" s="5" t="s">
        <v>12</v>
      </c>
      <c r="B48" s="5">
        <f>MATCH(Таблица2[[#This Row],[2025]],Таблица3[Ниж. Гран],1)</f>
        <v>3</v>
      </c>
      <c r="C48" s="6">
        <v>2260</v>
      </c>
      <c r="D48" s="6">
        <f>LN(Таблица2[[#This Row],[2025]])</f>
        <v>7.72312009226633</v>
      </c>
      <c r="E48" s="6" t="str">
        <f>IF(OR(C48&gt;3*$G$4,C48&lt;$G$4/3),"ВЫБРОС","ОК")</f>
        <v>ОК</v>
      </c>
    </row>
    <row r="49" spans="1:5">
      <c r="A49" s="5" t="s">
        <v>111</v>
      </c>
      <c r="B49" s="5">
        <f>MATCH(Таблица2[[#This Row],[2025]],Таблица3[Ниж. Гран],1)</f>
        <v>3</v>
      </c>
      <c r="C49" s="6">
        <v>2257.6</v>
      </c>
      <c r="D49" s="6">
        <f>LN(Таблица2[[#This Row],[2025]])</f>
        <v>7.72205758109855</v>
      </c>
      <c r="E49" s="6" t="str">
        <f>IF(OR(C49&gt;3*$G$4,C49&lt;$G$4/3),"ВЫБРОС","ОК")</f>
        <v>ОК</v>
      </c>
    </row>
    <row r="50" spans="1:5">
      <c r="A50" s="5" t="s">
        <v>96</v>
      </c>
      <c r="B50" s="5">
        <f>MATCH(Таблица2[[#This Row],[2025]],Таблица3[Ниж. Гран],1)</f>
        <v>3</v>
      </c>
      <c r="C50" s="6">
        <v>2254.1</v>
      </c>
      <c r="D50" s="6">
        <f>LN(Таблица2[[#This Row],[2025]])</f>
        <v>7.72050605918791</v>
      </c>
      <c r="E50" s="6" t="str">
        <f>IF(OR(C50&gt;3*$G$4,C50&lt;$G$4/3),"ВЫБРОС","ОК")</f>
        <v>ОК</v>
      </c>
    </row>
    <row r="51" spans="1:5">
      <c r="A51" s="5" t="s">
        <v>100</v>
      </c>
      <c r="B51" s="5">
        <f>MATCH(Таблица2[[#This Row],[2025]],Таблица3[Ниж. Гран],1)</f>
        <v>3</v>
      </c>
      <c r="C51" s="6">
        <v>2240.4</v>
      </c>
      <c r="D51" s="6">
        <f>LN(Таблица2[[#This Row],[2025]])</f>
        <v>7.71440970033568</v>
      </c>
      <c r="E51" s="6" t="str">
        <f>IF(OR(C51&gt;3*$G$4,C51&lt;$G$4/3),"ВЫБРОС","ОК")</f>
        <v>ОК</v>
      </c>
    </row>
    <row r="52" spans="1:5">
      <c r="A52" s="5" t="s">
        <v>65</v>
      </c>
      <c r="B52" s="5">
        <f>MATCH(Таблица2[[#This Row],[2025]],Таблица3[Ниж. Гран],1)</f>
        <v>3</v>
      </c>
      <c r="C52" s="6">
        <v>2236.7</v>
      </c>
      <c r="D52" s="6">
        <f>LN(Таблица2[[#This Row],[2025]])</f>
        <v>7.71275684431622</v>
      </c>
      <c r="E52" s="6" t="str">
        <f>IF(OR(C52&gt;3*$G$4,C52&lt;$G$4/3),"ВЫБРОС","ОК")</f>
        <v>ОК</v>
      </c>
    </row>
    <row r="53" spans="1:5">
      <c r="A53" s="5" t="s">
        <v>23</v>
      </c>
      <c r="B53" s="5">
        <f>MATCH(Таблица2[[#This Row],[2025]],Таблица3[Ниж. Гран],1)</f>
        <v>3</v>
      </c>
      <c r="C53" s="6">
        <v>2234.5</v>
      </c>
      <c r="D53" s="6">
        <f>LN(Таблица2[[#This Row],[2025]])</f>
        <v>7.71177276837351</v>
      </c>
      <c r="E53" s="6" t="str">
        <f>IF(OR(C53&gt;3*$G$4,C53&lt;$G$4/3),"ВЫБРОС","ОК")</f>
        <v>ОК</v>
      </c>
    </row>
    <row r="54" spans="1:5">
      <c r="A54" s="5" t="s">
        <v>29</v>
      </c>
      <c r="B54" s="5">
        <f>MATCH(Таблица2[[#This Row],[2025]],Таблица3[Ниж. Гран],1)</f>
        <v>3</v>
      </c>
      <c r="C54" s="6">
        <v>2234.3</v>
      </c>
      <c r="D54" s="6">
        <f>LN(Таблица2[[#This Row],[2025]])</f>
        <v>7.71168325888544</v>
      </c>
      <c r="E54" s="6" t="str">
        <f>IF(OR(C54&gt;3*$G$4,C54&lt;$G$4/3),"ВЫБРОС","ОК")</f>
        <v>ОК</v>
      </c>
    </row>
    <row r="55" spans="1:5">
      <c r="A55" s="5" t="s">
        <v>38</v>
      </c>
      <c r="B55" s="5">
        <f>MATCH(Таблица2[[#This Row],[2025]],Таблица3[Ниж. Гран],1)</f>
        <v>3</v>
      </c>
      <c r="C55" s="6">
        <v>2228.3</v>
      </c>
      <c r="D55" s="6">
        <f>LN(Таблица2[[#This Row],[2025]])</f>
        <v>7.70899424189292</v>
      </c>
      <c r="E55" s="6" t="str">
        <f>IF(OR(C55&gt;3*$G$4,C55&lt;$G$4/3),"ВЫБРОС","ОК")</f>
        <v>ОК</v>
      </c>
    </row>
    <row r="56" spans="1:5">
      <c r="A56" s="5" t="s">
        <v>24</v>
      </c>
      <c r="B56" s="5">
        <f>MATCH(Таблица2[[#This Row],[2025]],Таблица3[Ниж. Гран],1)</f>
        <v>3</v>
      </c>
      <c r="C56" s="6">
        <v>2222</v>
      </c>
      <c r="D56" s="6">
        <f>LN(Таблица2[[#This Row],[2025]])</f>
        <v>7.70616297019958</v>
      </c>
      <c r="E56" s="6" t="str">
        <f>IF(OR(C56&gt;3*$G$4,C56&lt;$G$4/3),"ВЫБРОС","ОК")</f>
        <v>ОК</v>
      </c>
    </row>
    <row r="57" spans="1:5">
      <c r="A57" s="5" t="s">
        <v>19</v>
      </c>
      <c r="B57" s="5">
        <f>MATCH(Таблица2[[#This Row],[2025]],Таблица3[Ниж. Гран],1)</f>
        <v>3</v>
      </c>
      <c r="C57" s="6">
        <v>2217.6</v>
      </c>
      <c r="D57" s="6">
        <f>LN(Таблица2[[#This Row],[2025]])</f>
        <v>7.70418080899558</v>
      </c>
      <c r="E57" s="6" t="str">
        <f>IF(OR(C57&gt;3*$G$4,C57&lt;$G$4/3),"ВЫБРОС","ОК")</f>
        <v>ОК</v>
      </c>
    </row>
    <row r="58" spans="1:5">
      <c r="A58" s="5" t="s">
        <v>28</v>
      </c>
      <c r="B58" s="5">
        <f>MATCH(Таблица2[[#This Row],[2025]],Таблица3[Ниж. Гран],1)</f>
        <v>3</v>
      </c>
      <c r="C58" s="6">
        <v>2215.6</v>
      </c>
      <c r="D58" s="6">
        <f>LN(Таблица2[[#This Row],[2025]])</f>
        <v>7.70327852615895</v>
      </c>
      <c r="E58" s="6" t="str">
        <f>IF(OR(C58&gt;3*$G$4,C58&lt;$G$4/3),"ВЫБРОС","ОК")</f>
        <v>ОК</v>
      </c>
    </row>
    <row r="59" spans="1:5">
      <c r="A59" s="5" t="s">
        <v>105</v>
      </c>
      <c r="B59" s="5">
        <f>MATCH(Таблица2[[#This Row],[2025]],Таблица3[Ниж. Гран],1)</f>
        <v>3</v>
      </c>
      <c r="C59" s="6">
        <v>2215</v>
      </c>
      <c r="D59" s="6">
        <f>LN(Таблица2[[#This Row],[2025]])</f>
        <v>7.70300768247924</v>
      </c>
      <c r="E59" s="6" t="str">
        <f>IF(OR(C59&gt;3*$G$4,C59&lt;$G$4/3),"ВЫБРОС","ОК")</f>
        <v>ОК</v>
      </c>
    </row>
    <row r="60" spans="1:5">
      <c r="A60" s="5" t="s">
        <v>16</v>
      </c>
      <c r="B60" s="5">
        <f>MATCH(Таблица2[[#This Row],[2025]],Таблица3[Ниж. Гран],1)</f>
        <v>3</v>
      </c>
      <c r="C60" s="6">
        <v>2211.2</v>
      </c>
      <c r="D60" s="6">
        <f>LN(Таблица2[[#This Row],[2025]])</f>
        <v>7.70129063357335</v>
      </c>
      <c r="E60" s="6" t="str">
        <f>IF(OR(C60&gt;3*$G$4,C60&lt;$G$4/3),"ВЫБРОС","ОК")</f>
        <v>ОК</v>
      </c>
    </row>
    <row r="61" spans="1:9">
      <c r="A61" s="5" t="s">
        <v>37</v>
      </c>
      <c r="B61" s="5">
        <f>MATCH(Таблица2[[#This Row],[2025]],Таблица3[Ниж. Гран],1)</f>
        <v>3</v>
      </c>
      <c r="C61" s="6">
        <v>2209.3</v>
      </c>
      <c r="D61" s="6">
        <f>LN(Таблица2[[#This Row],[2025]])</f>
        <v>7.70043100225698</v>
      </c>
      <c r="E61" s="6" t="str">
        <f>IF(OR(C61&gt;3*$G$4,C61&lt;$G$4/3),"ВЫБРОС","ОК")</f>
        <v>ОК</v>
      </c>
      <c r="F61" s="8" t="s">
        <v>172</v>
      </c>
      <c r="G61" s="8">
        <f>G12+1</f>
        <v>10</v>
      </c>
      <c r="I61" t="s">
        <v>142</v>
      </c>
    </row>
    <row r="62" spans="1:14">
      <c r="A62" s="5" t="s">
        <v>98</v>
      </c>
      <c r="B62" s="5">
        <f>MATCH(Таблица2[[#This Row],[2025]],Таблица3[Ниж. Гран],1)</f>
        <v>3</v>
      </c>
      <c r="C62" s="6">
        <v>2198.7</v>
      </c>
      <c r="D62" s="6">
        <f>LN(Таблица2[[#This Row],[2025]])</f>
        <v>7.69562155559991</v>
      </c>
      <c r="E62" s="6" t="str">
        <f>IF(OR(C62&gt;3*$G$4,C62&lt;$G$4/3),"ВЫБРОС","ОК")</f>
        <v>ОК</v>
      </c>
      <c r="F62" s="8" t="s">
        <v>175</v>
      </c>
      <c r="G62" s="8">
        <f>MIN(Таблица2[2025])</f>
        <v>1751.3</v>
      </c>
      <c r="I62" s="2" t="s">
        <v>147</v>
      </c>
      <c r="J62" s="12" t="s">
        <v>148</v>
      </c>
      <c r="K62" s="12" t="s">
        <v>149</v>
      </c>
      <c r="L62" s="12" t="s">
        <v>150</v>
      </c>
      <c r="M62" s="15" t="s">
        <v>151</v>
      </c>
      <c r="N62" s="12" t="s">
        <v>152</v>
      </c>
    </row>
    <row r="63" spans="1:14">
      <c r="A63" s="5" t="s">
        <v>127</v>
      </c>
      <c r="B63" s="5">
        <f>MATCH(Таблица2[[#This Row],[2025]],Таблица3[Ниж. Гран],1)</f>
        <v>3</v>
      </c>
      <c r="C63" s="6">
        <v>2187.2</v>
      </c>
      <c r="D63" s="6">
        <f>LN(Таблица2[[#This Row],[2025]])</f>
        <v>7.69037746596968</v>
      </c>
      <c r="E63" s="6" t="str">
        <f>IF(OR(C63&gt;3*$G$4,C63&lt;$G$4/3),"ВЫБРОС","ОК")</f>
        <v>ОК</v>
      </c>
      <c r="F63" s="8" t="s">
        <v>177</v>
      </c>
      <c r="G63" s="8">
        <f>MAX(Таблица2[2025])</f>
        <v>3460.8</v>
      </c>
      <c r="I63" s="5">
        <v>1</v>
      </c>
      <c r="J63" s="8">
        <f>G62</f>
        <v>1751.3</v>
      </c>
      <c r="K63" s="8">
        <f t="shared" ref="K63:K72" si="6">J63+$G$64</f>
        <v>1922.25</v>
      </c>
      <c r="L63" s="8">
        <f>ROUND((Таблица356[[#This Row],[Ниж. Гран]]+Таблица356[[#This Row],[Верх. Гран.]])/2,2)</f>
        <v>1836.78</v>
      </c>
      <c r="M63" s="16">
        <f>IF(Таблица356[[#This Row],[Интервал]]=MAX(Таблица356[Интервал]),COUNTIFS(Таблица2[2025],"&gt;="&amp;Таблица356[[#This Row],[Ниж. Гран]],Таблица2[2025],"&lt;="&amp;Таблица356[[#This Row],[Верх. Гран.]]),COUNTIFS(Таблица2[2025],"&gt;="&amp;Таблица356[[#This Row],[Ниж. Гран]],Таблица2[2025],"&lt;"&amp;Таблица356[[#This Row],[Верх. Гран.]]))</f>
        <v>14</v>
      </c>
      <c r="N63" s="12">
        <f>Таблица356[[#This Row],[Частота]]/$G$2</f>
        <v>0.108527131782946</v>
      </c>
    </row>
    <row r="64" spans="1:14">
      <c r="A64" s="5" t="s">
        <v>87</v>
      </c>
      <c r="B64" s="5">
        <f>MATCH(Таблица2[[#This Row],[2025]],Таблица3[Ниж. Гран],1)</f>
        <v>3</v>
      </c>
      <c r="C64" s="6">
        <v>2182.8</v>
      </c>
      <c r="D64" s="6">
        <f>LN(Таблица2[[#This Row],[2025]])</f>
        <v>7.68836373531208</v>
      </c>
      <c r="E64" s="6" t="str">
        <f>IF(OR(C64&gt;3*$G$4,C64&lt;$G$4/3),"ВЫБРОС","ОК")</f>
        <v>ОК</v>
      </c>
      <c r="F64" s="8" t="s">
        <v>179</v>
      </c>
      <c r="G64" s="8">
        <f>(G63-G62)/G61</f>
        <v>170.95</v>
      </c>
      <c r="I64" s="5">
        <v>2</v>
      </c>
      <c r="J64" s="8">
        <f>K63</f>
        <v>1922.25</v>
      </c>
      <c r="K64" s="8">
        <f t="shared" si="6"/>
        <v>2093.2</v>
      </c>
      <c r="L64" s="8">
        <f>ROUND((Таблица356[[#This Row],[Ниж. Гран]]+Таблица356[[#This Row],[Верх. Гран.]])/2,2)</f>
        <v>2007.73</v>
      </c>
      <c r="M64" s="16">
        <f>IF(Таблица356[[#This Row],[Интервал]]=MAX(Таблица356[Интервал]),COUNTIFS(Таблица2[2025],"&gt;="&amp;Таблица356[[#This Row],[Ниж. Гран]],Таблица2[2025],"&lt;="&amp;Таблица356[[#This Row],[Верх. Гран.]]),COUNTIFS(Таблица2[2025],"&gt;="&amp;Таблица356[[#This Row],[Ниж. Гран]],Таблица2[2025],"&lt;"&amp;Таблица356[[#This Row],[Верх. Гран.]]))</f>
        <v>31</v>
      </c>
      <c r="N64" s="8">
        <f>Таблица356[[#This Row],[Частота]]/$G$2</f>
        <v>0.24031007751938</v>
      </c>
    </row>
    <row r="65" spans="1:14">
      <c r="A65" s="5" t="s">
        <v>118</v>
      </c>
      <c r="B65" s="5">
        <f>MATCH(Таблица2[[#This Row],[2025]],Таблица3[Ниж. Гран],1)</f>
        <v>3</v>
      </c>
      <c r="C65" s="6">
        <v>2173.5</v>
      </c>
      <c r="D65" s="6">
        <f>LN(Таблица2[[#This Row],[2025]])</f>
        <v>7.68409405042885</v>
      </c>
      <c r="E65" s="6" t="str">
        <f>IF(OR(C65&gt;3*$G$4,C65&lt;$G$4/3),"ВЫБРОС","ОК")</f>
        <v>ОК</v>
      </c>
      <c r="I65" s="5">
        <v>3</v>
      </c>
      <c r="J65" s="8">
        <f t="shared" ref="J65:J72" si="7">K64</f>
        <v>2093.2</v>
      </c>
      <c r="K65" s="8">
        <f t="shared" si="6"/>
        <v>2264.15</v>
      </c>
      <c r="L65" s="8">
        <f>ROUND((Таблица356[[#This Row],[Ниж. Гран]]+Таблица356[[#This Row],[Верх. Гран.]])/2,2)</f>
        <v>2178.68</v>
      </c>
      <c r="M65" s="16">
        <f>IF(Таблица356[[#This Row],[Интервал]]=MAX(Таблица356[Интервал]),COUNTIFS(Таблица2[2025],"&gt;="&amp;Таблица356[[#This Row],[Ниж. Гран]],Таблица2[2025],"&lt;="&amp;Таблица356[[#This Row],[Верх. Гран.]]),COUNTIFS(Таблица2[2025],"&gt;="&amp;Таблица356[[#This Row],[Ниж. Гран]],Таблица2[2025],"&lt;"&amp;Таблица356[[#This Row],[Верх. Гран.]]))</f>
        <v>39</v>
      </c>
      <c r="N65" s="8">
        <f>Таблица356[[#This Row],[Частота]]/$G$2</f>
        <v>0.302325581395349</v>
      </c>
    </row>
    <row r="66" spans="1:14">
      <c r="A66" s="5" t="s">
        <v>77</v>
      </c>
      <c r="B66" s="5">
        <f>MATCH(Таблица2[[#This Row],[2025]],Таблица3[Ниж. Гран],1)</f>
        <v>3</v>
      </c>
      <c r="C66" s="6">
        <v>2152.6</v>
      </c>
      <c r="D66" s="6">
        <f>LN(Таблица2[[#This Row],[2025]])</f>
        <v>7.6744316928302</v>
      </c>
      <c r="E66" s="6" t="str">
        <f>IF(OR(C66&gt;3*$G$4,C66&lt;$G$4/3),"ВЫБРОС","ОК")</f>
        <v>ОК</v>
      </c>
      <c r="I66" s="5">
        <v>4</v>
      </c>
      <c r="J66" s="8">
        <f t="shared" si="7"/>
        <v>2264.15</v>
      </c>
      <c r="K66" s="8">
        <f t="shared" si="6"/>
        <v>2435.1</v>
      </c>
      <c r="L66" s="8">
        <f>ROUND((Таблица356[[#This Row],[Ниж. Гран]]+Таблица356[[#This Row],[Верх. Гран.]])/2,2)</f>
        <v>2349.63</v>
      </c>
      <c r="M66" s="16">
        <f>IF(Таблица356[[#This Row],[Интервал]]=MAX(Таблица356[Интервал]),COUNTIFS(Таблица2[2025],"&gt;="&amp;Таблица356[[#This Row],[Ниж. Гран]],Таблица2[2025],"&lt;="&amp;Таблица356[[#This Row],[Верх. Гран.]]),COUNTIFS(Таблица2[2025],"&gt;="&amp;Таблица356[[#This Row],[Ниж. Гран]],Таблица2[2025],"&lt;"&amp;Таблица356[[#This Row],[Верх. Гран.]]))</f>
        <v>22</v>
      </c>
      <c r="N66" s="8">
        <f>Таблица356[[#This Row],[Частота]]/$G$2</f>
        <v>0.170542635658915</v>
      </c>
    </row>
    <row r="67" spans="1:14">
      <c r="A67" s="5" t="s">
        <v>34</v>
      </c>
      <c r="B67" s="5">
        <f>MATCH(Таблица2[[#This Row],[2025]],Таблица3[Ниж. Гран],1)</f>
        <v>3</v>
      </c>
      <c r="C67" s="6">
        <v>2151.4</v>
      </c>
      <c r="D67" s="6">
        <f>LN(Таблица2[[#This Row],[2025]])</f>
        <v>7.67387407199791</v>
      </c>
      <c r="E67" s="6" t="str">
        <f t="shared" ref="E67:E98" si="8">IF(OR(C67&gt;3*$G$4,C67&lt;$G$4/3),"ВЫБРОС","ОК")</f>
        <v>ОК</v>
      </c>
      <c r="F67" t="s">
        <v>192</v>
      </c>
      <c r="G67" t="s">
        <v>193</v>
      </c>
      <c r="I67" s="5">
        <v>5</v>
      </c>
      <c r="J67" s="8">
        <f t="shared" si="7"/>
        <v>2435.1</v>
      </c>
      <c r="K67" s="8">
        <f t="shared" si="6"/>
        <v>2606.05</v>
      </c>
      <c r="L67" s="8">
        <f>ROUND((Таблица356[[#This Row],[Ниж. Гран]]+Таблица356[[#This Row],[Верх. Гран.]])/2,2)</f>
        <v>2520.58</v>
      </c>
      <c r="M67" s="16">
        <f>IF(Таблица356[[#This Row],[Интервал]]=MAX(Таблица356[Интервал]),COUNTIFS(Таблица2[2025],"&gt;="&amp;Таблица356[[#This Row],[Ниж. Гран]],Таблица2[2025],"&lt;="&amp;Таблица356[[#This Row],[Верх. Гран.]]),COUNTIFS(Таблица2[2025],"&gt;="&amp;Таблица356[[#This Row],[Ниж. Гран]],Таблица2[2025],"&lt;"&amp;Таблица356[[#This Row],[Верх. Гран.]]))</f>
        <v>12</v>
      </c>
      <c r="N67" s="8">
        <f>Таблица356[[#This Row],[Частота]]/$G$2</f>
        <v>0.0930232558139535</v>
      </c>
    </row>
    <row r="68" spans="1:14">
      <c r="A68" s="5" t="s">
        <v>95</v>
      </c>
      <c r="B68" s="5">
        <f>MATCH(Таблица2[[#This Row],[2025]],Таблица3[Ниж. Гран],1)</f>
        <v>3</v>
      </c>
      <c r="C68" s="6">
        <v>2149.9</v>
      </c>
      <c r="D68" s="6">
        <f>LN(Таблица2[[#This Row],[2025]])</f>
        <v>7.6731766084121</v>
      </c>
      <c r="E68" s="6" t="str">
        <f t="shared" si="8"/>
        <v>ОК</v>
      </c>
      <c r="I68" s="5">
        <v>6</v>
      </c>
      <c r="J68" s="8">
        <f t="shared" si="7"/>
        <v>2606.05</v>
      </c>
      <c r="K68" s="8">
        <f t="shared" si="6"/>
        <v>2777</v>
      </c>
      <c r="L68" s="8">
        <f>ROUND((Таблица356[[#This Row],[Ниж. Гран]]+Таблица356[[#This Row],[Верх. Гран.]])/2,2)</f>
        <v>2691.53</v>
      </c>
      <c r="M68" s="16">
        <f>IF(Таблица356[[#This Row],[Интервал]]=MAX(Таблица356[Интервал]),COUNTIFS(Таблица2[2025],"&gt;="&amp;Таблица356[[#This Row],[Ниж. Гран]],Таблица2[2025],"&lt;="&amp;Таблица356[[#This Row],[Верх. Гран.]]),COUNTIFS(Таблица2[2025],"&gt;="&amp;Таблица356[[#This Row],[Ниж. Гран]],Таблица2[2025],"&lt;"&amp;Таблица356[[#This Row],[Верх. Гран.]]))</f>
        <v>4</v>
      </c>
      <c r="N68" s="8">
        <f>Таблица356[[#This Row],[Частота]]/$G$2</f>
        <v>0.0310077519379845</v>
      </c>
    </row>
    <row r="69" spans="1:14">
      <c r="A69" s="5" t="s">
        <v>140</v>
      </c>
      <c r="B69" s="5">
        <f>MATCH(Таблица2[[#This Row],[2025]],Таблица3[Ниж. Гран],1)</f>
        <v>3</v>
      </c>
      <c r="C69" s="6">
        <v>2149.7</v>
      </c>
      <c r="D69" s="6">
        <f>LN(Таблица2[[#This Row],[2025]])</f>
        <v>7.67308357650209</v>
      </c>
      <c r="E69" s="6" t="str">
        <f t="shared" si="8"/>
        <v>ОК</v>
      </c>
      <c r="I69" s="5">
        <v>7</v>
      </c>
      <c r="J69" s="8">
        <f t="shared" si="7"/>
        <v>2777</v>
      </c>
      <c r="K69" s="8">
        <f t="shared" si="6"/>
        <v>2947.95</v>
      </c>
      <c r="L69" s="8">
        <f>ROUND((Таблица356[[#This Row],[Ниж. Гран]]+Таблица356[[#This Row],[Верх. Гран.]])/2,2)</f>
        <v>2862.48</v>
      </c>
      <c r="M69" s="16">
        <f>IF(Таблица356[[#This Row],[Интервал]]=MAX(Таблица356[Интервал]),COUNTIFS(Таблица2[2025],"&gt;="&amp;Таблица356[[#This Row],[Ниж. Гран]],Таблица2[2025],"&lt;="&amp;Таблица356[[#This Row],[Верх. Гран.]]),COUNTIFS(Таблица2[2025],"&gt;="&amp;Таблица356[[#This Row],[Ниж. Гран]],Таблица2[2025],"&lt;"&amp;Таблица356[[#This Row],[Верх. Гран.]]))</f>
        <v>2</v>
      </c>
      <c r="N69" s="8">
        <f>Таблица356[[#This Row],[Частота]]/$G$2</f>
        <v>0.0155038759689922</v>
      </c>
    </row>
    <row r="70" spans="1:14">
      <c r="A70" s="5" t="s">
        <v>58</v>
      </c>
      <c r="B70" s="5">
        <f>MATCH(Таблица2[[#This Row],[2025]],Таблица3[Ниж. Гран],1)</f>
        <v>3</v>
      </c>
      <c r="C70" s="6">
        <v>2147.4</v>
      </c>
      <c r="D70" s="6">
        <f>LN(Таблица2[[#This Row],[2025]])</f>
        <v>7.67201308700004</v>
      </c>
      <c r="E70" s="6" t="str">
        <f t="shared" si="8"/>
        <v>ОК</v>
      </c>
      <c r="I70" s="5">
        <v>8</v>
      </c>
      <c r="J70" s="8">
        <f t="shared" si="7"/>
        <v>2947.95</v>
      </c>
      <c r="K70" s="8">
        <f t="shared" si="6"/>
        <v>3118.9</v>
      </c>
      <c r="L70" s="8">
        <f>ROUND((Таблица356[[#This Row],[Ниж. Гран]]+Таблица356[[#This Row],[Верх. Гран.]])/2,2)</f>
        <v>3033.43</v>
      </c>
      <c r="M70" s="16">
        <f>IF(Таблица356[[#This Row],[Интервал]]=MAX(Таблица356[Интервал]),COUNTIFS(Таблица2[2025],"&gt;="&amp;Таблица356[[#This Row],[Ниж. Гран]],Таблица2[2025],"&lt;="&amp;Таблица356[[#This Row],[Верх. Гран.]]),COUNTIFS(Таблица2[2025],"&gt;="&amp;Таблица356[[#This Row],[Ниж. Гран]],Таблица2[2025],"&lt;"&amp;Таблица356[[#This Row],[Верх. Гран.]]))</f>
        <v>1</v>
      </c>
      <c r="N70" s="8">
        <f>Таблица356[[#This Row],[Частота]]/$G$2</f>
        <v>0.00775193798449612</v>
      </c>
    </row>
    <row r="71" spans="1:14">
      <c r="A71" s="5" t="s">
        <v>18</v>
      </c>
      <c r="B71" s="5">
        <f>MATCH(Таблица2[[#This Row],[2025]],Таблица3[Ниж. Гран],1)</f>
        <v>3</v>
      </c>
      <c r="C71" s="6">
        <v>2137.5</v>
      </c>
      <c r="D71" s="6">
        <f>LN(Таблица2[[#This Row],[2025]])</f>
        <v>7.66739220081091</v>
      </c>
      <c r="E71" s="6" t="str">
        <f t="shared" si="8"/>
        <v>ОК</v>
      </c>
      <c r="I71" s="5">
        <v>9</v>
      </c>
      <c r="J71" s="8">
        <f t="shared" si="7"/>
        <v>3118.9</v>
      </c>
      <c r="K71" s="21">
        <f t="shared" si="6"/>
        <v>3289.85</v>
      </c>
      <c r="L71" s="21">
        <f>ROUND((Таблица356[[#This Row],[Ниж. Гран]]+Таблица356[[#This Row],[Верх. Гран.]])/2,2)</f>
        <v>3204.38</v>
      </c>
      <c r="M71" s="22">
        <f>IF(Таблица356[[#This Row],[Интервал]]=MAX(Таблица356[Интервал]),COUNTIFS(Таблица2[2025],"&gt;="&amp;Таблица356[[#This Row],[Ниж. Гран]],Таблица2[2025],"&lt;="&amp;Таблица356[[#This Row],[Верх. Гран.]]),COUNTIFS(Таблица2[2025],"&gt;="&amp;Таблица356[[#This Row],[Ниж. Гран]],Таблица2[2025],"&lt;"&amp;Таблица356[[#This Row],[Верх. Гран.]]))</f>
        <v>2</v>
      </c>
      <c r="N71" s="21">
        <f>Таблица356[[#This Row],[Частота]]/$G$2</f>
        <v>0.0155038759689922</v>
      </c>
    </row>
    <row r="72" spans="1:14">
      <c r="A72" s="5" t="s">
        <v>10</v>
      </c>
      <c r="B72" s="5">
        <f>MATCH(Таблица2[[#This Row],[2025]],Таблица3[Ниж. Гран],1)</f>
        <v>3</v>
      </c>
      <c r="C72" s="6">
        <v>2132.1</v>
      </c>
      <c r="D72" s="6">
        <f>LN(Таблица2[[#This Row],[2025]])</f>
        <v>7.66486268850096</v>
      </c>
      <c r="E72" s="6" t="str">
        <f t="shared" si="8"/>
        <v>ОК</v>
      </c>
      <c r="I72" s="5">
        <v>10</v>
      </c>
      <c r="J72" s="8">
        <f t="shared" si="7"/>
        <v>3289.85</v>
      </c>
      <c r="K72" s="21">
        <f t="shared" si="6"/>
        <v>3460.8</v>
      </c>
      <c r="L72" s="21">
        <f>ROUND((Таблица356[[#This Row],[Ниж. Гран]]+Таблица356[[#This Row],[Верх. Гран.]])/2,2)</f>
        <v>3375.33</v>
      </c>
      <c r="M72" s="22">
        <f>IF(Таблица356[[#This Row],[Интервал]]=MAX(Таблица356[Интервал]),COUNTIFS(Таблица2[2025],"&gt;="&amp;Таблица356[[#This Row],[Ниж. Гран]],Таблица2[2025],"&lt;="&amp;Таблица356[[#This Row],[Верх. Гран.]]),COUNTIFS(Таблица2[2025],"&gt;="&amp;Таблица356[[#This Row],[Ниж. Гран]],Таблица2[2025],"&lt;"&amp;Таблица356[[#This Row],[Верх. Гран.]]))</f>
        <v>2</v>
      </c>
      <c r="N72" s="21">
        <f>Таблица356[[#This Row],[Частота]]/$G$2</f>
        <v>0.0155038759689922</v>
      </c>
    </row>
    <row r="73" spans="1:14">
      <c r="A73" s="5" t="s">
        <v>83</v>
      </c>
      <c r="B73" s="5">
        <f>MATCH(Таблица2[[#This Row],[2025]],Таблица3[Ниж. Гран],1)</f>
        <v>3</v>
      </c>
      <c r="C73" s="6">
        <v>2131.4</v>
      </c>
      <c r="D73" s="6">
        <f>LN(Таблица2[[#This Row],[2025]])</f>
        <v>7.66453431978686</v>
      </c>
      <c r="E73" s="6" t="str">
        <f t="shared" si="8"/>
        <v>ОК</v>
      </c>
      <c r="I73" s="13" t="s">
        <v>173</v>
      </c>
      <c r="J73" s="14">
        <f>SUBTOTAL(109,Таблица356[Ниж. Гран])</f>
        <v>25205.75</v>
      </c>
      <c r="K73" s="14">
        <f>SUBTOTAL(109,Таблица356[Верх. Гран.])</f>
        <v>26915.25</v>
      </c>
      <c r="L73" s="14">
        <f>SUBTOTAL(109,Таблица356[Середина])</f>
        <v>26060.55</v>
      </c>
      <c r="M73" s="14">
        <f>SUBTOTAL(109,Таблица356[Частота])</f>
        <v>129</v>
      </c>
      <c r="N73" s="14">
        <f>SUBTOTAL(109,Таблица356[Отн. Частота])</f>
        <v>1</v>
      </c>
    </row>
    <row r="74" spans="1:5">
      <c r="A74" s="5" t="s">
        <v>17</v>
      </c>
      <c r="B74" s="5">
        <f>MATCH(Таблица2[[#This Row],[2025]],Таблица3[Ниж. Гран],1)</f>
        <v>2</v>
      </c>
      <c r="C74" s="6">
        <v>2128.7</v>
      </c>
      <c r="D74" s="6">
        <f>LN(Таблица2[[#This Row],[2025]])</f>
        <v>7.66326674373863</v>
      </c>
      <c r="E74" s="6" t="str">
        <f t="shared" si="8"/>
        <v>ОК</v>
      </c>
    </row>
    <row r="75" spans="1:5">
      <c r="A75" s="5" t="s">
        <v>93</v>
      </c>
      <c r="B75" s="5">
        <f>MATCH(Таблица2[[#This Row],[2025]],Таблица3[Ниж. Гран],1)</f>
        <v>2</v>
      </c>
      <c r="C75" s="6">
        <v>2127.3</v>
      </c>
      <c r="D75" s="6">
        <f>LN(Таблица2[[#This Row],[2025]])</f>
        <v>7.66260884897806</v>
      </c>
      <c r="E75" s="6" t="str">
        <f t="shared" si="8"/>
        <v>ОК</v>
      </c>
    </row>
    <row r="76" spans="1:5">
      <c r="A76" s="5" t="s">
        <v>86</v>
      </c>
      <c r="B76" s="5">
        <f>MATCH(Таблица2[[#This Row],[2025]],Таблица3[Ниж. Гран],1)</f>
        <v>2</v>
      </c>
      <c r="C76" s="6">
        <v>2125.2</v>
      </c>
      <c r="D76" s="6">
        <f>LN(Таблица2[[#This Row],[2025]])</f>
        <v>7.66162119457679</v>
      </c>
      <c r="E76" s="6" t="str">
        <f t="shared" si="8"/>
        <v>ОК</v>
      </c>
    </row>
    <row r="77" spans="1:5">
      <c r="A77" s="5" t="s">
        <v>129</v>
      </c>
      <c r="B77" s="5">
        <f>MATCH(Таблица2[[#This Row],[2025]],Таблица3[Ниж. Гран],1)</f>
        <v>2</v>
      </c>
      <c r="C77" s="6">
        <v>2123.2</v>
      </c>
      <c r="D77" s="6">
        <f>LN(Таблица2[[#This Row],[2025]])</f>
        <v>7.66067966357794</v>
      </c>
      <c r="E77" s="6" t="str">
        <f t="shared" si="8"/>
        <v>ОК</v>
      </c>
    </row>
    <row r="78" spans="1:5">
      <c r="A78" s="5" t="s">
        <v>33</v>
      </c>
      <c r="B78" s="5">
        <f>MATCH(Таблица2[[#This Row],[2025]],Таблица3[Ниж. Гран],1)</f>
        <v>2</v>
      </c>
      <c r="C78" s="6">
        <v>2122</v>
      </c>
      <c r="D78" s="6">
        <f>LN(Таблица2[[#This Row],[2025]])</f>
        <v>7.66011431917393</v>
      </c>
      <c r="E78" s="6" t="str">
        <f t="shared" si="8"/>
        <v>ОК</v>
      </c>
    </row>
    <row r="79" spans="1:5">
      <c r="A79" s="5" t="s">
        <v>53</v>
      </c>
      <c r="B79" s="5">
        <f>MATCH(Таблица2[[#This Row],[2025]],Таблица3[Ниж. Гран],1)</f>
        <v>2</v>
      </c>
      <c r="C79" s="6">
        <v>2116.6</v>
      </c>
      <c r="D79" s="6">
        <f>LN(Таблица2[[#This Row],[2025]])</f>
        <v>7.65756630665962</v>
      </c>
      <c r="E79" s="6" t="str">
        <f t="shared" si="8"/>
        <v>ОК</v>
      </c>
    </row>
    <row r="80" spans="1:5">
      <c r="A80" s="5" t="s">
        <v>56</v>
      </c>
      <c r="B80" s="5">
        <f>MATCH(Таблица2[[#This Row],[2025]],Таблица3[Ниж. Гран],1)</f>
        <v>2</v>
      </c>
      <c r="C80" s="6">
        <v>2115</v>
      </c>
      <c r="D80" s="6">
        <f>LN(Таблица2[[#This Row],[2025]])</f>
        <v>7.65681009148038</v>
      </c>
      <c r="E80" s="6" t="str">
        <f t="shared" si="8"/>
        <v>ОК</v>
      </c>
    </row>
    <row r="81" spans="1:5">
      <c r="A81" s="5" t="s">
        <v>13</v>
      </c>
      <c r="B81" s="5">
        <f>MATCH(Таблица2[[#This Row],[2025]],Таблица3[Ниж. Гран],1)</f>
        <v>2</v>
      </c>
      <c r="C81" s="6">
        <v>2114.6</v>
      </c>
      <c r="D81" s="6">
        <f>LN(Таблица2[[#This Row],[2025]])</f>
        <v>7.65662094829843</v>
      </c>
      <c r="E81" s="6" t="str">
        <f t="shared" si="8"/>
        <v>ОК</v>
      </c>
    </row>
    <row r="82" spans="1:5">
      <c r="A82" s="5" t="s">
        <v>78</v>
      </c>
      <c r="B82" s="5">
        <f>MATCH(Таблица2[[#This Row],[2025]],Таблица3[Ниж. Гран],1)</f>
        <v>2</v>
      </c>
      <c r="C82" s="6">
        <v>2110.2</v>
      </c>
      <c r="D82" s="6">
        <f>LN(Таблица2[[#This Row],[2025]])</f>
        <v>7.65453800870799</v>
      </c>
      <c r="E82" s="6" t="str">
        <f t="shared" si="8"/>
        <v>ОК</v>
      </c>
    </row>
    <row r="83" spans="1:5">
      <c r="A83" s="5" t="s">
        <v>85</v>
      </c>
      <c r="B83" s="5">
        <f>MATCH(Таблица2[[#This Row],[2025]],Таблица3[Ниж. Гран],1)</f>
        <v>2</v>
      </c>
      <c r="C83" s="6">
        <v>2105.9</v>
      </c>
      <c r="D83" s="6">
        <f>LN(Таблица2[[#This Row],[2025]])</f>
        <v>7.65249820818573</v>
      </c>
      <c r="E83" s="6" t="str">
        <f t="shared" si="8"/>
        <v>ОК</v>
      </c>
    </row>
    <row r="84" spans="1:5">
      <c r="A84" s="5" t="s">
        <v>122</v>
      </c>
      <c r="B84" s="5">
        <f>MATCH(Таблица2[[#This Row],[2025]],Таблица3[Ниж. Гран],1)</f>
        <v>2</v>
      </c>
      <c r="C84" s="6">
        <v>2102.5</v>
      </c>
      <c r="D84" s="6">
        <f>LN(Таблица2[[#This Row],[2025]])</f>
        <v>7.6508823918471</v>
      </c>
      <c r="E84" s="6" t="str">
        <f t="shared" si="8"/>
        <v>ОК</v>
      </c>
    </row>
    <row r="85" spans="1:5">
      <c r="A85" s="5" t="s">
        <v>30</v>
      </c>
      <c r="B85" s="5">
        <f>MATCH(Таблица2[[#This Row],[2025]],Таблица3[Ниж. Гран],1)</f>
        <v>2</v>
      </c>
      <c r="C85" s="6">
        <v>2101.1</v>
      </c>
      <c r="D85" s="6">
        <f>LN(Таблица2[[#This Row],[2025]])</f>
        <v>7.650216296095</v>
      </c>
      <c r="E85" s="6" t="str">
        <f t="shared" si="8"/>
        <v>ОК</v>
      </c>
    </row>
    <row r="86" spans="1:5">
      <c r="A86" s="5" t="s">
        <v>80</v>
      </c>
      <c r="B86" s="5">
        <f>MATCH(Таблица2[[#This Row],[2025]],Таблица3[Ниж. Гран],1)</f>
        <v>2</v>
      </c>
      <c r="C86" s="6">
        <v>2097.6</v>
      </c>
      <c r="D86" s="6">
        <f>LN(Таблица2[[#This Row],[2025]])</f>
        <v>7.64854911300944</v>
      </c>
      <c r="E86" s="6" t="str">
        <f t="shared" si="8"/>
        <v>ОК</v>
      </c>
    </row>
    <row r="87" spans="1:5">
      <c r="A87" s="5" t="s">
        <v>67</v>
      </c>
      <c r="B87" s="5">
        <f>MATCH(Таблица2[[#This Row],[2025]],Таблица3[Ниж. Гран],1)</f>
        <v>2</v>
      </c>
      <c r="C87" s="6">
        <v>2080.1</v>
      </c>
      <c r="D87" s="6">
        <f>LN(Таблица2[[#This Row],[2025]])</f>
        <v>7.64017124846278</v>
      </c>
      <c r="E87" s="6" t="str">
        <f t="shared" si="8"/>
        <v>ОК</v>
      </c>
    </row>
    <row r="88" spans="1:5">
      <c r="A88" s="5" t="s">
        <v>39</v>
      </c>
      <c r="B88" s="5">
        <f>MATCH(Таблица2[[#This Row],[2025]],Таблица3[Ниж. Гран],1)</f>
        <v>2</v>
      </c>
      <c r="C88" s="6">
        <v>2075.8</v>
      </c>
      <c r="D88" s="6">
        <f>LN(Таблица2[[#This Row],[2025]])</f>
        <v>7.63810190053119</v>
      </c>
      <c r="E88" s="6" t="str">
        <f t="shared" si="8"/>
        <v>ОК</v>
      </c>
    </row>
    <row r="89" spans="1:5">
      <c r="A89" s="5" t="s">
        <v>51</v>
      </c>
      <c r="B89" s="5">
        <f>MATCH(Таблица2[[#This Row],[2025]],Таблица3[Ниж. Гран],1)</f>
        <v>2</v>
      </c>
      <c r="C89" s="6">
        <v>2066.7</v>
      </c>
      <c r="D89" s="6">
        <f>LN(Таблица2[[#This Row],[2025]])</f>
        <v>7.63370841126726</v>
      </c>
      <c r="E89" s="6" t="str">
        <f t="shared" si="8"/>
        <v>ОК</v>
      </c>
    </row>
    <row r="90" spans="1:5">
      <c r="A90" s="5" t="s">
        <v>120</v>
      </c>
      <c r="B90" s="5">
        <f>MATCH(Таблица2[[#This Row],[2025]],Таблица3[Ниж. Гран],1)</f>
        <v>2</v>
      </c>
      <c r="C90" s="6">
        <v>2066</v>
      </c>
      <c r="D90" s="6">
        <f>LN(Таблица2[[#This Row],[2025]])</f>
        <v>7.63336964967958</v>
      </c>
      <c r="E90" s="6" t="str">
        <f t="shared" si="8"/>
        <v>ОК</v>
      </c>
    </row>
    <row r="91" spans="1:5">
      <c r="A91" s="5" t="s">
        <v>32</v>
      </c>
      <c r="B91" s="5">
        <f>MATCH(Таблица2[[#This Row],[2025]],Таблица3[Ниж. Гран],1)</f>
        <v>2</v>
      </c>
      <c r="C91" s="6">
        <v>2060.7</v>
      </c>
      <c r="D91" s="6">
        <f>LN(Таблица2[[#This Row],[2025]])</f>
        <v>7.63080100988795</v>
      </c>
      <c r="E91" s="6" t="str">
        <f t="shared" si="8"/>
        <v>ОК</v>
      </c>
    </row>
    <row r="92" spans="1:5">
      <c r="A92" s="5" t="s">
        <v>126</v>
      </c>
      <c r="B92" s="5">
        <f>MATCH(Таблица2[[#This Row],[2025]],Таблица3[Ниж. Гран],1)</f>
        <v>2</v>
      </c>
      <c r="C92" s="6">
        <v>2060</v>
      </c>
      <c r="D92" s="6">
        <f>LN(Таблица2[[#This Row],[2025]])</f>
        <v>7.63046126178363</v>
      </c>
      <c r="E92" s="6" t="str">
        <f t="shared" si="8"/>
        <v>ОК</v>
      </c>
    </row>
    <row r="93" spans="1:5">
      <c r="A93" s="5" t="s">
        <v>70</v>
      </c>
      <c r="B93" s="5">
        <f>MATCH(Таблица2[[#This Row],[2025]],Таблица3[Ниж. Гран],1)</f>
        <v>2</v>
      </c>
      <c r="C93" s="6">
        <v>2039</v>
      </c>
      <c r="D93" s="6">
        <f>LN(Таблица2[[#This Row],[2025]])</f>
        <v>7.62021477057445</v>
      </c>
      <c r="E93" s="6" t="str">
        <f t="shared" si="8"/>
        <v>ОК</v>
      </c>
    </row>
    <row r="94" spans="1:5">
      <c r="A94" s="5" t="s">
        <v>42</v>
      </c>
      <c r="B94" s="5">
        <f>MATCH(Таблица2[[#This Row],[2025]],Таблица3[Ниж. Гран],1)</f>
        <v>2</v>
      </c>
      <c r="C94" s="6">
        <v>2038.7</v>
      </c>
      <c r="D94" s="6">
        <f>LN(Таблица2[[#This Row],[2025]])</f>
        <v>7.62006762880309</v>
      </c>
      <c r="E94" s="6" t="str">
        <f t="shared" si="8"/>
        <v>ОК</v>
      </c>
    </row>
    <row r="95" spans="1:5">
      <c r="A95" s="5" t="s">
        <v>82</v>
      </c>
      <c r="B95" s="5">
        <f>MATCH(Таблица2[[#This Row],[2025]],Таблица3[Ниж. Гран],1)</f>
        <v>2</v>
      </c>
      <c r="C95" s="6">
        <v>2034.8</v>
      </c>
      <c r="D95" s="6">
        <f>LN(Таблица2[[#This Row],[2025]])</f>
        <v>7.61815281294861</v>
      </c>
      <c r="E95" s="6" t="str">
        <f t="shared" si="8"/>
        <v>ОК</v>
      </c>
    </row>
    <row r="96" spans="1:5">
      <c r="A96" s="5" t="s">
        <v>75</v>
      </c>
      <c r="B96" s="5">
        <f>MATCH(Таблица2[[#This Row],[2025]],Таблица3[Ниж. Гран],1)</f>
        <v>2</v>
      </c>
      <c r="C96" s="6">
        <v>2020.3</v>
      </c>
      <c r="D96" s="6">
        <f>LN(Таблица2[[#This Row],[2025]])</f>
        <v>7.6110012942195</v>
      </c>
      <c r="E96" s="6" t="str">
        <f t="shared" si="8"/>
        <v>ОК</v>
      </c>
    </row>
    <row r="97" spans="1:5">
      <c r="A97" s="5" t="s">
        <v>124</v>
      </c>
      <c r="B97" s="5">
        <f>MATCH(Таблица2[[#This Row],[2025]],Таблица3[Ниж. Гран],1)</f>
        <v>2</v>
      </c>
      <c r="C97" s="6">
        <v>2018.8</v>
      </c>
      <c r="D97" s="6">
        <f>LN(Таблица2[[#This Row],[2025]])</f>
        <v>7.61025855446611</v>
      </c>
      <c r="E97" s="6" t="str">
        <f t="shared" si="8"/>
        <v>ОК</v>
      </c>
    </row>
    <row r="98" spans="1:5">
      <c r="A98" s="5" t="s">
        <v>54</v>
      </c>
      <c r="B98" s="5">
        <f>MATCH(Таблица2[[#This Row],[2025]],Таблица3[Ниж. Гран],1)</f>
        <v>2</v>
      </c>
      <c r="C98" s="6">
        <v>2008.5</v>
      </c>
      <c r="D98" s="6">
        <f>LN(Таблица2[[#This Row],[2025]])</f>
        <v>7.60514345379934</v>
      </c>
      <c r="E98" s="6" t="str">
        <f t="shared" si="8"/>
        <v>ОК</v>
      </c>
    </row>
    <row r="99" spans="1:5">
      <c r="A99" s="5" t="s">
        <v>55</v>
      </c>
      <c r="B99" s="5">
        <f>MATCH(Таблица2[[#This Row],[2025]],Таблица3[Ниж. Гран],1)</f>
        <v>2</v>
      </c>
      <c r="C99" s="6">
        <v>2005.2</v>
      </c>
      <c r="D99" s="6">
        <f>LN(Таблица2[[#This Row],[2025]])</f>
        <v>7.60349908538935</v>
      </c>
      <c r="E99" s="6" t="str">
        <f t="shared" ref="E99:E130" si="9">IF(OR(C99&gt;3*$G$4,C99&lt;$G$4/3),"ВЫБРОС","ОК")</f>
        <v>ОК</v>
      </c>
    </row>
    <row r="100" spans="1:5">
      <c r="A100" s="5" t="s">
        <v>21</v>
      </c>
      <c r="B100" s="5">
        <f>MATCH(Таблица2[[#This Row],[2025]],Таблица3[Ниж. Гран],1)</f>
        <v>2</v>
      </c>
      <c r="C100" s="6">
        <v>2002.9</v>
      </c>
      <c r="D100" s="6">
        <f>LN(Таблица2[[#This Row],[2025]])</f>
        <v>7.60235140930719</v>
      </c>
      <c r="E100" s="6" t="str">
        <f t="shared" si="9"/>
        <v>ОК</v>
      </c>
    </row>
    <row r="101" spans="1:5">
      <c r="A101" s="5" t="s">
        <v>41</v>
      </c>
      <c r="B101" s="5">
        <f>MATCH(Таблица2[[#This Row],[2025]],Таблица3[Ниж. Гран],1)</f>
        <v>2</v>
      </c>
      <c r="C101" s="6">
        <v>2002.5</v>
      </c>
      <c r="D101" s="6">
        <f>LN(Таблица2[[#This Row],[2025]])</f>
        <v>7.60215167894251</v>
      </c>
      <c r="E101" s="6" t="str">
        <f t="shared" si="9"/>
        <v>ОК</v>
      </c>
    </row>
    <row r="102" spans="1:5">
      <c r="A102" s="5" t="s">
        <v>119</v>
      </c>
      <c r="B102" s="5">
        <f>MATCH(Таблица2[[#This Row],[2025]],Таблица3[Ниж. Гран],1)</f>
        <v>2</v>
      </c>
      <c r="C102" s="6">
        <v>1998.5</v>
      </c>
      <c r="D102" s="6">
        <f>LN(Таблица2[[#This Row],[2025]])</f>
        <v>7.60015217815138</v>
      </c>
      <c r="E102" s="6" t="str">
        <f t="shared" si="9"/>
        <v>ОК</v>
      </c>
    </row>
    <row r="103" spans="1:5">
      <c r="A103" s="5" t="s">
        <v>35</v>
      </c>
      <c r="B103" s="5">
        <f>MATCH(Таблица2[[#This Row],[2025]],Таблица3[Ниж. Гран],1)</f>
        <v>2</v>
      </c>
      <c r="C103" s="6">
        <v>1987.8</v>
      </c>
      <c r="D103" s="6">
        <f>LN(Таблица2[[#This Row],[2025]])</f>
        <v>7.59478377853391</v>
      </c>
      <c r="E103" s="6" t="str">
        <f t="shared" si="9"/>
        <v>ОК</v>
      </c>
    </row>
    <row r="104" spans="1:5">
      <c r="A104" s="5" t="s">
        <v>63</v>
      </c>
      <c r="B104" s="5">
        <f>MATCH(Таблица2[[#This Row],[2025]],Таблица3[Ниж. Гран],1)</f>
        <v>2</v>
      </c>
      <c r="C104" s="6">
        <v>1982.9</v>
      </c>
      <c r="D104" s="6">
        <f>LN(Таблица2[[#This Row],[2025]])</f>
        <v>7.59231569860476</v>
      </c>
      <c r="E104" s="6" t="str">
        <f t="shared" si="9"/>
        <v>ОК</v>
      </c>
    </row>
    <row r="105" spans="1:5">
      <c r="A105" s="5" t="s">
        <v>26</v>
      </c>
      <c r="B105" s="5">
        <f>MATCH(Таблица2[[#This Row],[2025]],Таблица3[Ниж. Гран],1)</f>
        <v>2</v>
      </c>
      <c r="C105" s="6">
        <v>1979.1</v>
      </c>
      <c r="D105" s="6">
        <f>LN(Таблица2[[#This Row],[2025]])</f>
        <v>7.59039747489693</v>
      </c>
      <c r="E105" s="6" t="str">
        <f t="shared" si="9"/>
        <v>ОК</v>
      </c>
    </row>
    <row r="106" spans="1:5">
      <c r="A106" s="5" t="s">
        <v>9</v>
      </c>
      <c r="B106" s="5">
        <f>MATCH(Таблица2[[#This Row],[2025]],Таблица3[Ниж. Гран],1)</f>
        <v>2</v>
      </c>
      <c r="C106" s="6">
        <v>1971.8</v>
      </c>
      <c r="D106" s="6">
        <f>LN(Таблица2[[#This Row],[2025]])</f>
        <v>7.58670211014094</v>
      </c>
      <c r="E106" s="6" t="str">
        <f t="shared" si="9"/>
        <v>ОК</v>
      </c>
    </row>
    <row r="107" spans="1:5">
      <c r="A107" s="5" t="s">
        <v>52</v>
      </c>
      <c r="B107" s="5">
        <f>MATCH(Таблица2[[#This Row],[2025]],Таблица3[Ниж. Гран],1)</f>
        <v>2</v>
      </c>
      <c r="C107" s="6">
        <v>1961.6</v>
      </c>
      <c r="D107" s="6">
        <f>LN(Таблица2[[#This Row],[2025]])</f>
        <v>7.58151574574189</v>
      </c>
      <c r="E107" s="6" t="str">
        <f t="shared" si="9"/>
        <v>ОК</v>
      </c>
    </row>
    <row r="108" spans="1:5">
      <c r="A108" s="5" t="s">
        <v>125</v>
      </c>
      <c r="B108" s="5">
        <f>MATCH(Таблица2[[#This Row],[2025]],Таблица3[Ниж. Гран],1)</f>
        <v>2</v>
      </c>
      <c r="C108" s="6">
        <v>1953.3</v>
      </c>
      <c r="D108" s="6">
        <f>LN(Таблица2[[#This Row],[2025]])</f>
        <v>7.57727552891093</v>
      </c>
      <c r="E108" s="6" t="str">
        <f t="shared" si="9"/>
        <v>ОК</v>
      </c>
    </row>
    <row r="109" spans="1:5">
      <c r="A109" s="5" t="s">
        <v>121</v>
      </c>
      <c r="B109" s="5">
        <f>MATCH(Таблица2[[#This Row],[2025]],Таблица3[Ниж. Гран],1)</f>
        <v>2</v>
      </c>
      <c r="C109" s="6">
        <v>1952.4</v>
      </c>
      <c r="D109" s="6">
        <f>LN(Таблица2[[#This Row],[2025]])</f>
        <v>7.57681466401299</v>
      </c>
      <c r="E109" s="6" t="str">
        <f t="shared" si="9"/>
        <v>ОК</v>
      </c>
    </row>
    <row r="110" spans="1:5">
      <c r="A110" s="5" t="s">
        <v>61</v>
      </c>
      <c r="B110" s="5">
        <f>MATCH(Таблица2[[#This Row],[2025]],Таблица3[Ниж. Гран],1)</f>
        <v>2</v>
      </c>
      <c r="C110" s="6">
        <v>1948.2</v>
      </c>
      <c r="D110" s="6">
        <f>LN(Таблица2[[#This Row],[2025]])</f>
        <v>7.57466114833686</v>
      </c>
      <c r="E110" s="6" t="str">
        <f t="shared" si="9"/>
        <v>ОК</v>
      </c>
    </row>
    <row r="111" spans="1:5">
      <c r="A111" s="5" t="s">
        <v>79</v>
      </c>
      <c r="B111" s="5">
        <f>MATCH(Таблица2[[#This Row],[2025]],Таблица3[Ниж. Гран],1)</f>
        <v>1</v>
      </c>
      <c r="C111" s="6">
        <v>1940.9</v>
      </c>
      <c r="D111" s="6">
        <f>LN(Таблица2[[#This Row],[2025]])</f>
        <v>7.57090706200668</v>
      </c>
      <c r="E111" s="6" t="str">
        <f t="shared" si="9"/>
        <v>ОК</v>
      </c>
    </row>
    <row r="112" spans="1:5">
      <c r="A112" s="5" t="s">
        <v>130</v>
      </c>
      <c r="B112" s="5">
        <f>MATCH(Таблица2[[#This Row],[2025]],Таблица3[Ниж. Гран],1)</f>
        <v>1</v>
      </c>
      <c r="C112" s="6">
        <v>1940.3</v>
      </c>
      <c r="D112" s="6">
        <f>LN(Таблица2[[#This Row],[2025]])</f>
        <v>7.57059787927723</v>
      </c>
      <c r="E112" s="6" t="str">
        <f t="shared" si="9"/>
        <v>ОК</v>
      </c>
    </row>
    <row r="113" spans="1:5">
      <c r="A113" s="5" t="s">
        <v>31</v>
      </c>
      <c r="B113" s="5">
        <f>MATCH(Таблица2[[#This Row],[2025]],Таблица3[Ниж. Гран],1)</f>
        <v>1</v>
      </c>
      <c r="C113" s="6">
        <v>1930.8</v>
      </c>
      <c r="D113" s="6">
        <f>LN(Таблица2[[#This Row],[2025]])</f>
        <v>7.56568970378634</v>
      </c>
      <c r="E113" s="6" t="str">
        <f t="shared" si="9"/>
        <v>ОК</v>
      </c>
    </row>
    <row r="114" spans="1:5">
      <c r="A114" s="5" t="s">
        <v>69</v>
      </c>
      <c r="B114" s="5">
        <f>MATCH(Таблица2[[#This Row],[2025]],Таблица3[Ниж. Гран],1)</f>
        <v>1</v>
      </c>
      <c r="C114" s="6">
        <v>1927.9</v>
      </c>
      <c r="D114" s="6">
        <f>LN(Таблица2[[#This Row],[2025]])</f>
        <v>7.56418660660542</v>
      </c>
      <c r="E114" s="6" t="str">
        <f t="shared" si="9"/>
        <v>ОК</v>
      </c>
    </row>
    <row r="115" spans="1:5">
      <c r="A115" s="5" t="s">
        <v>46</v>
      </c>
      <c r="B115" s="5">
        <f>MATCH(Таблица2[[#This Row],[2025]],Таблица3[Ниж. Гран],1)</f>
        <v>1</v>
      </c>
      <c r="C115" s="6">
        <v>1927</v>
      </c>
      <c r="D115" s="6">
        <f>LN(Таблица2[[#This Row],[2025]])</f>
        <v>7.56371966841437</v>
      </c>
      <c r="E115" s="6" t="str">
        <f t="shared" si="9"/>
        <v>ОК</v>
      </c>
    </row>
    <row r="116" spans="1:5">
      <c r="A116" s="5" t="s">
        <v>137</v>
      </c>
      <c r="B116" s="5">
        <f>MATCH(Таблица2[[#This Row],[2025]],Таблица3[Ниж. Гран],1)</f>
        <v>1</v>
      </c>
      <c r="C116" s="6">
        <v>1924.4</v>
      </c>
      <c r="D116" s="6">
        <f>LN(Таблица2[[#This Row],[2025]])</f>
        <v>7.5623695098253</v>
      </c>
      <c r="E116" s="6" t="str">
        <f t="shared" si="9"/>
        <v>ОК</v>
      </c>
    </row>
    <row r="117" spans="1:5">
      <c r="A117" s="5" t="s">
        <v>136</v>
      </c>
      <c r="B117" s="5">
        <f>MATCH(Таблица2[[#This Row],[2025]],Таблица3[Ниж. Гран],1)</f>
        <v>1</v>
      </c>
      <c r="C117" s="6">
        <v>1924.3</v>
      </c>
      <c r="D117" s="6">
        <f>LN(Таблица2[[#This Row],[2025]])</f>
        <v>7.56231754422651</v>
      </c>
      <c r="E117" s="6" t="str">
        <f t="shared" si="9"/>
        <v>ОК</v>
      </c>
    </row>
    <row r="118" spans="1:5">
      <c r="A118" s="5" t="s">
        <v>132</v>
      </c>
      <c r="B118" s="5">
        <f>MATCH(Таблица2[[#This Row],[2025]],Таблица3[Ниж. Гран],1)</f>
        <v>1</v>
      </c>
      <c r="C118" s="6">
        <v>1913.1</v>
      </c>
      <c r="D118" s="6">
        <f>LN(Таблица2[[#This Row],[2025]])</f>
        <v>7.55648024198934</v>
      </c>
      <c r="E118" s="6" t="str">
        <f t="shared" si="9"/>
        <v>ОК</v>
      </c>
    </row>
    <row r="119" spans="1:5">
      <c r="A119" s="5" t="s">
        <v>60</v>
      </c>
      <c r="B119" s="5">
        <f>MATCH(Таблица2[[#This Row],[2025]],Таблица3[Ниж. Гран],1)</f>
        <v>1</v>
      </c>
      <c r="C119" s="6">
        <v>1905.6</v>
      </c>
      <c r="D119" s="6">
        <f>LN(Таблица2[[#This Row],[2025]])</f>
        <v>7.55255219860104</v>
      </c>
      <c r="E119" s="6" t="str">
        <f t="shared" si="9"/>
        <v>ОК</v>
      </c>
    </row>
    <row r="120" spans="1:5">
      <c r="A120" s="5" t="s">
        <v>27</v>
      </c>
      <c r="B120" s="5">
        <f>MATCH(Таблица2[[#This Row],[2025]],Таблица3[Ниж. Гран],1)</f>
        <v>1</v>
      </c>
      <c r="C120" s="6">
        <v>1898.7</v>
      </c>
      <c r="D120" s="6">
        <f>LN(Таблица2[[#This Row],[2025]])</f>
        <v>7.54892472044937</v>
      </c>
      <c r="E120" s="6" t="str">
        <f t="shared" si="9"/>
        <v>ОК</v>
      </c>
    </row>
    <row r="121" spans="1:5">
      <c r="A121" s="5" t="s">
        <v>50</v>
      </c>
      <c r="B121" s="5">
        <f>MATCH(Таблица2[[#This Row],[2025]],Таблица3[Ниж. Гран],1)</f>
        <v>1</v>
      </c>
      <c r="C121" s="6">
        <v>1896.1</v>
      </c>
      <c r="D121" s="6">
        <f>LN(Таблица2[[#This Row],[2025]])</f>
        <v>7.54755442404016</v>
      </c>
      <c r="E121" s="6" t="str">
        <f t="shared" si="9"/>
        <v>ОК</v>
      </c>
    </row>
    <row r="122" spans="1:5">
      <c r="A122" s="5" t="s">
        <v>135</v>
      </c>
      <c r="B122" s="5">
        <f>MATCH(Таблица2[[#This Row],[2025]],Таблица3[Ниж. Гран],1)</f>
        <v>1</v>
      </c>
      <c r="C122" s="6">
        <v>1895.3</v>
      </c>
      <c r="D122" s="6">
        <f>LN(Таблица2[[#This Row],[2025]])</f>
        <v>7.54713241633225</v>
      </c>
      <c r="E122" s="6" t="str">
        <f t="shared" si="9"/>
        <v>ОК</v>
      </c>
    </row>
    <row r="123" spans="1:5">
      <c r="A123" s="5" t="s">
        <v>123</v>
      </c>
      <c r="B123" s="5">
        <f>MATCH(Таблица2[[#This Row],[2025]],Таблица3[Ниж. Гран],1)</f>
        <v>1</v>
      </c>
      <c r="C123" s="6">
        <v>1891.5</v>
      </c>
      <c r="D123" s="6">
        <f>LN(Таблица2[[#This Row],[2025]])</f>
        <v>7.54512544407308</v>
      </c>
      <c r="E123" s="6" t="str">
        <f t="shared" si="9"/>
        <v>ОК</v>
      </c>
    </row>
    <row r="124" spans="1:5">
      <c r="A124" s="5" t="s">
        <v>64</v>
      </c>
      <c r="B124" s="5">
        <f>MATCH(Таблица2[[#This Row],[2025]],Таблица3[Ниж. Гран],1)</f>
        <v>1</v>
      </c>
      <c r="C124" s="6">
        <v>1875.4</v>
      </c>
      <c r="D124" s="6">
        <f>LN(Таблица2[[#This Row],[2025]])</f>
        <v>7.53657724898552</v>
      </c>
      <c r="E124" s="6" t="str">
        <f t="shared" si="9"/>
        <v>ОК</v>
      </c>
    </row>
    <row r="125" spans="1:5">
      <c r="A125" s="5" t="s">
        <v>36</v>
      </c>
      <c r="B125" s="5">
        <f>MATCH(Таблица2[[#This Row],[2025]],Таблица3[Ниж. Гран],1)</f>
        <v>1</v>
      </c>
      <c r="C125" s="6">
        <v>1869.8</v>
      </c>
      <c r="D125" s="6">
        <f>LN(Таблица2[[#This Row],[2025]])</f>
        <v>7.53358675225722</v>
      </c>
      <c r="E125" s="6" t="str">
        <f t="shared" si="9"/>
        <v>ОК</v>
      </c>
    </row>
    <row r="126" spans="1:5">
      <c r="A126" s="5" t="s">
        <v>134</v>
      </c>
      <c r="B126" s="5">
        <f>MATCH(Таблица2[[#This Row],[2025]],Таблица3[Ниж. Гран],1)</f>
        <v>1</v>
      </c>
      <c r="C126" s="6">
        <v>1862.2</v>
      </c>
      <c r="D126" s="6">
        <f>LN(Таблица2[[#This Row],[2025]])</f>
        <v>7.52951386345443</v>
      </c>
      <c r="E126" s="6" t="str">
        <f t="shared" si="9"/>
        <v>ОК</v>
      </c>
    </row>
    <row r="127" spans="1:5">
      <c r="A127" s="5" t="s">
        <v>43</v>
      </c>
      <c r="B127" s="5">
        <f>MATCH(Таблица2[[#This Row],[2025]],Таблица3[Ниж. Гран],1)</f>
        <v>1</v>
      </c>
      <c r="C127" s="6">
        <v>1852.9</v>
      </c>
      <c r="D127" s="6">
        <f>LN(Таблица2[[#This Row],[2025]])</f>
        <v>7.52450725828837</v>
      </c>
      <c r="E127" s="6" t="str">
        <f t="shared" si="9"/>
        <v>ОК</v>
      </c>
    </row>
    <row r="128" spans="1:5">
      <c r="A128" s="5" t="s">
        <v>128</v>
      </c>
      <c r="B128" s="5">
        <f>MATCH(Таблица2[[#This Row],[2025]],Таблица3[Ниж. Гран],1)</f>
        <v>1</v>
      </c>
      <c r="C128" s="6">
        <v>1844.8</v>
      </c>
      <c r="D128" s="6">
        <f>LN(Таблица2[[#This Row],[2025]])</f>
        <v>7.52012614951479</v>
      </c>
      <c r="E128" s="6" t="str">
        <f t="shared" si="9"/>
        <v>ОК</v>
      </c>
    </row>
    <row r="129" spans="1:5">
      <c r="A129" s="5" t="s">
        <v>59</v>
      </c>
      <c r="B129" s="5">
        <f>MATCH(Таблица2[[#This Row],[2025]],Таблица3[Ниж. Гран],1)</f>
        <v>1</v>
      </c>
      <c r="C129" s="6">
        <v>1842.6</v>
      </c>
      <c r="D129" s="6">
        <f>LN(Таблица2[[#This Row],[2025]])</f>
        <v>7.51893289667483</v>
      </c>
      <c r="E129" s="6" t="str">
        <f t="shared" si="9"/>
        <v>ОК</v>
      </c>
    </row>
    <row r="130" spans="1:5">
      <c r="A130" s="5" t="s">
        <v>40</v>
      </c>
      <c r="B130" s="5">
        <f>MATCH(Таблица2[[#This Row],[2025]],Таблица3[Ниж. Гран],1)</f>
        <v>1</v>
      </c>
      <c r="C130" s="6">
        <v>1830</v>
      </c>
      <c r="D130" s="6">
        <f>LN(Таблица2[[#This Row],[2025]])</f>
        <v>7.51207124583547</v>
      </c>
      <c r="E130" s="6" t="str">
        <f t="shared" si="9"/>
        <v>ОК</v>
      </c>
    </row>
    <row r="131" spans="1:5">
      <c r="A131" s="13" t="s">
        <v>45</v>
      </c>
      <c r="B131" s="13">
        <f>MATCH(Таблица2[[#This Row],[2025]],Таблица3[Ниж. Гран],1)</f>
        <v>1</v>
      </c>
      <c r="C131" s="6">
        <v>1751.3</v>
      </c>
      <c r="D131" s="6">
        <f>LN(Таблица2[[#This Row],[2025]])</f>
        <v>7.46811364827862</v>
      </c>
      <c r="E131" s="6" t="str">
        <f t="shared" ref="E131" si="10">IF(OR(C131&gt;3*$G$4,C131&lt;$G$4/3),"ВЫБРОС","ОК")</f>
        <v>ОК</v>
      </c>
    </row>
  </sheetData>
  <sortState ref="A3:C131">
    <sortCondition ref="C3:C131" descending="1"/>
  </sortState>
  <pageMargins left="0.7" right="0.7" top="0.75" bottom="0.75" header="0.3" footer="0.3"/>
  <headerFooter/>
  <drawing r:id="rId1"/>
  <tableParts count="5"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6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SPecialiST RePack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10218000003</vt:lpstr>
      <vt:lpstr>Лист2</vt:lpstr>
      <vt:lpstr>Лист3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</dc:creator>
  <cp:lastModifiedBy>sasha</cp:lastModifiedBy>
  <dcterms:created xsi:type="dcterms:W3CDTF">2024-04-26T17:31:00Z</dcterms:created>
  <cp:lastPrinted>2024-04-26T17:33:00Z</cp:lastPrinted>
  <dcterms:modified xsi:type="dcterms:W3CDTF">2026-10-16T03:24:36Z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