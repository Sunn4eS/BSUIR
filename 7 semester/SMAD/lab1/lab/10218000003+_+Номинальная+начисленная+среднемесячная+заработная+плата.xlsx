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62" windowHeight="17955" activeTab="2"/>
  </bookViews>
  <sheets>
    <sheet name="10218000003" sheetId="1" r:id="rId1"/>
    <sheet name="Лист2" sheetId="2" r:id="rId2"/>
    <sheet name="Пункт3_Закон_распределения" sheetId="4" r:id="rId3"/>
    <sheet name="Пункт4_Сложение_дисперсий" sheetId="5" r:id="rId4"/>
  </sheets>
  <calcPr calcId="144525"/>
</workbook>
</file>

<file path=xl/sharedStrings.xml><?xml version="1.0" encoding="utf-8"?>
<sst xmlns="http://schemas.openxmlformats.org/spreadsheetml/2006/main" count="460" uniqueCount="256">
  <si>
    <t>Номинальная начисленная среднемесячная заработная плата по территории Республики Беларусь</t>
  </si>
  <si>
    <t>руб.</t>
  </si>
  <si>
    <t>Территория Республики Беларусь</t>
  </si>
  <si>
    <t>2025</t>
  </si>
  <si>
    <t>Республика Беларусь</t>
  </si>
  <si>
    <t xml:space="preserve">    Брестская область</t>
  </si>
  <si>
    <t xml:space="preserve">        Барановичский</t>
  </si>
  <si>
    <t xml:space="preserve">        Берёзовский</t>
  </si>
  <si>
    <t xml:space="preserve">        Брестский</t>
  </si>
  <si>
    <t xml:space="preserve">        Ганцевичский</t>
  </si>
  <si>
    <t xml:space="preserve">        Дрогичинский</t>
  </si>
  <si>
    <t xml:space="preserve">        Жабинковский</t>
  </si>
  <si>
    <t xml:space="preserve">        Ивановский</t>
  </si>
  <si>
    <t xml:space="preserve">        Ивацевичский</t>
  </si>
  <si>
    <t xml:space="preserve">        Каменецкий</t>
  </si>
  <si>
    <t xml:space="preserve">        Кобринский</t>
  </si>
  <si>
    <t xml:space="preserve">        Лунинецкий</t>
  </si>
  <si>
    <t xml:space="preserve">        Ляховичский</t>
  </si>
  <si>
    <t xml:space="preserve">        Малоритский</t>
  </si>
  <si>
    <t xml:space="preserve">        Пинский</t>
  </si>
  <si>
    <t xml:space="preserve">        Пружанский</t>
  </si>
  <si>
    <t xml:space="preserve">        Столинский</t>
  </si>
  <si>
    <t xml:space="preserve">        г. Брест</t>
  </si>
  <si>
    <t xml:space="preserve">        г. Барановичи</t>
  </si>
  <si>
    <t xml:space="preserve">        г. Пинск</t>
  </si>
  <si>
    <t xml:space="preserve">    Витебская область</t>
  </si>
  <si>
    <t xml:space="preserve">        Бешенковичский</t>
  </si>
  <si>
    <t xml:space="preserve">        Браславский</t>
  </si>
  <si>
    <t xml:space="preserve">        Верхнедвинский</t>
  </si>
  <si>
    <t xml:space="preserve">        Витебский</t>
  </si>
  <si>
    <t xml:space="preserve">        Глубокский</t>
  </si>
  <si>
    <t xml:space="preserve">        Городокский</t>
  </si>
  <si>
    <t xml:space="preserve">        Докшицкий</t>
  </si>
  <si>
    <t xml:space="preserve">        Дубровенский</t>
  </si>
  <si>
    <t xml:space="preserve">        Лепельский</t>
  </si>
  <si>
    <t xml:space="preserve">        Лиозненский</t>
  </si>
  <si>
    <t xml:space="preserve">        Миорский</t>
  </si>
  <si>
    <t xml:space="preserve">        Оршанский</t>
  </si>
  <si>
    <t xml:space="preserve">        Полоцкий</t>
  </si>
  <si>
    <t xml:space="preserve">        Поставский</t>
  </si>
  <si>
    <t xml:space="preserve">        Россонский</t>
  </si>
  <si>
    <t xml:space="preserve">        Сенненский</t>
  </si>
  <si>
    <t xml:space="preserve">        Толочинский</t>
  </si>
  <si>
    <t xml:space="preserve">        Ушачский</t>
  </si>
  <si>
    <t xml:space="preserve">        Чашникский</t>
  </si>
  <si>
    <t xml:space="preserve">        Шарковщинский</t>
  </si>
  <si>
    <t xml:space="preserve">        Шумилинский</t>
  </si>
  <si>
    <t xml:space="preserve">        г. Витебск</t>
  </si>
  <si>
    <t xml:space="preserve">        г. Новополоцк</t>
  </si>
  <si>
    <t xml:space="preserve">    Гомельская область</t>
  </si>
  <si>
    <t xml:space="preserve">        Брагинский</t>
  </si>
  <si>
    <t xml:space="preserve">        Буда-Кошелевский</t>
  </si>
  <si>
    <t xml:space="preserve">        Ветковский</t>
  </si>
  <si>
    <t xml:space="preserve">        Гомельский</t>
  </si>
  <si>
    <t xml:space="preserve">        Добрушский</t>
  </si>
  <si>
    <t xml:space="preserve">        Ельский</t>
  </si>
  <si>
    <t xml:space="preserve">        Житковичский</t>
  </si>
  <si>
    <t xml:space="preserve">        Жлобинский</t>
  </si>
  <si>
    <t xml:space="preserve">        Калинковичский</t>
  </si>
  <si>
    <t xml:space="preserve">        Кормянский</t>
  </si>
  <si>
    <t xml:space="preserve">        Лельчицкий</t>
  </si>
  <si>
    <t xml:space="preserve">        Лоевский</t>
  </si>
  <si>
    <t xml:space="preserve">        Мозырский</t>
  </si>
  <si>
    <t xml:space="preserve">        Наровлянский</t>
  </si>
  <si>
    <t xml:space="preserve">        Октябрьский</t>
  </si>
  <si>
    <t xml:space="preserve">        Петриковский</t>
  </si>
  <si>
    <t xml:space="preserve">        Речицкий</t>
  </si>
  <si>
    <t xml:space="preserve">        Рогачевский</t>
  </si>
  <si>
    <t xml:space="preserve">        Светлогорский</t>
  </si>
  <si>
    <t xml:space="preserve">        Хойникский</t>
  </si>
  <si>
    <t xml:space="preserve">        Чечерский</t>
  </si>
  <si>
    <t xml:space="preserve">        г. Гомель</t>
  </si>
  <si>
    <t xml:space="preserve">    Гродненская область</t>
  </si>
  <si>
    <t xml:space="preserve">        Берестовицкий</t>
  </si>
  <si>
    <t xml:space="preserve">        Волковысский</t>
  </si>
  <si>
    <t xml:space="preserve">        Вороновский</t>
  </si>
  <si>
    <t xml:space="preserve">        Гродненский</t>
  </si>
  <si>
    <t xml:space="preserve">        Дятловский</t>
  </si>
  <si>
    <t xml:space="preserve">        Зельвенский</t>
  </si>
  <si>
    <t xml:space="preserve">        Ивьевский</t>
  </si>
  <si>
    <t xml:space="preserve">        Кореличский</t>
  </si>
  <si>
    <t xml:space="preserve">        Лидский</t>
  </si>
  <si>
    <t xml:space="preserve">        Мостовский</t>
  </si>
  <si>
    <t xml:space="preserve">        Новогрудский</t>
  </si>
  <si>
    <t xml:space="preserve">        Островецкий</t>
  </si>
  <si>
    <t xml:space="preserve">        Ошмянский</t>
  </si>
  <si>
    <t xml:space="preserve">        Свислочский</t>
  </si>
  <si>
    <t xml:space="preserve">        Слонимский</t>
  </si>
  <si>
    <t xml:space="preserve">        Сморгонский</t>
  </si>
  <si>
    <t xml:space="preserve">        Щучинский</t>
  </si>
  <si>
    <t xml:space="preserve">        г. Гродно</t>
  </si>
  <si>
    <t xml:space="preserve">    г. Минск</t>
  </si>
  <si>
    <t xml:space="preserve">    Минская область</t>
  </si>
  <si>
    <t xml:space="preserve">        Березинский</t>
  </si>
  <si>
    <t xml:space="preserve">        Борисовский</t>
  </si>
  <si>
    <t xml:space="preserve">        Вилейский</t>
  </si>
  <si>
    <t xml:space="preserve">        Воложинский</t>
  </si>
  <si>
    <t xml:space="preserve">        Дзержинский</t>
  </si>
  <si>
    <t xml:space="preserve">        Клецкий</t>
  </si>
  <si>
    <t xml:space="preserve">        Копыльский</t>
  </si>
  <si>
    <t xml:space="preserve">        Крупский</t>
  </si>
  <si>
    <t xml:space="preserve">        Логойский</t>
  </si>
  <si>
    <t xml:space="preserve">        Любанский</t>
  </si>
  <si>
    <t xml:space="preserve">        Минский</t>
  </si>
  <si>
    <t xml:space="preserve">        Молодечненский</t>
  </si>
  <si>
    <t xml:space="preserve">        Мядельский</t>
  </si>
  <si>
    <t xml:space="preserve">        Несвижский</t>
  </si>
  <si>
    <t xml:space="preserve">        Пуховичский</t>
  </si>
  <si>
    <t xml:space="preserve">        Слуцкий</t>
  </si>
  <si>
    <t xml:space="preserve">        Смолевичский</t>
  </si>
  <si>
    <t xml:space="preserve">        Солигорский</t>
  </si>
  <si>
    <t xml:space="preserve">        Стародорожский</t>
  </si>
  <si>
    <t xml:space="preserve">        Столбцовский</t>
  </si>
  <si>
    <t xml:space="preserve">        Узденский</t>
  </si>
  <si>
    <t xml:space="preserve">        Червенский</t>
  </si>
  <si>
    <t xml:space="preserve">        Не распределено по районам Минской области</t>
  </si>
  <si>
    <t xml:space="preserve">        г. Жодино</t>
  </si>
  <si>
    <t xml:space="preserve">    Могилевская область</t>
  </si>
  <si>
    <t xml:space="preserve">        Белыничский</t>
  </si>
  <si>
    <t xml:space="preserve">        Бобруйский</t>
  </si>
  <si>
    <t xml:space="preserve">        Быховский</t>
  </si>
  <si>
    <t xml:space="preserve">        Глусский</t>
  </si>
  <si>
    <t xml:space="preserve">        Горецкий</t>
  </si>
  <si>
    <t xml:space="preserve">        Дрибинский</t>
  </si>
  <si>
    <t xml:space="preserve">        Кировский</t>
  </si>
  <si>
    <t xml:space="preserve">        Климовичский</t>
  </si>
  <si>
    <t xml:space="preserve">        Кличевский</t>
  </si>
  <si>
    <t xml:space="preserve">        Костюковичский</t>
  </si>
  <si>
    <t xml:space="preserve">        Краснопольский</t>
  </si>
  <si>
    <t xml:space="preserve">        Кричевский</t>
  </si>
  <si>
    <t xml:space="preserve">        Круглянский</t>
  </si>
  <si>
    <t xml:space="preserve">        Могилевский</t>
  </si>
  <si>
    <t xml:space="preserve">        Мстиславский</t>
  </si>
  <si>
    <t xml:space="preserve">        Осиповичский</t>
  </si>
  <si>
    <t xml:space="preserve">        Славгородский</t>
  </si>
  <si>
    <t xml:space="preserve">        Хотимский</t>
  </si>
  <si>
    <t xml:space="preserve">        Чаусский</t>
  </si>
  <si>
    <t xml:space="preserve">        Чериковский</t>
  </si>
  <si>
    <t xml:space="preserve">        Шкловский</t>
  </si>
  <si>
    <t xml:space="preserve">        г. Могилев</t>
  </si>
  <si>
    <t xml:space="preserve">        г. Бобруйск</t>
  </si>
  <si>
    <t>Исходные данные</t>
  </si>
  <si>
    <t>таблица интервалов</t>
  </si>
  <si>
    <t>Выброс?</t>
  </si>
  <si>
    <t>Объём выборки N</t>
  </si>
  <si>
    <t>Интервал</t>
  </si>
  <si>
    <t>Ниж. Гран</t>
  </si>
  <si>
    <t>Верх. Гран.</t>
  </si>
  <si>
    <t>Середина</t>
  </si>
  <si>
    <t>Частота</t>
  </si>
  <si>
    <t>Отн. Частота</t>
  </si>
  <si>
    <t>накопл</t>
  </si>
  <si>
    <t>Ср Арифм</t>
  </si>
  <si>
    <t>Медиана</t>
  </si>
  <si>
    <t>Мода</t>
  </si>
  <si>
    <t>-</t>
  </si>
  <si>
    <t>Дисперсия(S^2)</t>
  </si>
  <si>
    <t>Квадратичное откл</t>
  </si>
  <si>
    <t>коэф вариации</t>
  </si>
  <si>
    <t>Однородна ли выборка</t>
  </si>
  <si>
    <t>Выбросов не обнаружено</t>
  </si>
  <si>
    <t>кол-во интервалов</t>
  </si>
  <si>
    <t>Итог</t>
  </si>
  <si>
    <t>Минимум</t>
  </si>
  <si>
    <t>Максимум</t>
  </si>
  <si>
    <t>шаг интервала</t>
  </si>
  <si>
    <t>&lt;-</t>
  </si>
  <si>
    <t>медиана</t>
  </si>
  <si>
    <t>Пункт 3. Проверка соответствия выборки закону распределения</t>
  </si>
  <si>
    <t>Гипотеза Н0 (по виду гистограммы п.2): генеральная совокупность распределена нормально.</t>
  </si>
  <si>
    <t>Оценки параметров: x̄ = 2225.07 руб.;  S = 310.27 руб.;  n = 129;  коэффициент вариации V = 13.94%.</t>
  </si>
  <si>
    <t>А. Критерий согласия Пирсона (χ²) для нормального закона</t>
  </si>
  <si>
    <t>№</t>
  </si>
  <si>
    <t>Ниж. гран. aᵢ</t>
  </si>
  <si>
    <t>Верх. гран. bᵢ</t>
  </si>
  <si>
    <t>Частота mᵢ</t>
  </si>
  <si>
    <t>z(bᵢ)=(bᵢ−x̄)/S</t>
  </si>
  <si>
    <t>z(aᵢ)</t>
  </si>
  <si>
    <t>Φ(bᵢ)</t>
  </si>
  <si>
    <t>Φ(aᵢ)</t>
  </si>
  <si>
    <t>pᵢ=Φ(bᵢ)−Φ(aᵢ)</t>
  </si>
  <si>
    <t>n·pᵢ</t>
  </si>
  <si>
    <t>(mᵢ−n·pᵢ)²/(n·pᵢ)</t>
  </si>
  <si>
    <t>−∞</t>
  </si>
  <si>
    <t>+∞</t>
  </si>
  <si>
    <t>Столбец 12 — до объединения интервалов; итоговый χ² — в таблице ниже.</t>
  </si>
  <si>
    <t>Объединение интервалов с n·pᵢ &lt; 5 и расчёт χ²</t>
  </si>
  <si>
    <t>Объединённые интервалы</t>
  </si>
  <si>
    <t>mᵢ</t>
  </si>
  <si>
    <t>1</t>
  </si>
  <si>
    <t>2</t>
  </si>
  <si>
    <t>3</t>
  </si>
  <si>
    <t>4</t>
  </si>
  <si>
    <t>5</t>
  </si>
  <si>
    <t>6–9</t>
  </si>
  <si>
    <t>χ²набл</t>
  </si>
  <si>
    <t>Число степеней свободы k = (число групп) − 3 = 6 − 3 = 3</t>
  </si>
  <si>
    <t>γ</t>
  </si>
  <si>
    <t>χ²кр(γ; k)</t>
  </si>
  <si>
    <t>Вывод</t>
  </si>
  <si>
    <t>Н0 отвергается</t>
  </si>
  <si>
    <t>Вывод по Пирсону: χ²набл = 13.58 &gt; χ²кр при всех уровнях → гипотеза о нормальном распределении отвергается.</t>
  </si>
  <si>
    <t>Б. Критерий Колмогорова для нормального закона</t>
  </si>
  <si>
    <t>bᵢ</t>
  </si>
  <si>
    <t>Накопл. частота</t>
  </si>
  <si>
    <t>Fэмп(bᵢ)</t>
  </si>
  <si>
    <t>Fтеор(bᵢ)</t>
  </si>
  <si>
    <t>|Fэмп − Fтеор|</t>
  </si>
  <si>
    <t>D = max|Fэмп − Fтеор|</t>
  </si>
  <si>
    <t>λ = D·√n</t>
  </si>
  <si>
    <t>λ = 1.393. Критические значения: λ0,05 = 1,36; λ0,01 = 1,63. Так как λ &gt; 1,36, гипотеза о нормальном распределении отвергается и на уровне 5%.</t>
  </si>
  <si>
    <t>В. Дополнительно: проверка логнормального закона (данные скошены вправо)</t>
  </si>
  <si>
    <t>Параметры: μln = 7.6989; σln = 0.1291; асимметрия выборки = 1.572; эксцесс = 3.151.</t>
  </si>
  <si>
    <t>pᵢ (логнорм.)</t>
  </si>
  <si>
    <t>[1751.3; 1941.2]</t>
  </si>
  <si>
    <t>[1941.2; 2131.2]</t>
  </si>
  <si>
    <t>[2131.2; 2321.1]</t>
  </si>
  <si>
    <t>[2321.1; 2511.1]</t>
  </si>
  <si>
    <t>[2511.1; 2701.0]</t>
  </si>
  <si>
    <t>[2701.0; 2891.0]</t>
  </si>
  <si>
    <t>[2891.0; 3080.9]</t>
  </si>
  <si>
    <t>[3080.9; 3270.9]</t>
  </si>
  <si>
    <t>[3270.9; 3460.8]</t>
  </si>
  <si>
    <t>χ²набл (после объединения)</t>
  </si>
  <si>
    <t>df = 3</t>
  </si>
  <si>
    <t>χ²кр(0,95;3) = 7.815</t>
  </si>
  <si>
    <t>Колмогоров: D, λ</t>
  </si>
  <si>
    <t>λ &lt; 1,36 — не отвергается</t>
  </si>
  <si>
    <t>Вывод по п.3: нормальный закон отвергается (Пирсоном и Колмогоровым). Выборка имеет правостороннюю асимметрию (As = 1.57), поэтому лучше описывается логнормальным законом: χ²набл = 7.17 при χ²кр = 7.81 (χ²&lt;χ²кр — не отвергается), λ = 1.03 &lt; 1,36 — гипотеза не отвергается.</t>
  </si>
  <si>
    <t>Пункт 4. Правило сложения дисперсий. Сравнение разбиений</t>
  </si>
  <si>
    <t>Общая дисперсия выборки (деление на n): σ²общ = Σ(xᵢ−x̄)²/n = 95518.56</t>
  </si>
  <si>
    <t>Правило: σ²общ = σ²межгрупповая + σ̄²внутригрупповая. Оценка качества разбиения — доля межгрупповой дисперсии η².</t>
  </si>
  <si>
    <t>Разбиение на s = 8 интервалов (шаг h = 213.6875)</t>
  </si>
  <si>
    <t>№ гр.</t>
  </si>
  <si>
    <t>Ниж. гран.</t>
  </si>
  <si>
    <t>Верх. гран.</t>
  </si>
  <si>
    <t>nᵢ</t>
  </si>
  <si>
    <t>x̄ᵢ (среднее группы)</t>
  </si>
  <si>
    <t>σᵢ² (внутригр. дисп.)</t>
  </si>
  <si>
    <t>nᵢ·σᵢ²</t>
  </si>
  <si>
    <t>nᵢ·(x̄ᵢ−x̄)²</t>
  </si>
  <si>
    <t>σ̄²внутригрупповая (средняя)</t>
  </si>
  <si>
    <t>σ²межгрупповая (факторная)</t>
  </si>
  <si>
    <t>σ²общая</t>
  </si>
  <si>
    <t>Проверка правила сложения</t>
  </si>
  <si>
    <t>η² = σ²межгр / σ²общ</t>
  </si>
  <si>
    <t>η = √η² (эмпирич. корреляц. отношение)</t>
  </si>
  <si>
    <t>Разбиение на s = 9 интервалов (шаг h = 189.9444)</t>
  </si>
  <si>
    <t>Разбиение на s = 10 интервалов (шаг h = 170.9500)</t>
  </si>
  <si>
    <t>Сравнение разбиений (оценка — доля межгрупповой дисперсии)</t>
  </si>
  <si>
    <t>s</t>
  </si>
  <si>
    <t>σ̄²внутригрупповая</t>
  </si>
  <si>
    <t>σ²межгрупповая</t>
  </si>
  <si>
    <t>η²</t>
  </si>
  <si>
    <t>η</t>
  </si>
  <si>
    <t>Вывод по п.4: правило сложения дисперсий выполняется для всех разбиений. Доля межгрупповой дисперсии максимальна при s = 10 (η² = 0.9737, η = 0.9868), т.е. наиболее удачным следует признать разбиение на 10 интервалов (s+1): оно даёт наибольшую объяснённую долю общей вариации зарплаты. Разбиение на s−1 = 8 интервалов имеет наименьшую долю (η² = 0.9677).</t>
  </si>
</sst>
</file>

<file path=xl/styles.xml><?xml version="1.0" encoding="utf-8"?>
<styleSheet xmlns="http://schemas.openxmlformats.org/spreadsheetml/2006/main">
  <numFmts count="6">
    <numFmt numFmtId="176" formatCode="0.000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0.0000"/>
    <numFmt numFmtId="42" formatCode="_(&quot;$&quot;* #,##0_);_(&quot;$&quot;* \(#,##0\);_(&quot;$&quot;* &quot;-&quot;_);_(@_)"/>
  </numFmts>
  <fonts count="28">
    <font>
      <sz val="11"/>
      <color theme="1"/>
      <name val="Calibri"/>
      <charset val="204"/>
      <scheme val="minor"/>
    </font>
    <font>
      <b/>
      <sz val="12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b/>
      <sz val="14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3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14" fillId="9" borderId="1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8" borderId="16" applyNumberFormat="0" applyFont="0" applyAlignment="0" applyProtection="0">
      <alignment vertical="center"/>
    </xf>
    <xf numFmtId="0" fontId="19" fillId="17" borderId="1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7" fillId="13" borderId="1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0" fontId="3" fillId="3" borderId="1" xfId="0" applyFont="1" applyFill="1" applyBorder="1" applyAlignment="1">
      <alignment horizontal="center" vertical="center" wrapText="1"/>
    </xf>
    <xf numFmtId="179" fontId="0" fillId="0" borderId="1" xfId="0" applyNumberFormat="1" applyBorder="1"/>
    <xf numFmtId="179" fontId="3" fillId="4" borderId="1" xfId="0" applyNumberFormat="1" applyFont="1" applyFill="1" applyBorder="1"/>
    <xf numFmtId="179" fontId="3" fillId="3" borderId="1" xfId="0" applyNumberFormat="1" applyFont="1" applyFill="1" applyBorder="1"/>
    <xf numFmtId="176" fontId="0" fillId="0" borderId="1" xfId="0" applyNumberFormat="1" applyBorder="1"/>
    <xf numFmtId="176" fontId="3" fillId="3" borderId="1" xfId="0" applyNumberFormat="1" applyFont="1" applyFill="1" applyBorder="1"/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6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79" fontId="3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4" fillId="0" borderId="6" xfId="0" applyFont="1" applyBorder="1"/>
    <xf numFmtId="0" fontId="0" fillId="0" borderId="7" xfId="0" applyBorder="1"/>
    <xf numFmtId="0" fontId="0" fillId="0" borderId="4" xfId="0" applyBorder="1"/>
    <xf numFmtId="0" fontId="4" fillId="0" borderId="5" xfId="0" applyFont="1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2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и полигон распределения зар платы</a:t>
            </a:r>
            <a:endParaRPr lang="ru-RU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Лист2!$J$3:$J$11</c:f>
              <c:numCache>
                <c:formatCode>General</c:formatCode>
                <c:ptCount val="9"/>
                <c:pt idx="0">
                  <c:v>1846.27</c:v>
                </c:pt>
                <c:pt idx="1">
                  <c:v>2036.22</c:v>
                </c:pt>
                <c:pt idx="2">
                  <c:v>2226.16</c:v>
                </c:pt>
                <c:pt idx="3">
                  <c:v>2416.11</c:v>
                </c:pt>
                <c:pt idx="4">
                  <c:v>2606.05</c:v>
                </c:pt>
                <c:pt idx="5">
                  <c:v>2795.99</c:v>
                </c:pt>
                <c:pt idx="6">
                  <c:v>2985.94</c:v>
                </c:pt>
                <c:pt idx="7">
                  <c:v>3175.88</c:v>
                </c:pt>
                <c:pt idx="8">
                  <c:v>3365.83</c:v>
                </c:pt>
              </c:numCache>
            </c:numRef>
          </c:cat>
          <c:val>
            <c:numRef>
              <c:f>Лист2!$K$3:$K$11</c:f>
              <c:numCache>
                <c:formatCode>General</c:formatCode>
                <c:ptCount val="9"/>
                <c:pt idx="0">
                  <c:v>21</c:v>
                </c:pt>
                <c:pt idx="1">
                  <c:v>37</c:v>
                </c:pt>
                <c:pt idx="2">
                  <c:v>38</c:v>
                </c:pt>
                <c:pt idx="3">
                  <c:v>16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39151552"/>
        <c:axId val="1139151072"/>
      </c:barChart>
      <c:lineChart>
        <c:grouping val="standard"/>
        <c:varyColors val="0"/>
        <c:ser>
          <c:idx val="1"/>
          <c:order val="1"/>
          <c:spPr>
            <a:ln w="3492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Лист2!$J$3:$J$11</c:f>
              <c:numCache>
                <c:formatCode>General</c:formatCode>
                <c:ptCount val="9"/>
                <c:pt idx="0">
                  <c:v>1846.27</c:v>
                </c:pt>
                <c:pt idx="1">
                  <c:v>2036.22</c:v>
                </c:pt>
                <c:pt idx="2">
                  <c:v>2226.16</c:v>
                </c:pt>
                <c:pt idx="3">
                  <c:v>2416.11</c:v>
                </c:pt>
                <c:pt idx="4">
                  <c:v>2606.05</c:v>
                </c:pt>
                <c:pt idx="5">
                  <c:v>2795.99</c:v>
                </c:pt>
                <c:pt idx="6">
                  <c:v>2985.94</c:v>
                </c:pt>
                <c:pt idx="7">
                  <c:v>3175.88</c:v>
                </c:pt>
                <c:pt idx="8">
                  <c:v>3365.83</c:v>
                </c:pt>
              </c:numCache>
            </c:numRef>
          </c:cat>
          <c:val>
            <c:numRef>
              <c:f>Лист2!$K$3:$K$11</c:f>
              <c:numCache>
                <c:formatCode>General</c:formatCode>
                <c:ptCount val="9"/>
                <c:pt idx="0">
                  <c:v>21</c:v>
                </c:pt>
                <c:pt idx="1">
                  <c:v>37</c:v>
                </c:pt>
                <c:pt idx="2">
                  <c:v>38</c:v>
                </c:pt>
                <c:pt idx="3">
                  <c:v>16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1552"/>
        <c:axId val="1139151072"/>
      </c:lineChart>
      <c:catAx>
        <c:axId val="113915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strike="noStrike" baseline="0"/>
                  <a:t>Начисленная заработная плата, руб.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9151072"/>
        <c:crosses val="autoZero"/>
        <c:auto val="1"/>
        <c:lblAlgn val="ctr"/>
        <c:lblOffset val="100"/>
        <c:noMultiLvlLbl val="0"/>
      </c:catAx>
      <c:valAx>
        <c:axId val="11391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strike="noStrike" baseline="0"/>
                  <a:t>Частота (число районов)</a:t>
                </a:r>
                <a:r>
                  <a:rPr lang="ru-RU" sz="1000" b="0" i="0" strike="noStrike" baseline="0"/>
                  <a:t>.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9151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и полигон распределения зар платы</a:t>
            </a:r>
            <a:endParaRPr lang="ru-RU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Лист2!$J$34:$J$41</c:f>
              <c:numCache>
                <c:formatCode>General</c:formatCode>
                <c:ptCount val="8"/>
                <c:pt idx="0">
                  <c:v>1858.14</c:v>
                </c:pt>
                <c:pt idx="1">
                  <c:v>2071.83</c:v>
                </c:pt>
                <c:pt idx="2">
                  <c:v>2285.52</c:v>
                </c:pt>
                <c:pt idx="3">
                  <c:v>2499.21</c:v>
                </c:pt>
                <c:pt idx="4">
                  <c:v>2712.89</c:v>
                </c:pt>
                <c:pt idx="5">
                  <c:v>2926.58</c:v>
                </c:pt>
                <c:pt idx="6">
                  <c:v>3140.27</c:v>
                </c:pt>
                <c:pt idx="7">
                  <c:v>3353.96</c:v>
                </c:pt>
              </c:numCache>
            </c:numRef>
          </c:cat>
          <c:val>
            <c:numRef>
              <c:f>Лист2!$K$34:$K$41</c:f>
              <c:numCache>
                <c:formatCode>General</c:formatCode>
                <c:ptCount val="8"/>
                <c:pt idx="0">
                  <c:v>25</c:v>
                </c:pt>
                <c:pt idx="1">
                  <c:v>42</c:v>
                </c:pt>
                <c:pt idx="2">
                  <c:v>32</c:v>
                </c:pt>
                <c:pt idx="3">
                  <c:v>19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39151552"/>
        <c:axId val="1139151072"/>
      </c:barChart>
      <c:lineChart>
        <c:grouping val="standard"/>
        <c:varyColors val="0"/>
        <c:ser>
          <c:idx val="1"/>
          <c:order val="1"/>
          <c:tx>
            <c:strRef>
              <c:f>"Ряд 2"</c:f>
              <c:strCache>
                <c:ptCount val="1"/>
                <c:pt idx="0">
                  <c:v>Ряд 2</c:v>
                </c:pt>
              </c:strCache>
            </c:strRef>
          </c:tx>
          <c:spPr>
            <a:ln w="3492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Лист2!$J$34:$J$41</c:f>
              <c:numCache>
                <c:formatCode>General</c:formatCode>
                <c:ptCount val="8"/>
                <c:pt idx="0">
                  <c:v>1858.14</c:v>
                </c:pt>
                <c:pt idx="1">
                  <c:v>2071.83</c:v>
                </c:pt>
                <c:pt idx="2">
                  <c:v>2285.52</c:v>
                </c:pt>
                <c:pt idx="3">
                  <c:v>2499.21</c:v>
                </c:pt>
                <c:pt idx="4">
                  <c:v>2712.89</c:v>
                </c:pt>
                <c:pt idx="5">
                  <c:v>2926.58</c:v>
                </c:pt>
                <c:pt idx="6">
                  <c:v>3140.27</c:v>
                </c:pt>
                <c:pt idx="7">
                  <c:v>3353.96</c:v>
                </c:pt>
              </c:numCache>
            </c:numRef>
          </c:cat>
          <c:val>
            <c:numRef>
              <c:f>Лист2!$K$34:$K$41</c:f>
              <c:numCache>
                <c:formatCode>General</c:formatCode>
                <c:ptCount val="8"/>
                <c:pt idx="0">
                  <c:v>25</c:v>
                </c:pt>
                <c:pt idx="1">
                  <c:v>42</c:v>
                </c:pt>
                <c:pt idx="2">
                  <c:v>32</c:v>
                </c:pt>
                <c:pt idx="3">
                  <c:v>19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1552"/>
        <c:axId val="1139151072"/>
      </c:lineChart>
      <c:catAx>
        <c:axId val="113915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strike="noStrike" baseline="0"/>
                  <a:t>Начисленная заработная плата, руб.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9151072"/>
        <c:crosses val="autoZero"/>
        <c:auto val="1"/>
        <c:lblAlgn val="ctr"/>
        <c:lblOffset val="100"/>
        <c:noMultiLvlLbl val="0"/>
      </c:catAx>
      <c:valAx>
        <c:axId val="11391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strike="noStrike" baseline="0"/>
                  <a:t>Частота (число районов)</a:t>
                </a:r>
                <a:r>
                  <a:rPr lang="ru-RU" sz="1000" b="0" i="0" strike="noStrike" baseline="0"/>
                  <a:t>.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9151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Лист2!$J$3:$J$11</c:f>
              <c:numCache>
                <c:formatCode>General</c:formatCode>
                <c:ptCount val="9"/>
                <c:pt idx="0">
                  <c:v>1846.27</c:v>
                </c:pt>
                <c:pt idx="1">
                  <c:v>2036.22</c:v>
                </c:pt>
                <c:pt idx="2">
                  <c:v>2226.16</c:v>
                </c:pt>
                <c:pt idx="3">
                  <c:v>2416.11</c:v>
                </c:pt>
                <c:pt idx="4">
                  <c:v>2606.05</c:v>
                </c:pt>
                <c:pt idx="5">
                  <c:v>2795.99</c:v>
                </c:pt>
                <c:pt idx="6">
                  <c:v>2985.94</c:v>
                </c:pt>
                <c:pt idx="7">
                  <c:v>3175.88</c:v>
                </c:pt>
                <c:pt idx="8">
                  <c:v>3365.83</c:v>
                </c:pt>
              </c:numCache>
            </c:numRef>
          </c:cat>
          <c:val>
            <c:numRef>
              <c:f>Лист2!$M$3:$M$11</c:f>
              <c:numCache>
                <c:formatCode>General</c:formatCode>
                <c:ptCount val="9"/>
                <c:pt idx="0">
                  <c:v>21</c:v>
                </c:pt>
                <c:pt idx="1">
                  <c:v>58</c:v>
                </c:pt>
                <c:pt idx="2">
                  <c:v>96</c:v>
                </c:pt>
                <c:pt idx="3">
                  <c:v>112</c:v>
                </c:pt>
                <c:pt idx="4">
                  <c:v>120</c:v>
                </c:pt>
                <c:pt idx="5">
                  <c:v>123</c:v>
                </c:pt>
                <c:pt idx="6">
                  <c:v>124</c:v>
                </c:pt>
                <c:pt idx="7">
                  <c:v>127</c:v>
                </c:pt>
                <c:pt idx="8">
                  <c:v>129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277055"/>
        <c:axId val="1690012783"/>
      </c:lineChart>
      <c:catAx>
        <c:axId val="18682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0012783"/>
        <c:crosses val="autoZero"/>
        <c:auto val="1"/>
        <c:lblAlgn val="ctr"/>
        <c:lblOffset val="100"/>
        <c:noMultiLvlLbl val="0"/>
      </c:catAx>
      <c:valAx>
        <c:axId val="16900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8277055"/>
        <c:crosses val="autoZero"/>
        <c:crossBetween val="between"/>
      </c:valAx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5442</xdr:colOff>
      <xdr:row>13</xdr:row>
      <xdr:rowOff>13606</xdr:rowOff>
    </xdr:from>
    <xdr:to>
      <xdr:col>12</xdr:col>
      <xdr:colOff>0</xdr:colOff>
      <xdr:row>29</xdr:row>
      <xdr:rowOff>180000</xdr:rowOff>
    </xdr:to>
    <xdr:graphicFrame>
      <xdr:nvGraphicFramePr>
        <xdr:cNvPr id="2" name="Chart 1"/>
        <xdr:cNvGraphicFramePr/>
      </xdr:nvGraphicFramePr>
      <xdr:xfrm>
        <a:off x="8404860" y="2423795"/>
        <a:ext cx="5220970" cy="3133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11</xdr:col>
      <xdr:colOff>967324</xdr:colOff>
      <xdr:row>59</xdr:row>
      <xdr:rowOff>166393</xdr:rowOff>
    </xdr:to>
    <xdr:graphicFrame>
      <xdr:nvGraphicFramePr>
        <xdr:cNvPr id="3" name="Chart 2"/>
        <xdr:cNvGraphicFramePr/>
      </xdr:nvGraphicFramePr>
      <xdr:xfrm>
        <a:off x="8399780" y="7973060"/>
        <a:ext cx="5205095" cy="3133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1158</xdr:colOff>
      <xdr:row>13</xdr:row>
      <xdr:rowOff>12275</xdr:rowOff>
    </xdr:from>
    <xdr:to>
      <xdr:col>19</xdr:col>
      <xdr:colOff>647352</xdr:colOff>
      <xdr:row>27</xdr:row>
      <xdr:rowOff>161432</xdr:rowOff>
    </xdr:to>
    <xdr:graphicFrame>
      <xdr:nvGraphicFramePr>
        <xdr:cNvPr id="4" name="Chart 3"/>
        <xdr:cNvGraphicFramePr/>
      </xdr:nvGraphicFramePr>
      <xdr:xfrm>
        <a:off x="14272260" y="2422525"/>
        <a:ext cx="451993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2" displayName="Таблица2" ref="A2:C131" totalsRowShown="0">
  <autoFilter ref="A2:C131"/>
  <tableColumns count="3">
    <tableColumn id="1" name="Территория Республики Беларусь" dataDxfId="0"/>
    <tableColumn id="2" name="2025" dataDxfId="1"/>
    <tableColumn id="3" name="Выброс?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3" displayName="Таблица3" ref="G2:M12" totalsRowCount="1">
  <autoFilter ref="G2:M11"/>
  <tableColumns count="7">
    <tableColumn id="1" name="Интервал" totalsRowLabel="Итог" dataDxfId="3"/>
    <tableColumn id="2" name="Ниж. Гран" totalsRowFunction="sum" dataDxfId="4"/>
    <tableColumn id="3" name="Верх. Гран." totalsRowFunction="sum" dataDxfId="5"/>
    <tableColumn id="4" name="Середина" totalsRowFunction="sum" dataDxfId="6"/>
    <tableColumn id="5" name="Частота" totalsRowFunction="sum" dataDxfId="7"/>
    <tableColumn id="6" name="Отн. Частота" totalsRowFunction="sum" dataDxfId="8"/>
    <tableColumn id="7" name="накопл" dataDxfId="9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Таблица35" displayName="Таблица35" ref="G33:L42" totalsRowCount="1">
  <autoFilter ref="G33:L41"/>
  <tableColumns count="6">
    <tableColumn id="1" name="Интервал" totalsRowLabel="Итог" dataDxfId="10"/>
    <tableColumn id="2" name="Ниж. Гран" totalsRowFunction="sum" dataDxfId="11"/>
    <tableColumn id="3" name="Верх. Гран." totalsRowFunction="sum" dataDxfId="12"/>
    <tableColumn id="4" name="Середина" totalsRowFunction="sum" dataDxfId="13"/>
    <tableColumn id="5" name="Частота" totalsRowFunction="sum" dataDxfId="14"/>
    <tableColumn id="6" name="Отн. Частота" totalsRowFunction="sum" dataDxfId="1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Таблица356" displayName="Таблица356" ref="G62:L73" totalsRowCount="1">
  <autoFilter ref="G62:L72"/>
  <tableColumns count="6">
    <tableColumn id="1" name="Интервал" totalsRowLabel="Итог" dataDxfId="16"/>
    <tableColumn id="2" name="Ниж. Гран" totalsRowFunction="sum" dataDxfId="17"/>
    <tableColumn id="3" name="Верх. Гран." totalsRowFunction="sum" dataDxfId="18"/>
    <tableColumn id="4" name="Середина" totalsRowFunction="sum" dataDxfId="19"/>
    <tableColumn id="5" name="Частота" totalsRowFunction="sum" dataDxfId="20"/>
    <tableColumn id="6" name="Отн. Частота" totalsRowFunction="sum" dataDxfId="2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4"/>
  <sheetViews>
    <sheetView workbookViewId="0">
      <selection activeCell="D8" sqref="D8"/>
    </sheetView>
  </sheetViews>
  <sheetFormatPr defaultColWidth="9" defaultRowHeight="14.6" outlineLevelCol="1"/>
  <cols>
    <col min="1" max="2" width="30.9203539823009" customWidth="1"/>
  </cols>
  <sheetData>
    <row r="1" ht="43.5" customHeight="1"/>
    <row r="4" ht="17.6" customHeight="1" spans="1:1">
      <c r="A4" s="39" t="s">
        <v>0</v>
      </c>
    </row>
    <row r="6" spans="2:2">
      <c r="B6" s="40" t="s">
        <v>1</v>
      </c>
    </row>
    <row r="7" spans="1:2">
      <c r="A7" s="41" t="s">
        <v>2</v>
      </c>
      <c r="B7" s="41" t="s">
        <v>3</v>
      </c>
    </row>
    <row r="8" spans="1:2">
      <c r="A8" s="42" t="s">
        <v>4</v>
      </c>
      <c r="B8" s="42">
        <v>2679.7</v>
      </c>
    </row>
    <row r="9" spans="1:2">
      <c r="A9" s="42" t="s">
        <v>5</v>
      </c>
      <c r="B9" s="42">
        <v>2360.4</v>
      </c>
    </row>
    <row r="10" spans="1:2">
      <c r="A10" s="42" t="s">
        <v>6</v>
      </c>
      <c r="B10" s="42">
        <v>2270.2</v>
      </c>
    </row>
    <row r="11" spans="1:2">
      <c r="A11" s="42" t="s">
        <v>7</v>
      </c>
      <c r="B11" s="42">
        <v>2427</v>
      </c>
    </row>
    <row r="12" spans="1:2">
      <c r="A12" s="42" t="s">
        <v>8</v>
      </c>
      <c r="B12" s="42">
        <v>2502</v>
      </c>
    </row>
    <row r="13" spans="1:2">
      <c r="A13" s="42" t="s">
        <v>9</v>
      </c>
      <c r="B13" s="42">
        <v>1971.8</v>
      </c>
    </row>
    <row r="14" spans="1:2">
      <c r="A14" s="42" t="s">
        <v>10</v>
      </c>
      <c r="B14" s="42">
        <v>2132.1</v>
      </c>
    </row>
    <row r="15" spans="1:2">
      <c r="A15" s="42" t="s">
        <v>11</v>
      </c>
      <c r="B15" s="42">
        <v>2443</v>
      </c>
    </row>
    <row r="16" spans="1:2">
      <c r="A16" s="42" t="s">
        <v>12</v>
      </c>
      <c r="B16" s="42">
        <v>2260</v>
      </c>
    </row>
    <row r="17" spans="1:2">
      <c r="A17" s="42" t="s">
        <v>13</v>
      </c>
      <c r="B17" s="42">
        <v>2114.6</v>
      </c>
    </row>
    <row r="18" spans="1:2">
      <c r="A18" s="42" t="s">
        <v>14</v>
      </c>
      <c r="B18" s="42">
        <v>2399.3</v>
      </c>
    </row>
    <row r="19" spans="1:2">
      <c r="A19" s="42" t="s">
        <v>15</v>
      </c>
      <c r="B19" s="42">
        <v>2285.7</v>
      </c>
    </row>
    <row r="20" spans="1:2">
      <c r="A20" s="42" t="s">
        <v>16</v>
      </c>
      <c r="B20" s="42">
        <v>2211.2</v>
      </c>
    </row>
    <row r="21" spans="1:2">
      <c r="A21" s="42" t="s">
        <v>17</v>
      </c>
      <c r="B21" s="42">
        <v>2128.7</v>
      </c>
    </row>
    <row r="22" spans="1:2">
      <c r="A22" s="42" t="s">
        <v>18</v>
      </c>
      <c r="B22" s="42">
        <v>2137.5</v>
      </c>
    </row>
    <row r="23" spans="1:2">
      <c r="A23" s="42" t="s">
        <v>19</v>
      </c>
      <c r="B23" s="42">
        <v>2217.6</v>
      </c>
    </row>
    <row r="24" spans="1:2">
      <c r="A24" s="42" t="s">
        <v>20</v>
      </c>
      <c r="B24" s="42">
        <v>2293.5</v>
      </c>
    </row>
    <row r="25" spans="1:2">
      <c r="A25" s="42" t="s">
        <v>21</v>
      </c>
      <c r="B25" s="42">
        <v>2002.9</v>
      </c>
    </row>
    <row r="26" spans="1:2">
      <c r="A26" s="42" t="s">
        <v>22</v>
      </c>
      <c r="B26" s="42">
        <v>2710.5</v>
      </c>
    </row>
    <row r="27" spans="1:2">
      <c r="A27" s="42" t="s">
        <v>23</v>
      </c>
      <c r="B27" s="42">
        <v>2234.5</v>
      </c>
    </row>
    <row r="28" spans="1:2">
      <c r="A28" s="42" t="s">
        <v>24</v>
      </c>
      <c r="B28" s="42">
        <v>2222</v>
      </c>
    </row>
    <row r="29" spans="1:2">
      <c r="A29" s="42" t="s">
        <v>25</v>
      </c>
      <c r="B29" s="42">
        <v>2239</v>
      </c>
    </row>
    <row r="30" spans="1:2">
      <c r="A30" s="42" t="s">
        <v>26</v>
      </c>
      <c r="B30" s="42">
        <v>1979.1</v>
      </c>
    </row>
    <row r="31" spans="1:2">
      <c r="A31" s="42" t="s">
        <v>27</v>
      </c>
      <c r="B31" s="42">
        <v>1898.7</v>
      </c>
    </row>
    <row r="32" spans="1:2">
      <c r="A32" s="42" t="s">
        <v>28</v>
      </c>
      <c r="B32" s="42">
        <v>2215.6</v>
      </c>
    </row>
    <row r="33" spans="1:2">
      <c r="A33" s="42" t="s">
        <v>29</v>
      </c>
      <c r="B33" s="42">
        <v>2234.3</v>
      </c>
    </row>
    <row r="34" spans="1:2">
      <c r="A34" s="42" t="s">
        <v>30</v>
      </c>
      <c r="B34" s="42">
        <v>2101.1</v>
      </c>
    </row>
    <row r="35" spans="1:2">
      <c r="A35" s="42" t="s">
        <v>31</v>
      </c>
      <c r="B35" s="42">
        <v>1930.8</v>
      </c>
    </row>
    <row r="36" spans="1:2">
      <c r="A36" s="42" t="s">
        <v>32</v>
      </c>
      <c r="B36" s="42">
        <v>2060.7</v>
      </c>
    </row>
    <row r="37" spans="1:2">
      <c r="A37" s="42" t="s">
        <v>33</v>
      </c>
      <c r="B37" s="42">
        <v>2122</v>
      </c>
    </row>
    <row r="38" spans="1:2">
      <c r="A38" s="42" t="s">
        <v>34</v>
      </c>
      <c r="B38" s="42">
        <v>2151.4</v>
      </c>
    </row>
    <row r="39" spans="1:2">
      <c r="A39" s="42" t="s">
        <v>35</v>
      </c>
      <c r="B39" s="42">
        <v>1987.8</v>
      </c>
    </row>
    <row r="40" spans="1:2">
      <c r="A40" s="42" t="s">
        <v>36</v>
      </c>
      <c r="B40" s="42">
        <v>1869.8</v>
      </c>
    </row>
    <row r="41" spans="1:2">
      <c r="A41" s="42" t="s">
        <v>37</v>
      </c>
      <c r="B41" s="42">
        <v>2209.3</v>
      </c>
    </row>
    <row r="42" spans="1:2">
      <c r="A42" s="42" t="s">
        <v>38</v>
      </c>
      <c r="B42" s="42">
        <v>2228.3</v>
      </c>
    </row>
    <row r="43" spans="1:2">
      <c r="A43" s="42" t="s">
        <v>39</v>
      </c>
      <c r="B43" s="42">
        <v>2075.8</v>
      </c>
    </row>
    <row r="44" spans="1:2">
      <c r="A44" s="42" t="s">
        <v>40</v>
      </c>
      <c r="B44" s="42">
        <v>1830</v>
      </c>
    </row>
    <row r="45" spans="1:2">
      <c r="A45" s="42" t="s">
        <v>41</v>
      </c>
      <c r="B45" s="42">
        <v>2002.5</v>
      </c>
    </row>
    <row r="46" spans="1:2">
      <c r="A46" s="42" t="s">
        <v>42</v>
      </c>
      <c r="B46" s="42">
        <v>2038.7</v>
      </c>
    </row>
    <row r="47" spans="1:2">
      <c r="A47" s="42" t="s">
        <v>43</v>
      </c>
      <c r="B47" s="42">
        <v>1852.9</v>
      </c>
    </row>
    <row r="48" spans="1:2">
      <c r="A48" s="42" t="s">
        <v>44</v>
      </c>
      <c r="B48" s="42">
        <v>2288.2</v>
      </c>
    </row>
    <row r="49" spans="1:2">
      <c r="A49" s="42" t="s">
        <v>45</v>
      </c>
      <c r="B49" s="42">
        <v>1751.3</v>
      </c>
    </row>
    <row r="50" spans="1:2">
      <c r="A50" s="42" t="s">
        <v>46</v>
      </c>
      <c r="B50" s="42">
        <v>1927</v>
      </c>
    </row>
    <row r="51" spans="1:2">
      <c r="A51" s="42" t="s">
        <v>47</v>
      </c>
      <c r="B51" s="42">
        <v>2403.3</v>
      </c>
    </row>
    <row r="52" spans="1:2">
      <c r="A52" s="42" t="s">
        <v>48</v>
      </c>
      <c r="B52" s="42">
        <v>2550.1</v>
      </c>
    </row>
    <row r="53" spans="1:2">
      <c r="A53" s="42" t="s">
        <v>49</v>
      </c>
      <c r="B53" s="42">
        <v>2357.5</v>
      </c>
    </row>
    <row r="54" spans="1:2">
      <c r="A54" s="42" t="s">
        <v>50</v>
      </c>
      <c r="B54" s="42">
        <v>1896.1</v>
      </c>
    </row>
    <row r="55" spans="1:2">
      <c r="A55" s="42" t="s">
        <v>51</v>
      </c>
      <c r="B55" s="42">
        <v>2066.7</v>
      </c>
    </row>
    <row r="56" spans="1:2">
      <c r="A56" s="42" t="s">
        <v>52</v>
      </c>
      <c r="B56" s="42">
        <v>1961.6</v>
      </c>
    </row>
    <row r="57" spans="1:2">
      <c r="A57" s="42" t="s">
        <v>53</v>
      </c>
      <c r="B57" s="42">
        <v>2116.6</v>
      </c>
    </row>
    <row r="58" spans="1:2">
      <c r="A58" s="42" t="s">
        <v>54</v>
      </c>
      <c r="B58" s="42">
        <v>2008.5</v>
      </c>
    </row>
    <row r="59" spans="1:2">
      <c r="A59" s="42" t="s">
        <v>55</v>
      </c>
      <c r="B59" s="42">
        <v>2005.2</v>
      </c>
    </row>
    <row r="60" spans="1:2">
      <c r="A60" s="42" t="s">
        <v>56</v>
      </c>
      <c r="B60" s="42">
        <v>2115</v>
      </c>
    </row>
    <row r="61" spans="1:2">
      <c r="A61" s="42" t="s">
        <v>57</v>
      </c>
      <c r="B61" s="42">
        <v>2302.5</v>
      </c>
    </row>
    <row r="62" spans="1:2">
      <c r="A62" s="42" t="s">
        <v>58</v>
      </c>
      <c r="B62" s="42">
        <v>2147.4</v>
      </c>
    </row>
    <row r="63" spans="1:2">
      <c r="A63" s="42" t="s">
        <v>59</v>
      </c>
      <c r="B63" s="42">
        <v>1842.6</v>
      </c>
    </row>
    <row r="64" spans="1:2">
      <c r="A64" s="42" t="s">
        <v>60</v>
      </c>
      <c r="B64" s="42">
        <v>1905.6</v>
      </c>
    </row>
    <row r="65" spans="1:2">
      <c r="A65" s="42" t="s">
        <v>61</v>
      </c>
      <c r="B65" s="42">
        <v>1948.2</v>
      </c>
    </row>
    <row r="66" spans="1:2">
      <c r="A66" s="42" t="s">
        <v>62</v>
      </c>
      <c r="B66" s="42">
        <v>2568.2</v>
      </c>
    </row>
    <row r="67" spans="1:2">
      <c r="A67" s="42" t="s">
        <v>63</v>
      </c>
      <c r="B67" s="42">
        <v>1982.9</v>
      </c>
    </row>
    <row r="68" spans="1:2">
      <c r="A68" s="42" t="s">
        <v>64</v>
      </c>
      <c r="B68" s="42">
        <v>1875.4</v>
      </c>
    </row>
    <row r="69" spans="1:2">
      <c r="A69" s="42" t="s">
        <v>65</v>
      </c>
      <c r="B69" s="42">
        <v>2236.7</v>
      </c>
    </row>
    <row r="70" spans="1:2">
      <c r="A70" s="42" t="s">
        <v>66</v>
      </c>
      <c r="B70" s="42">
        <v>2877.8</v>
      </c>
    </row>
    <row r="71" spans="1:2">
      <c r="A71" s="42" t="s">
        <v>67</v>
      </c>
      <c r="B71" s="42">
        <v>2080.1</v>
      </c>
    </row>
    <row r="72" spans="1:2">
      <c r="A72" s="42" t="s">
        <v>68</v>
      </c>
      <c r="B72" s="42">
        <v>2685.3</v>
      </c>
    </row>
    <row r="73" spans="1:2">
      <c r="A73" s="42" t="s">
        <v>69</v>
      </c>
      <c r="B73" s="42">
        <v>1927.9</v>
      </c>
    </row>
    <row r="74" spans="1:2">
      <c r="A74" s="42" t="s">
        <v>70</v>
      </c>
      <c r="B74" s="42">
        <v>2039</v>
      </c>
    </row>
    <row r="75" spans="1:2">
      <c r="A75" s="42" t="s">
        <v>71</v>
      </c>
      <c r="B75" s="42">
        <v>2454.4</v>
      </c>
    </row>
    <row r="76" spans="1:2">
      <c r="A76" s="42" t="s">
        <v>72</v>
      </c>
      <c r="B76" s="42">
        <v>2359.7</v>
      </c>
    </row>
    <row r="77" spans="1:2">
      <c r="A77" s="42" t="s">
        <v>73</v>
      </c>
      <c r="B77" s="42">
        <v>2376.9</v>
      </c>
    </row>
    <row r="78" spans="1:2">
      <c r="A78" s="42" t="s">
        <v>74</v>
      </c>
      <c r="B78" s="42">
        <v>2311.5</v>
      </c>
    </row>
    <row r="79" spans="1:2">
      <c r="A79" s="42" t="s">
        <v>75</v>
      </c>
      <c r="B79" s="42">
        <v>2020.3</v>
      </c>
    </row>
    <row r="80" spans="1:2">
      <c r="A80" s="42" t="s">
        <v>76</v>
      </c>
      <c r="B80" s="42">
        <v>2501.5</v>
      </c>
    </row>
    <row r="81" spans="1:2">
      <c r="A81" s="42" t="s">
        <v>77</v>
      </c>
      <c r="B81" s="42">
        <v>2152.6</v>
      </c>
    </row>
    <row r="82" spans="1:2">
      <c r="A82" s="42" t="s">
        <v>78</v>
      </c>
      <c r="B82" s="42">
        <v>2110.2</v>
      </c>
    </row>
    <row r="83" spans="1:2">
      <c r="A83" s="42" t="s">
        <v>79</v>
      </c>
      <c r="B83" s="42">
        <v>1940.9</v>
      </c>
    </row>
    <row r="84" spans="1:2">
      <c r="A84" s="42" t="s">
        <v>80</v>
      </c>
      <c r="B84" s="42">
        <v>2097.6</v>
      </c>
    </row>
    <row r="85" spans="1:2">
      <c r="A85" s="42" t="s">
        <v>81</v>
      </c>
      <c r="B85" s="42">
        <v>2267.4</v>
      </c>
    </row>
    <row r="86" spans="1:2">
      <c r="A86" s="42" t="s">
        <v>82</v>
      </c>
      <c r="B86" s="42">
        <v>2034.8</v>
      </c>
    </row>
    <row r="87" spans="1:2">
      <c r="A87" s="42" t="s">
        <v>83</v>
      </c>
      <c r="B87" s="42">
        <v>2131.4</v>
      </c>
    </row>
    <row r="88" spans="1:2">
      <c r="A88" s="42" t="s">
        <v>84</v>
      </c>
      <c r="B88" s="42">
        <v>3198.4</v>
      </c>
    </row>
    <row r="89" spans="1:2">
      <c r="A89" s="42" t="s">
        <v>85</v>
      </c>
      <c r="B89" s="42">
        <v>2105.9</v>
      </c>
    </row>
    <row r="90" spans="1:2">
      <c r="A90" s="42" t="s">
        <v>86</v>
      </c>
      <c r="B90" s="42">
        <v>2125.2</v>
      </c>
    </row>
    <row r="91" spans="1:2">
      <c r="A91" s="42" t="s">
        <v>87</v>
      </c>
      <c r="B91" s="42">
        <v>2182.8</v>
      </c>
    </row>
    <row r="92" spans="1:2">
      <c r="A92" s="42" t="s">
        <v>88</v>
      </c>
      <c r="B92" s="42">
        <v>2405.6</v>
      </c>
    </row>
    <row r="93" spans="1:2">
      <c r="A93" s="42" t="s">
        <v>89</v>
      </c>
      <c r="B93" s="42">
        <v>2272.4</v>
      </c>
    </row>
    <row r="94" spans="1:2">
      <c r="A94" s="42" t="s">
        <v>90</v>
      </c>
      <c r="B94" s="42">
        <v>2572.3</v>
      </c>
    </row>
    <row r="95" spans="1:2">
      <c r="A95" s="42" t="s">
        <v>91</v>
      </c>
      <c r="B95" s="42">
        <v>3460.8</v>
      </c>
    </row>
    <row r="96" spans="1:2">
      <c r="A96" s="42" t="s">
        <v>92</v>
      </c>
      <c r="B96" s="42">
        <v>2721</v>
      </c>
    </row>
    <row r="97" spans="1:2">
      <c r="A97" s="42" t="s">
        <v>93</v>
      </c>
      <c r="B97" s="42">
        <v>2127.3</v>
      </c>
    </row>
    <row r="98" spans="1:2">
      <c r="A98" s="42" t="s">
        <v>94</v>
      </c>
      <c r="B98" s="42">
        <v>2409.7</v>
      </c>
    </row>
    <row r="99" spans="1:2">
      <c r="A99" s="42" t="s">
        <v>95</v>
      </c>
      <c r="B99" s="42">
        <v>2149.9</v>
      </c>
    </row>
    <row r="100" spans="1:2">
      <c r="A100" s="42" t="s">
        <v>96</v>
      </c>
      <c r="B100" s="42">
        <v>2254.1</v>
      </c>
    </row>
    <row r="101" spans="1:2">
      <c r="A101" s="42" t="s">
        <v>97</v>
      </c>
      <c r="B101" s="42">
        <v>2941.2</v>
      </c>
    </row>
    <row r="102" spans="1:2">
      <c r="A102" s="42" t="s">
        <v>98</v>
      </c>
      <c r="B102" s="42">
        <v>2198.7</v>
      </c>
    </row>
    <row r="103" spans="1:2">
      <c r="A103" s="42" t="s">
        <v>99</v>
      </c>
      <c r="B103" s="42">
        <v>2308.1</v>
      </c>
    </row>
    <row r="104" spans="1:2">
      <c r="A104" s="42" t="s">
        <v>100</v>
      </c>
      <c r="B104" s="42">
        <v>2240.4</v>
      </c>
    </row>
    <row r="105" spans="1:2">
      <c r="A105" s="42" t="s">
        <v>101</v>
      </c>
      <c r="B105" s="42">
        <v>2579.7</v>
      </c>
    </row>
    <row r="106" spans="1:2">
      <c r="A106" s="42" t="s">
        <v>102</v>
      </c>
      <c r="B106" s="42">
        <v>2459</v>
      </c>
    </row>
    <row r="107" spans="1:2">
      <c r="A107" s="42" t="s">
        <v>103</v>
      </c>
      <c r="B107" s="42">
        <v>3309.5</v>
      </c>
    </row>
    <row r="108" spans="1:2">
      <c r="A108" s="42" t="s">
        <v>104</v>
      </c>
      <c r="B108" s="42">
        <v>2303.8</v>
      </c>
    </row>
    <row r="109" spans="1:2">
      <c r="A109" s="42" t="s">
        <v>105</v>
      </c>
      <c r="B109" s="42">
        <v>2215</v>
      </c>
    </row>
    <row r="110" spans="1:2">
      <c r="A110" s="42" t="s">
        <v>106</v>
      </c>
      <c r="B110" s="42">
        <v>2606.1</v>
      </c>
    </row>
    <row r="111" spans="1:2">
      <c r="A111" s="42" t="s">
        <v>107</v>
      </c>
      <c r="B111" s="42">
        <v>2567.3</v>
      </c>
    </row>
    <row r="112" spans="1:2">
      <c r="A112" s="42" t="s">
        <v>108</v>
      </c>
      <c r="B112" s="42">
        <v>2401.7</v>
      </c>
    </row>
    <row r="113" spans="1:2">
      <c r="A113" s="42" t="s">
        <v>109</v>
      </c>
      <c r="B113" s="42">
        <v>3083.5</v>
      </c>
    </row>
    <row r="114" spans="1:2">
      <c r="A114" s="42" t="s">
        <v>110</v>
      </c>
      <c r="B114" s="42">
        <v>3220.8</v>
      </c>
    </row>
    <row r="115" spans="1:2">
      <c r="A115" s="42" t="s">
        <v>111</v>
      </c>
      <c r="B115" s="42">
        <v>2257.6</v>
      </c>
    </row>
    <row r="116" spans="1:2">
      <c r="A116" s="42" t="s">
        <v>112</v>
      </c>
      <c r="B116" s="42">
        <v>2361.6</v>
      </c>
    </row>
    <row r="117" spans="1:2">
      <c r="A117" s="42" t="s">
        <v>113</v>
      </c>
      <c r="B117" s="42">
        <v>2384.7</v>
      </c>
    </row>
    <row r="118" spans="1:2">
      <c r="A118" s="42" t="s">
        <v>114</v>
      </c>
      <c r="B118" s="42">
        <v>2283</v>
      </c>
    </row>
    <row r="119" ht="25.75" customHeight="1" spans="1:2">
      <c r="A119" s="42" t="s">
        <v>115</v>
      </c>
      <c r="B119" s="42">
        <v>2921.7</v>
      </c>
    </row>
    <row r="120" spans="1:2">
      <c r="A120" s="42" t="s">
        <v>116</v>
      </c>
      <c r="B120" s="42">
        <v>2719.4</v>
      </c>
    </row>
    <row r="121" spans="1:2">
      <c r="A121" s="42" t="s">
        <v>117</v>
      </c>
      <c r="B121" s="42">
        <v>2243.5</v>
      </c>
    </row>
    <row r="122" spans="1:2">
      <c r="A122" s="42" t="s">
        <v>118</v>
      </c>
      <c r="B122" s="42">
        <v>2173.5</v>
      </c>
    </row>
    <row r="123" spans="1:2">
      <c r="A123" s="42" t="s">
        <v>119</v>
      </c>
      <c r="B123" s="42">
        <v>1998.5</v>
      </c>
    </row>
    <row r="124" spans="1:2">
      <c r="A124" s="42" t="s">
        <v>120</v>
      </c>
      <c r="B124" s="42">
        <v>2066</v>
      </c>
    </row>
    <row r="125" spans="1:2">
      <c r="A125" s="42" t="s">
        <v>121</v>
      </c>
      <c r="B125" s="42">
        <v>1952.4</v>
      </c>
    </row>
    <row r="126" spans="1:2">
      <c r="A126" s="42" t="s">
        <v>122</v>
      </c>
      <c r="B126" s="42">
        <v>2102.5</v>
      </c>
    </row>
    <row r="127" spans="1:2">
      <c r="A127" s="42" t="s">
        <v>123</v>
      </c>
      <c r="B127" s="42">
        <v>1891.5</v>
      </c>
    </row>
    <row r="128" spans="1:2">
      <c r="A128" s="42" t="s">
        <v>124</v>
      </c>
      <c r="B128" s="42">
        <v>2018.8</v>
      </c>
    </row>
    <row r="129" spans="1:2">
      <c r="A129" s="42" t="s">
        <v>125</v>
      </c>
      <c r="B129" s="42">
        <v>1953.3</v>
      </c>
    </row>
    <row r="130" spans="1:2">
      <c r="A130" s="42" t="s">
        <v>126</v>
      </c>
      <c r="B130" s="42">
        <v>2060</v>
      </c>
    </row>
    <row r="131" spans="1:2">
      <c r="A131" s="42" t="s">
        <v>127</v>
      </c>
      <c r="B131" s="42">
        <v>2187.2</v>
      </c>
    </row>
    <row r="132" spans="1:2">
      <c r="A132" s="42" t="s">
        <v>128</v>
      </c>
      <c r="B132" s="42">
        <v>1844.8</v>
      </c>
    </row>
    <row r="133" spans="1:2">
      <c r="A133" s="42" t="s">
        <v>129</v>
      </c>
      <c r="B133" s="42">
        <v>2123.2</v>
      </c>
    </row>
    <row r="134" spans="1:2">
      <c r="A134" s="42" t="s">
        <v>130</v>
      </c>
      <c r="B134" s="42">
        <v>1940.3</v>
      </c>
    </row>
    <row r="135" spans="1:2">
      <c r="A135" s="42" t="s">
        <v>131</v>
      </c>
      <c r="B135" s="42">
        <v>2533.8</v>
      </c>
    </row>
    <row r="136" spans="1:2">
      <c r="A136" s="42" t="s">
        <v>132</v>
      </c>
      <c r="B136" s="42">
        <v>1913.1</v>
      </c>
    </row>
    <row r="137" spans="1:2">
      <c r="A137" s="42" t="s">
        <v>133</v>
      </c>
      <c r="B137" s="42">
        <v>2296.2</v>
      </c>
    </row>
    <row r="138" spans="1:2">
      <c r="A138" s="42" t="s">
        <v>134</v>
      </c>
      <c r="B138" s="42">
        <v>1862.2</v>
      </c>
    </row>
    <row r="139" spans="1:2">
      <c r="A139" s="42" t="s">
        <v>135</v>
      </c>
      <c r="B139" s="42">
        <v>1895.3</v>
      </c>
    </row>
    <row r="140" spans="1:2">
      <c r="A140" s="42" t="s">
        <v>136</v>
      </c>
      <c r="B140" s="42">
        <v>1924.3</v>
      </c>
    </row>
    <row r="141" spans="1:2">
      <c r="A141" s="42" t="s">
        <v>137</v>
      </c>
      <c r="B141" s="42">
        <v>1924.4</v>
      </c>
    </row>
    <row r="142" spans="1:2">
      <c r="A142" s="42" t="s">
        <v>138</v>
      </c>
      <c r="B142" s="42">
        <v>2401</v>
      </c>
    </row>
    <row r="143" spans="1:2">
      <c r="A143" s="42" t="s">
        <v>139</v>
      </c>
      <c r="B143" s="42">
        <v>2454.9</v>
      </c>
    </row>
    <row r="144" spans="1:2">
      <c r="A144" s="42" t="s">
        <v>140</v>
      </c>
      <c r="B144" s="42">
        <v>2149.7</v>
      </c>
    </row>
  </sheetData>
  <pageMargins left="0.25" right="0.25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"/>
  <sheetViews>
    <sheetView zoomScale="94" zoomScaleNormal="94" topLeftCell="A34" workbookViewId="0">
      <selection activeCell="O10" sqref="O10"/>
    </sheetView>
  </sheetViews>
  <sheetFormatPr defaultColWidth="9" defaultRowHeight="14.6"/>
  <cols>
    <col min="1" max="1" width="31.5309734513274" customWidth="1"/>
    <col min="2" max="2" width="14.4601769911504" style="23" customWidth="1"/>
    <col min="3" max="3" width="13" style="23" customWidth="1"/>
    <col min="4" max="4" width="25" customWidth="1"/>
    <col min="5" max="5" width="24.070796460177" customWidth="1"/>
    <col min="7" max="7" width="10.7699115044248" customWidth="1"/>
    <col min="8" max="8" width="13.070796460177" customWidth="1"/>
    <col min="9" max="9" width="12.1504424778761" customWidth="1"/>
    <col min="10" max="10" width="11.2300884955752" customWidth="1"/>
    <col min="11" max="11" width="11.8407079646018" customWidth="1"/>
    <col min="12" max="12" width="13.7699115044248" customWidth="1"/>
  </cols>
  <sheetData>
    <row r="1" spans="1:7">
      <c r="A1" t="s">
        <v>141</v>
      </c>
      <c r="G1" t="s">
        <v>142</v>
      </c>
    </row>
    <row r="2" spans="1:13">
      <c r="A2" s="24" t="s">
        <v>2</v>
      </c>
      <c r="B2" s="25" t="s">
        <v>3</v>
      </c>
      <c r="C2" s="26" t="s">
        <v>143</v>
      </c>
      <c r="D2" s="27" t="s">
        <v>144</v>
      </c>
      <c r="E2" s="27">
        <f>COUNT(Таблица2[2025])</f>
        <v>129</v>
      </c>
      <c r="G2" s="24" t="s">
        <v>145</v>
      </c>
      <c r="H2" s="32" t="s">
        <v>146</v>
      </c>
      <c r="I2" s="32" t="s">
        <v>147</v>
      </c>
      <c r="J2" s="32" t="s">
        <v>148</v>
      </c>
      <c r="K2" s="36" t="s">
        <v>149</v>
      </c>
      <c r="L2" s="32" t="s">
        <v>150</v>
      </c>
      <c r="M2" s="32" t="s">
        <v>151</v>
      </c>
    </row>
    <row r="3" spans="1:13">
      <c r="A3" s="28" t="s">
        <v>91</v>
      </c>
      <c r="B3" s="29">
        <v>3460.8</v>
      </c>
      <c r="C3" s="29" t="str">
        <f>IF(OR(B3&gt;3*$E$4,B3&lt;$E$4/3),"ВЫБРОС","ОК")</f>
        <v>ОК</v>
      </c>
      <c r="D3" s="28" t="s">
        <v>152</v>
      </c>
      <c r="E3" s="27">
        <f>AVERAGE(Таблица2[2025])</f>
        <v>2225.06976744186</v>
      </c>
      <c r="G3" s="28">
        <v>1</v>
      </c>
      <c r="H3" s="27">
        <f>$E$13</f>
        <v>1751.3</v>
      </c>
      <c r="I3" s="27">
        <f t="shared" ref="I3:I11" si="0">H3+$E$15</f>
        <v>1941.24444444444</v>
      </c>
      <c r="J3" s="27">
        <f>ROUND((Таблица3[[#This Row],[Ниж. Гран]]+Таблица3[[#This Row],[Верх. Гран.]])/2,2)</f>
        <v>1846.27</v>
      </c>
      <c r="K3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21</v>
      </c>
      <c r="L3" s="32">
        <f>Таблица3[[#This Row],[Частота]]/$E$2</f>
        <v>0.162790697674419</v>
      </c>
      <c r="M3">
        <f>Таблица3[[#This Row],[Частота]]</f>
        <v>21</v>
      </c>
    </row>
    <row r="4" spans="1:13">
      <c r="A4" s="28" t="s">
        <v>103</v>
      </c>
      <c r="B4" s="29">
        <v>3309.5</v>
      </c>
      <c r="C4" s="29" t="str">
        <f>IF(OR(B4&gt;3*$E$4,B4&lt;$E$4/3),"ВЫБРОС","ОК")</f>
        <v>ОК</v>
      </c>
      <c r="D4" s="28" t="s">
        <v>153</v>
      </c>
      <c r="E4" s="27">
        <f>MEDIAN(Таблица2[2025])</f>
        <v>2151.4</v>
      </c>
      <c r="G4" s="28">
        <v>2</v>
      </c>
      <c r="H4" s="27">
        <f t="shared" ref="H4:H11" si="1">I3</f>
        <v>1941.24444444444</v>
      </c>
      <c r="I4" s="27">
        <f t="shared" si="0"/>
        <v>2131.18888888889</v>
      </c>
      <c r="J4" s="27">
        <f>ROUND((Таблица3[[#This Row],[Ниж. Гран]]+Таблица3[[#This Row],[Верх. Гран.]])/2,2)</f>
        <v>2036.22</v>
      </c>
      <c r="K4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37</v>
      </c>
      <c r="L4" s="27">
        <f>Таблица3[[#This Row],[Частота]]/$E$2</f>
        <v>0.286821705426357</v>
      </c>
      <c r="M4">
        <f>M3+Таблица3[[#This Row],[Частота]]</f>
        <v>58</v>
      </c>
    </row>
    <row r="5" spans="1:13">
      <c r="A5" s="28" t="s">
        <v>110</v>
      </c>
      <c r="B5" s="29">
        <v>3220.8</v>
      </c>
      <c r="C5" s="29" t="str">
        <f>IF(OR(B5&gt;3*$E$4,B5&lt;$E$4/3),"ВЫБРОС","ОК")</f>
        <v>ОК</v>
      </c>
      <c r="D5" s="28" t="s">
        <v>154</v>
      </c>
      <c r="E5" s="27" t="s">
        <v>155</v>
      </c>
      <c r="G5" s="28">
        <v>3</v>
      </c>
      <c r="H5" s="27">
        <f t="shared" si="1"/>
        <v>2131.18888888889</v>
      </c>
      <c r="I5" s="27">
        <f t="shared" si="0"/>
        <v>2321.13333333333</v>
      </c>
      <c r="J5" s="27">
        <f>ROUND((Таблица3[[#This Row],[Ниж. Гран]]+Таблица3[[#This Row],[Верх. Гран.]])/2,2)</f>
        <v>2226.16</v>
      </c>
      <c r="K5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38</v>
      </c>
      <c r="L5" s="27">
        <f>Таблица3[[#This Row],[Частота]]/$E$2</f>
        <v>0.294573643410853</v>
      </c>
      <c r="M5">
        <f>M4+Таблица3[[#This Row],[Частота]]</f>
        <v>96</v>
      </c>
    </row>
    <row r="6" spans="1:13">
      <c r="A6" s="28" t="s">
        <v>84</v>
      </c>
      <c r="B6" s="29">
        <v>3198.4</v>
      </c>
      <c r="C6" s="29" t="str">
        <f>IF(OR(B6&gt;3*$E$4,B6&lt;$E$4/3),"ВЫБРОС","ОК")</f>
        <v>ОК</v>
      </c>
      <c r="D6" s="28" t="s">
        <v>156</v>
      </c>
      <c r="E6" s="27">
        <f>_xlfn.VAR.S(Таблица2[2025])</f>
        <v>96264.7949382267</v>
      </c>
      <c r="G6" s="28">
        <v>4</v>
      </c>
      <c r="H6" s="27">
        <f t="shared" si="1"/>
        <v>2321.13333333333</v>
      </c>
      <c r="I6" s="27">
        <f t="shared" si="0"/>
        <v>2511.07777777778</v>
      </c>
      <c r="J6" s="27">
        <f>ROUND((Таблица3[[#This Row],[Ниж. Гран]]+Таблица3[[#This Row],[Верх. Гран.]])/2,2)</f>
        <v>2416.11</v>
      </c>
      <c r="K6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16</v>
      </c>
      <c r="L6" s="27">
        <f>Таблица3[[#This Row],[Частота]]/$E$2</f>
        <v>0.124031007751938</v>
      </c>
      <c r="M6">
        <f>M5+Таблица3[[#This Row],[Частота]]</f>
        <v>112</v>
      </c>
    </row>
    <row r="7" spans="1:13">
      <c r="A7" s="28" t="s">
        <v>109</v>
      </c>
      <c r="B7" s="29">
        <v>3083.5</v>
      </c>
      <c r="C7" s="29" t="str">
        <f>IF(OR(B7&gt;3*$E$4,B7&lt;$E$4/3),"ВЫБРОС","ОК")</f>
        <v>ОК</v>
      </c>
      <c r="D7" s="28" t="s">
        <v>157</v>
      </c>
      <c r="E7" s="27">
        <f>SQRT(E6)</f>
        <v>310.265684435496</v>
      </c>
      <c r="G7" s="28">
        <v>5</v>
      </c>
      <c r="H7" s="27">
        <f t="shared" si="1"/>
        <v>2511.07777777778</v>
      </c>
      <c r="I7" s="27">
        <f t="shared" si="0"/>
        <v>2701.02222222222</v>
      </c>
      <c r="J7" s="27">
        <f>ROUND((Таблица3[[#This Row],[Ниж. Гран]]+Таблица3[[#This Row],[Верх. Гран.]])/2,2)</f>
        <v>2606.05</v>
      </c>
      <c r="K7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8</v>
      </c>
      <c r="L7" s="27">
        <f>Таблица3[[#This Row],[Частота]]/$E$2</f>
        <v>0.062015503875969</v>
      </c>
      <c r="M7">
        <f>M6+Таблица3[[#This Row],[Частота]]</f>
        <v>120</v>
      </c>
    </row>
    <row r="8" spans="1:13">
      <c r="A8" s="28" t="s">
        <v>97</v>
      </c>
      <c r="B8" s="29">
        <v>2941.2</v>
      </c>
      <c r="C8" s="29" t="str">
        <f>IF(OR(B8&gt;3*$E$4,B8&lt;$E$4/3),"ВЫБРОС","ОК")</f>
        <v>ОК</v>
      </c>
      <c r="D8" s="28" t="s">
        <v>158</v>
      </c>
      <c r="E8" s="27">
        <f>E7/E3*100</f>
        <v>13.9440879102054</v>
      </c>
      <c r="G8" s="28">
        <v>6</v>
      </c>
      <c r="H8" s="27">
        <f t="shared" si="1"/>
        <v>2701.02222222222</v>
      </c>
      <c r="I8" s="27">
        <f t="shared" si="0"/>
        <v>2890.96666666667</v>
      </c>
      <c r="J8" s="27">
        <f>ROUND((Таблица3[[#This Row],[Ниж. Гран]]+Таблица3[[#This Row],[Верх. Гран.]])/2,2)</f>
        <v>2795.99</v>
      </c>
      <c r="K8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</v>
      </c>
      <c r="L8" s="27">
        <f>Таблица3[[#This Row],[Частота]]/$E$2</f>
        <v>0.0232558139534884</v>
      </c>
      <c r="M8">
        <f>M7+Таблица3[[#This Row],[Частота]]</f>
        <v>123</v>
      </c>
    </row>
    <row r="9" spans="1:13">
      <c r="A9" s="28" t="s">
        <v>66</v>
      </c>
      <c r="B9" s="29">
        <v>2877.8</v>
      </c>
      <c r="C9" s="29" t="str">
        <f>IF(OR(B9&gt;3*$E$4,B9&lt;$E$4/3),"ВЫБРОС","ОК")</f>
        <v>ОК</v>
      </c>
      <c r="D9" s="30" t="s">
        <v>159</v>
      </c>
      <c r="E9" s="33" t="str">
        <f>IF(E8&lt;=33,"Совокупность однородна","Совокупность неоднородна")</f>
        <v>Совокупность однородна</v>
      </c>
      <c r="G9" s="28">
        <v>7</v>
      </c>
      <c r="H9" s="27">
        <f t="shared" si="1"/>
        <v>2890.96666666667</v>
      </c>
      <c r="I9" s="27">
        <f t="shared" si="0"/>
        <v>3080.91111111111</v>
      </c>
      <c r="J9" s="27">
        <f>ROUND((Таблица3[[#This Row],[Ниж. Гран]]+Таблица3[[#This Row],[Верх. Гран.]])/2,2)</f>
        <v>2985.94</v>
      </c>
      <c r="K9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1</v>
      </c>
      <c r="L9" s="27">
        <f>Таблица3[[#This Row],[Частота]]/$E$2</f>
        <v>0.00775193798449612</v>
      </c>
      <c r="M9">
        <f>M8+Таблица3[[#This Row],[Частота]]</f>
        <v>124</v>
      </c>
    </row>
    <row r="10" spans="1:13">
      <c r="A10" s="28" t="s">
        <v>116</v>
      </c>
      <c r="B10" s="29">
        <v>2719.4</v>
      </c>
      <c r="C10" s="29" t="str">
        <f>IF(OR(B10&gt;3*$E$4,B10&lt;$E$4/3),"ВЫБРОС","ОК")</f>
        <v>ОК</v>
      </c>
      <c r="D10" s="31" t="s">
        <v>160</v>
      </c>
      <c r="G10" s="28">
        <v>8</v>
      </c>
      <c r="H10" s="27">
        <f t="shared" si="1"/>
        <v>3080.91111111111</v>
      </c>
      <c r="I10" s="27">
        <f t="shared" si="0"/>
        <v>3270.85555555555</v>
      </c>
      <c r="J10" s="27">
        <f>ROUND((Таблица3[[#This Row],[Ниж. Гран]]+Таблица3[[#This Row],[Верх. Гран.]])/2,2)</f>
        <v>3175.88</v>
      </c>
      <c r="K10" s="3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</v>
      </c>
      <c r="L10" s="27">
        <f>Таблица3[[#This Row],[Частота]]/$E$2</f>
        <v>0.0232558139534884</v>
      </c>
      <c r="M10">
        <f>M9+Таблица3[[#This Row],[Частота]]</f>
        <v>127</v>
      </c>
    </row>
    <row r="11" spans="1:13">
      <c r="A11" s="28" t="s">
        <v>22</v>
      </c>
      <c r="B11" s="29">
        <v>2710.5</v>
      </c>
      <c r="C11" s="29" t="str">
        <f>IF(OR(B11&gt;3*$E$4,B11&lt;$E$4/3),"ВЫБРОС","ОК")</f>
        <v>ОК</v>
      </c>
      <c r="G11" s="34">
        <v>9</v>
      </c>
      <c r="H11" s="35">
        <f t="shared" si="1"/>
        <v>3270.85555555555</v>
      </c>
      <c r="I11" s="35">
        <f t="shared" si="0"/>
        <v>3460.8</v>
      </c>
      <c r="J11" s="35">
        <f>ROUND((Таблица3[[#This Row],[Ниж. Гран]]+Таблица3[[#This Row],[Верх. Гран.]])/2,2)</f>
        <v>3365.83</v>
      </c>
      <c r="K11" s="38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2</v>
      </c>
      <c r="L11" s="35">
        <f>Таблица3[[#This Row],[Частота]]/$E$2</f>
        <v>0.0155038759689922</v>
      </c>
      <c r="M11">
        <f>M10+Таблица3[[#This Row],[Частота]]</f>
        <v>129</v>
      </c>
    </row>
    <row r="12" spans="1:13">
      <c r="A12" s="28" t="s">
        <v>68</v>
      </c>
      <c r="B12" s="29">
        <v>2685.3</v>
      </c>
      <c r="C12" s="29" t="str">
        <f>IF(OR(B12&gt;3*$E$4,B12&lt;$E$4/3),"ВЫБРОС","ОК")</f>
        <v>ОК</v>
      </c>
      <c r="D12" s="27" t="s">
        <v>161</v>
      </c>
      <c r="E12" s="27">
        <f>1+CEILING(3.322*LOG10($E$2),1)</f>
        <v>9</v>
      </c>
      <c r="G12" s="34" t="s">
        <v>162</v>
      </c>
      <c r="H12" s="35">
        <f>SUBTOTAL(109,Таблица3[Ниж. Гран])</f>
        <v>22599.7</v>
      </c>
      <c r="I12" s="35">
        <f>SUBTOTAL(109,Таблица3[Верх. Гран.])</f>
        <v>24309.2</v>
      </c>
      <c r="J12" s="35">
        <f>SUBTOTAL(109,Таблица3[Середина])</f>
        <v>23454.45</v>
      </c>
      <c r="K12" s="35">
        <f>SUBTOTAL(109,Таблица3[Частота])</f>
        <v>129</v>
      </c>
      <c r="L12" s="35">
        <f>SUBTOTAL(109,Таблица3[Отн. Частота])</f>
        <v>1</v>
      </c>
      <c r="M12" s="35"/>
    </row>
    <row r="13" spans="1:5">
      <c r="A13" s="28" t="s">
        <v>106</v>
      </c>
      <c r="B13" s="29">
        <v>2606.1</v>
      </c>
      <c r="C13" s="29" t="str">
        <f>IF(OR(B13&gt;3*$E$4,B13&lt;$E$4/3),"ВЫБРОС","ОК")</f>
        <v>ОК</v>
      </c>
      <c r="D13" s="27" t="s">
        <v>163</v>
      </c>
      <c r="E13" s="27">
        <f>MIN(Таблица2[2025])</f>
        <v>1751.3</v>
      </c>
    </row>
    <row r="14" spans="1:5">
      <c r="A14" s="28" t="s">
        <v>101</v>
      </c>
      <c r="B14" s="29">
        <v>2579.7</v>
      </c>
      <c r="C14" s="29" t="str">
        <f>IF(OR(B14&gt;3*$E$4,B14&lt;$E$4/3),"ВЫБРОС","ОК")</f>
        <v>ОК</v>
      </c>
      <c r="D14" s="27" t="s">
        <v>164</v>
      </c>
      <c r="E14" s="27">
        <f>MAX(Таблица2[2025])</f>
        <v>3460.8</v>
      </c>
    </row>
    <row r="15" spans="1:5">
      <c r="A15" s="28" t="s">
        <v>90</v>
      </c>
      <c r="B15" s="29">
        <v>2572.3</v>
      </c>
      <c r="C15" s="29" t="str">
        <f>IF(OR(B15&gt;3*$E$4,B15&lt;$E$4/3),"ВЫБРОС","ОК")</f>
        <v>ОК</v>
      </c>
      <c r="D15" s="27" t="s">
        <v>165</v>
      </c>
      <c r="E15" s="27">
        <f>(E14-E13)/E12</f>
        <v>189.944444444444</v>
      </c>
    </row>
    <row r="16" spans="1:3">
      <c r="A16" s="28" t="s">
        <v>62</v>
      </c>
      <c r="B16" s="29">
        <v>2568.2</v>
      </c>
      <c r="C16" s="29" t="str">
        <f>IF(OR(B16&gt;3*$E$4,B16&lt;$E$4/3),"ВЫБРОС","ОК")</f>
        <v>ОК</v>
      </c>
    </row>
    <row r="17" spans="1:3">
      <c r="A17" s="28" t="s">
        <v>107</v>
      </c>
      <c r="B17" s="29">
        <v>2567.3</v>
      </c>
      <c r="C17" s="29" t="str">
        <f>IF(OR(B17&gt;3*$E$4,B17&lt;$E$4/3),"ВЫБРОС","ОК")</f>
        <v>ОК</v>
      </c>
    </row>
    <row r="18" spans="1:3">
      <c r="A18" s="28" t="s">
        <v>48</v>
      </c>
      <c r="B18" s="29">
        <v>2550.1</v>
      </c>
      <c r="C18" s="29" t="str">
        <f>IF(OR(B18&gt;3*$E$4,B18&lt;$E$4/3),"ВЫБРОС","ОК")</f>
        <v>ОК</v>
      </c>
    </row>
    <row r="19" spans="1:3">
      <c r="A19" s="28" t="s">
        <v>131</v>
      </c>
      <c r="B19" s="29">
        <v>2533.8</v>
      </c>
      <c r="C19" s="29" t="str">
        <f>IF(OR(B19&gt;3*$E$4,B19&lt;$E$4/3),"ВЫБРОС","ОК")</f>
        <v>ОК</v>
      </c>
    </row>
    <row r="20" spans="1:3">
      <c r="A20" s="28" t="s">
        <v>8</v>
      </c>
      <c r="B20" s="29">
        <v>2502</v>
      </c>
      <c r="C20" s="29" t="str">
        <f>IF(OR(B20&gt;3*$E$4,B20&lt;$E$4/3),"ВЫБРОС","ОК")</f>
        <v>ОК</v>
      </c>
    </row>
    <row r="21" spans="1:3">
      <c r="A21" s="28" t="s">
        <v>76</v>
      </c>
      <c r="B21" s="29">
        <v>2501.5</v>
      </c>
      <c r="C21" s="29" t="str">
        <f>IF(OR(B21&gt;3*$E$4,B21&lt;$E$4/3),"ВЫБРОС","ОК")</f>
        <v>ОК</v>
      </c>
    </row>
    <row r="22" spans="1:3">
      <c r="A22" s="28" t="s">
        <v>102</v>
      </c>
      <c r="B22" s="29">
        <v>2459</v>
      </c>
      <c r="C22" s="29" t="str">
        <f>IF(OR(B22&gt;3*$E$4,B22&lt;$E$4/3),"ВЫБРОС","ОК")</f>
        <v>ОК</v>
      </c>
    </row>
    <row r="23" spans="1:3">
      <c r="A23" s="28" t="s">
        <v>139</v>
      </c>
      <c r="B23" s="29">
        <v>2454.9</v>
      </c>
      <c r="C23" s="29" t="str">
        <f>IF(OR(B23&gt;3*$E$4,B23&lt;$E$4/3),"ВЫБРОС","ОК")</f>
        <v>ОК</v>
      </c>
    </row>
    <row r="24" spans="1:3">
      <c r="A24" s="28" t="s">
        <v>71</v>
      </c>
      <c r="B24" s="29">
        <v>2454.4</v>
      </c>
      <c r="C24" s="29" t="str">
        <f>IF(OR(B24&gt;3*$E$4,B24&lt;$E$4/3),"ВЫБРОС","ОК")</f>
        <v>ОК</v>
      </c>
    </row>
    <row r="25" spans="1:3">
      <c r="A25" s="28" t="s">
        <v>11</v>
      </c>
      <c r="B25" s="29">
        <v>2443</v>
      </c>
      <c r="C25" s="29" t="str">
        <f>IF(OR(B25&gt;3*$E$4,B25&lt;$E$4/3),"ВЫБРОС","ОК")</f>
        <v>ОК</v>
      </c>
    </row>
    <row r="26" spans="1:3">
      <c r="A26" s="28" t="s">
        <v>7</v>
      </c>
      <c r="B26" s="29">
        <v>2427</v>
      </c>
      <c r="C26" s="29" t="str">
        <f>IF(OR(B26&gt;3*$E$4,B26&lt;$E$4/3),"ВЫБРОС","ОК")</f>
        <v>ОК</v>
      </c>
    </row>
    <row r="27" spans="1:3">
      <c r="A27" s="28" t="s">
        <v>94</v>
      </c>
      <c r="B27" s="29">
        <v>2409.7</v>
      </c>
      <c r="C27" s="29" t="str">
        <f>IF(OR(B27&gt;3*$E$4,B27&lt;$E$4/3),"ВЫБРОС","ОК")</f>
        <v>ОК</v>
      </c>
    </row>
    <row r="28" spans="1:3">
      <c r="A28" s="28" t="s">
        <v>88</v>
      </c>
      <c r="B28" s="29">
        <v>2405.6</v>
      </c>
      <c r="C28" s="29" t="str">
        <f>IF(OR(B28&gt;3*$E$4,B28&lt;$E$4/3),"ВЫБРОС","ОК")</f>
        <v>ОК</v>
      </c>
    </row>
    <row r="29" spans="1:3">
      <c r="A29" s="28" t="s">
        <v>47</v>
      </c>
      <c r="B29" s="29">
        <v>2403.3</v>
      </c>
      <c r="C29" s="29" t="str">
        <f>IF(OR(B29&gt;3*$E$4,B29&lt;$E$4/3),"ВЫБРОС","ОК")</f>
        <v>ОК</v>
      </c>
    </row>
    <row r="30" spans="1:3">
      <c r="A30" s="28" t="s">
        <v>108</v>
      </c>
      <c r="B30" s="29">
        <v>2401.7</v>
      </c>
      <c r="C30" s="29" t="str">
        <f>IF(OR(B30&gt;3*$E$4,B30&lt;$E$4/3),"ВЫБРОС","ОК")</f>
        <v>ОК</v>
      </c>
    </row>
    <row r="31" spans="1:3">
      <c r="A31" s="28" t="s">
        <v>138</v>
      </c>
      <c r="B31" s="29">
        <v>2401</v>
      </c>
      <c r="C31" s="29" t="str">
        <f>IF(OR(B31&gt;3*$E$4,B31&lt;$E$4/3),"ВЫБРОС","ОК")</f>
        <v>ОК</v>
      </c>
    </row>
    <row r="32" spans="1:7">
      <c r="A32" s="28" t="s">
        <v>14</v>
      </c>
      <c r="B32" s="29">
        <v>2399.3</v>
      </c>
      <c r="C32" s="29" t="str">
        <f>IF(OR(B32&gt;3*$E$4,B32&lt;$E$4/3),"ВЫБРОС","ОК")</f>
        <v>ОК</v>
      </c>
      <c r="D32" s="27" t="s">
        <v>161</v>
      </c>
      <c r="E32" s="27">
        <f>E12-1</f>
        <v>8</v>
      </c>
      <c r="G32" t="s">
        <v>142</v>
      </c>
    </row>
    <row r="33" spans="1:12">
      <c r="A33" s="28" t="s">
        <v>113</v>
      </c>
      <c r="B33" s="29">
        <v>2384.7</v>
      </c>
      <c r="C33" s="29" t="str">
        <f>IF(OR(B33&gt;3*$E$4,B33&lt;$E$4/3),"ВЫБРОС","ОК")</f>
        <v>ОК</v>
      </c>
      <c r="D33" s="27" t="s">
        <v>163</v>
      </c>
      <c r="E33" s="27">
        <f>MIN(Таблица2[2025])</f>
        <v>1751.3</v>
      </c>
      <c r="G33" s="24" t="s">
        <v>145</v>
      </c>
      <c r="H33" s="32" t="s">
        <v>146</v>
      </c>
      <c r="I33" s="32" t="s">
        <v>147</v>
      </c>
      <c r="J33" s="32" t="s">
        <v>148</v>
      </c>
      <c r="K33" s="36" t="s">
        <v>149</v>
      </c>
      <c r="L33" s="32" t="s">
        <v>150</v>
      </c>
    </row>
    <row r="34" spans="1:12">
      <c r="A34" s="28" t="s">
        <v>73</v>
      </c>
      <c r="B34" s="29">
        <v>2376.9</v>
      </c>
      <c r="C34" s="29" t="str">
        <f>IF(OR(B34&gt;3*$E$4,B34&lt;$E$4/3),"ВЫБРОС","ОК")</f>
        <v>ОК</v>
      </c>
      <c r="D34" s="27" t="s">
        <v>164</v>
      </c>
      <c r="E34" s="27">
        <f>MAX(Таблица2[2025])</f>
        <v>3460.8</v>
      </c>
      <c r="G34" s="28">
        <v>1</v>
      </c>
      <c r="H34" s="27">
        <f>E33</f>
        <v>1751.3</v>
      </c>
      <c r="I34" s="27">
        <f t="shared" ref="I34:I41" si="2">H34+$E$35</f>
        <v>1964.9875</v>
      </c>
      <c r="J34" s="27">
        <f>ROUND((Таблица35[[#This Row],[Ниж. Гран]]+Таблица35[[#This Row],[Верх. Гран.]])/2,2)</f>
        <v>1858.14</v>
      </c>
      <c r="K34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25</v>
      </c>
      <c r="L34" s="32">
        <f>Таблица35[[#This Row],[Частота]]/$E$2</f>
        <v>0.193798449612403</v>
      </c>
    </row>
    <row r="35" spans="1:12">
      <c r="A35" s="28" t="s">
        <v>112</v>
      </c>
      <c r="B35" s="29">
        <v>2361.6</v>
      </c>
      <c r="C35" s="29" t="str">
        <f>IF(OR(B35&gt;3*$E$4,B35&lt;$E$4/3),"ВЫБРОС","ОК")</f>
        <v>ОК</v>
      </c>
      <c r="D35" s="27" t="s">
        <v>165</v>
      </c>
      <c r="E35" s="27">
        <f>(E34-E33)/E32</f>
        <v>213.6875</v>
      </c>
      <c r="G35" s="28">
        <v>2</v>
      </c>
      <c r="H35" s="27">
        <f t="shared" ref="H35:H41" si="3">I34</f>
        <v>1964.9875</v>
      </c>
      <c r="I35" s="27">
        <f t="shared" si="2"/>
        <v>2178.675</v>
      </c>
      <c r="J35" s="27">
        <f>ROUND((Таблица35[[#This Row],[Ниж. Гран]]+Таблица35[[#This Row],[Верх. Гран.]])/2,2)</f>
        <v>2071.83</v>
      </c>
      <c r="K35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42</v>
      </c>
      <c r="L35" s="27">
        <f>Таблица35[[#This Row],[Частота]]/$E$2</f>
        <v>0.325581395348837</v>
      </c>
    </row>
    <row r="36" spans="1:12">
      <c r="A36" s="28" t="s">
        <v>74</v>
      </c>
      <c r="B36" s="29">
        <v>2311.5</v>
      </c>
      <c r="C36" s="29" t="str">
        <f>IF(OR(B36&gt;3*$E$4,B36&lt;$E$4/3),"ВЫБРОС","ОК")</f>
        <v>ОК</v>
      </c>
      <c r="G36" s="28">
        <v>3</v>
      </c>
      <c r="H36" s="27">
        <f t="shared" si="3"/>
        <v>2178.675</v>
      </c>
      <c r="I36" s="27">
        <f t="shared" si="2"/>
        <v>2392.3625</v>
      </c>
      <c r="J36" s="27">
        <f>ROUND((Таблица35[[#This Row],[Ниж. Гран]]+Таблица35[[#This Row],[Верх. Гран.]])/2,2)</f>
        <v>2285.52</v>
      </c>
      <c r="K36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32</v>
      </c>
      <c r="L36" s="27">
        <f>Таблица35[[#This Row],[Частота]]/$E$2</f>
        <v>0.248062015503876</v>
      </c>
    </row>
    <row r="37" spans="1:12">
      <c r="A37" s="28" t="s">
        <v>99</v>
      </c>
      <c r="B37" s="29">
        <v>2308.1</v>
      </c>
      <c r="C37" s="29" t="str">
        <f>IF(OR(B37&gt;3*$E$4,B37&lt;$E$4/3),"ВЫБРОС","ОК")</f>
        <v>ОК</v>
      </c>
      <c r="G37" s="28">
        <v>4</v>
      </c>
      <c r="H37" s="27">
        <f t="shared" si="3"/>
        <v>2392.3625</v>
      </c>
      <c r="I37" s="27">
        <f t="shared" si="2"/>
        <v>2606.05</v>
      </c>
      <c r="J37" s="27">
        <f>ROUND((Таблица35[[#This Row],[Ниж. Гран]]+Таблица35[[#This Row],[Верх. Гран.]])/2,2)</f>
        <v>2499.21</v>
      </c>
      <c r="K37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19</v>
      </c>
      <c r="L37" s="27">
        <f>Таблица35[[#This Row],[Частота]]/$E$2</f>
        <v>0.147286821705426</v>
      </c>
    </row>
    <row r="38" spans="1:12">
      <c r="A38" s="28" t="s">
        <v>104</v>
      </c>
      <c r="B38" s="29">
        <v>2303.8</v>
      </c>
      <c r="C38" s="29" t="str">
        <f>IF(OR(B38&gt;3*$E$4,B38&lt;$E$4/3),"ВЫБРОС","ОК")</f>
        <v>ОК</v>
      </c>
      <c r="G38" s="28">
        <v>5</v>
      </c>
      <c r="H38" s="27">
        <f t="shared" si="3"/>
        <v>2606.05</v>
      </c>
      <c r="I38" s="27">
        <f t="shared" si="2"/>
        <v>2819.7375</v>
      </c>
      <c r="J38" s="27">
        <f>ROUND((Таблица35[[#This Row],[Ниж. Гран]]+Таблица35[[#This Row],[Верх. Гран.]])/2,2)</f>
        <v>2712.89</v>
      </c>
      <c r="K38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4</v>
      </c>
      <c r="L38" s="27">
        <f>Таблица35[[#This Row],[Частота]]/$E$2</f>
        <v>0.0310077519379845</v>
      </c>
    </row>
    <row r="39" spans="1:12">
      <c r="A39" s="28" t="s">
        <v>57</v>
      </c>
      <c r="B39" s="29">
        <v>2302.5</v>
      </c>
      <c r="C39" s="29" t="str">
        <f>IF(OR(B39&gt;3*$E$4,B39&lt;$E$4/3),"ВЫБРОС","ОК")</f>
        <v>ОК</v>
      </c>
      <c r="G39" s="28">
        <v>6</v>
      </c>
      <c r="H39" s="27">
        <f t="shared" si="3"/>
        <v>2819.7375</v>
      </c>
      <c r="I39" s="27">
        <f t="shared" si="2"/>
        <v>3033.425</v>
      </c>
      <c r="J39" s="27">
        <f>ROUND((Таблица35[[#This Row],[Ниж. Гран]]+Таблица35[[#This Row],[Верх. Гран.]])/2,2)</f>
        <v>2926.58</v>
      </c>
      <c r="K39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2</v>
      </c>
      <c r="L39" s="27">
        <f>Таблица35[[#This Row],[Частота]]/$E$2</f>
        <v>0.0155038759689922</v>
      </c>
    </row>
    <row r="40" spans="1:12">
      <c r="A40" s="28" t="s">
        <v>133</v>
      </c>
      <c r="B40" s="29">
        <v>2296.2</v>
      </c>
      <c r="C40" s="29" t="str">
        <f>IF(OR(B40&gt;3*$E$4,B40&lt;$E$4/3),"ВЫБРОС","ОК")</f>
        <v>ОК</v>
      </c>
      <c r="G40" s="28">
        <v>7</v>
      </c>
      <c r="H40" s="27">
        <f t="shared" si="3"/>
        <v>3033.425</v>
      </c>
      <c r="I40" s="27">
        <f t="shared" si="2"/>
        <v>3247.1125</v>
      </c>
      <c r="J40" s="27">
        <f>ROUND((Таблица35[[#This Row],[Ниж. Гран]]+Таблица35[[#This Row],[Верх. Гран.]])/2,2)</f>
        <v>3140.27</v>
      </c>
      <c r="K40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3</v>
      </c>
      <c r="L40" s="27">
        <f>Таблица35[[#This Row],[Частота]]/$E$2</f>
        <v>0.0232558139534884</v>
      </c>
    </row>
    <row r="41" spans="1:12">
      <c r="A41" s="28" t="s">
        <v>20</v>
      </c>
      <c r="B41" s="29">
        <v>2293.5</v>
      </c>
      <c r="C41" s="29" t="str">
        <f>IF(OR(B41&gt;3*$E$4,B41&lt;$E$4/3),"ВЫБРОС","ОК")</f>
        <v>ОК</v>
      </c>
      <c r="G41" s="28">
        <v>8</v>
      </c>
      <c r="H41" s="27">
        <f t="shared" si="3"/>
        <v>3247.1125</v>
      </c>
      <c r="I41" s="27">
        <f t="shared" si="2"/>
        <v>3460.8</v>
      </c>
      <c r="J41" s="27">
        <f>ROUND((Таблица35[[#This Row],[Ниж. Гран]]+Таблица35[[#This Row],[Верх. Гран.]])/2,2)</f>
        <v>3353.96</v>
      </c>
      <c r="K41" s="37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2</v>
      </c>
      <c r="L41" s="27">
        <f>Таблица35[[#This Row],[Частота]]/$E$2</f>
        <v>0.0155038759689922</v>
      </c>
    </row>
    <row r="42" spans="1:12">
      <c r="A42" s="28" t="s">
        <v>44</v>
      </c>
      <c r="B42" s="29">
        <v>2288.2</v>
      </c>
      <c r="C42" s="29" t="str">
        <f>IF(OR(B42&gt;3*$E$4,B42&lt;$E$4/3),"ВЫБРОС","ОК")</f>
        <v>ОК</v>
      </c>
      <c r="G42" s="34" t="s">
        <v>162</v>
      </c>
      <c r="H42" s="35">
        <f>SUBTOTAL(109,Таблица35[Ниж. Гран])</f>
        <v>19993.65</v>
      </c>
      <c r="I42" s="35">
        <f>SUBTOTAL(109,Таблица35[Верх. Гран.])</f>
        <v>21703.15</v>
      </c>
      <c r="J42" s="35">
        <f>SUBTOTAL(109,Таблица35[Середина])</f>
        <v>20848.4</v>
      </c>
      <c r="K42" s="35">
        <f>SUBTOTAL(109,Таблица35[Частота])</f>
        <v>129</v>
      </c>
      <c r="L42" s="35">
        <f>SUBTOTAL(109,Таблица35[Отн. Частота])</f>
        <v>1</v>
      </c>
    </row>
    <row r="43" spans="1:3">
      <c r="A43" s="28" t="s">
        <v>15</v>
      </c>
      <c r="B43" s="29">
        <v>2285.7</v>
      </c>
      <c r="C43" s="29" t="str">
        <f>IF(OR(B43&gt;3*$E$4,B43&lt;$E$4/3),"ВЫБРОС","ОК")</f>
        <v>ОК</v>
      </c>
    </row>
    <row r="44" spans="1:3">
      <c r="A44" s="28" t="s">
        <v>114</v>
      </c>
      <c r="B44" s="29">
        <v>2283</v>
      </c>
      <c r="C44" s="29" t="str">
        <f>IF(OR(B44&gt;3*$E$4,B44&lt;$E$4/3),"ВЫБРОС","ОК")</f>
        <v>ОК</v>
      </c>
    </row>
    <row r="45" spans="1:3">
      <c r="A45" s="28" t="s">
        <v>89</v>
      </c>
      <c r="B45" s="29">
        <v>2272.4</v>
      </c>
      <c r="C45" s="29" t="str">
        <f>IF(OR(B45&gt;3*$E$4,B45&lt;$E$4/3),"ВЫБРОС","ОК")</f>
        <v>ОК</v>
      </c>
    </row>
    <row r="46" spans="1:3">
      <c r="A46" s="28" t="s">
        <v>6</v>
      </c>
      <c r="B46" s="29">
        <v>2270.2</v>
      </c>
      <c r="C46" s="29" t="str">
        <f>IF(OR(B46&gt;3*$E$4,B46&lt;$E$4/3),"ВЫБРОС","ОК")</f>
        <v>ОК</v>
      </c>
    </row>
    <row r="47" spans="1:3">
      <c r="A47" s="28" t="s">
        <v>81</v>
      </c>
      <c r="B47" s="29">
        <v>2267.4</v>
      </c>
      <c r="C47" s="29" t="str">
        <f>IF(OR(B47&gt;3*$E$4,B47&lt;$E$4/3),"ВЫБРОС","ОК")</f>
        <v>ОК</v>
      </c>
    </row>
    <row r="48" spans="1:3">
      <c r="A48" s="28" t="s">
        <v>12</v>
      </c>
      <c r="B48" s="29">
        <v>2260</v>
      </c>
      <c r="C48" s="29" t="str">
        <f>IF(OR(B48&gt;3*$E$4,B48&lt;$E$4/3),"ВЫБРОС","ОК")</f>
        <v>ОК</v>
      </c>
    </row>
    <row r="49" spans="1:3">
      <c r="A49" s="28" t="s">
        <v>111</v>
      </c>
      <c r="B49" s="29">
        <v>2257.6</v>
      </c>
      <c r="C49" s="29" t="str">
        <f>IF(OR(B49&gt;3*$E$4,B49&lt;$E$4/3),"ВЫБРОС","ОК")</f>
        <v>ОК</v>
      </c>
    </row>
    <row r="50" spans="1:3">
      <c r="A50" s="28" t="s">
        <v>96</v>
      </c>
      <c r="B50" s="29">
        <v>2254.1</v>
      </c>
      <c r="C50" s="29" t="str">
        <f>IF(OR(B50&gt;3*$E$4,B50&lt;$E$4/3),"ВЫБРОС","ОК")</f>
        <v>ОК</v>
      </c>
    </row>
    <row r="51" spans="1:3">
      <c r="A51" s="28" t="s">
        <v>100</v>
      </c>
      <c r="B51" s="29">
        <v>2240.4</v>
      </c>
      <c r="C51" s="29" t="str">
        <f>IF(OR(B51&gt;3*$E$4,B51&lt;$E$4/3),"ВЫБРОС","ОК")</f>
        <v>ОК</v>
      </c>
    </row>
    <row r="52" spans="1:3">
      <c r="A52" s="28" t="s">
        <v>65</v>
      </c>
      <c r="B52" s="29">
        <v>2236.7</v>
      </c>
      <c r="C52" s="29" t="str">
        <f>IF(OR(B52&gt;3*$E$4,B52&lt;$E$4/3),"ВЫБРОС","ОК")</f>
        <v>ОК</v>
      </c>
    </row>
    <row r="53" spans="1:3">
      <c r="A53" s="28" t="s">
        <v>23</v>
      </c>
      <c r="B53" s="29">
        <v>2234.5</v>
      </c>
      <c r="C53" s="29" t="str">
        <f>IF(OR(B53&gt;3*$E$4,B53&lt;$E$4/3),"ВЫБРОС","ОК")</f>
        <v>ОК</v>
      </c>
    </row>
    <row r="54" spans="1:3">
      <c r="A54" s="28" t="s">
        <v>29</v>
      </c>
      <c r="B54" s="29">
        <v>2234.3</v>
      </c>
      <c r="C54" s="29" t="str">
        <f>IF(OR(B54&gt;3*$E$4,B54&lt;$E$4/3),"ВЫБРОС","ОК")</f>
        <v>ОК</v>
      </c>
    </row>
    <row r="55" spans="1:3">
      <c r="A55" s="28" t="s">
        <v>38</v>
      </c>
      <c r="B55" s="29">
        <v>2228.3</v>
      </c>
      <c r="C55" s="29" t="str">
        <f>IF(OR(B55&gt;3*$E$4,B55&lt;$E$4/3),"ВЫБРОС","ОК")</f>
        <v>ОК</v>
      </c>
    </row>
    <row r="56" spans="1:3">
      <c r="A56" s="28" t="s">
        <v>24</v>
      </c>
      <c r="B56" s="29">
        <v>2222</v>
      </c>
      <c r="C56" s="29" t="str">
        <f>IF(OR(B56&gt;3*$E$4,B56&lt;$E$4/3),"ВЫБРОС","ОК")</f>
        <v>ОК</v>
      </c>
    </row>
    <row r="57" spans="1:3">
      <c r="A57" s="28" t="s">
        <v>19</v>
      </c>
      <c r="B57" s="29">
        <v>2217.6</v>
      </c>
      <c r="C57" s="29" t="str">
        <f>IF(OR(B57&gt;3*$E$4,B57&lt;$E$4/3),"ВЫБРОС","ОК")</f>
        <v>ОК</v>
      </c>
    </row>
    <row r="58" spans="1:3">
      <c r="A58" s="28" t="s">
        <v>28</v>
      </c>
      <c r="B58" s="29">
        <v>2215.6</v>
      </c>
      <c r="C58" s="29" t="str">
        <f>IF(OR(B58&gt;3*$E$4,B58&lt;$E$4/3),"ВЫБРОС","ОК")</f>
        <v>ОК</v>
      </c>
    </row>
    <row r="59" spans="1:3">
      <c r="A59" s="28" t="s">
        <v>105</v>
      </c>
      <c r="B59" s="29">
        <v>2215</v>
      </c>
      <c r="C59" s="29" t="str">
        <f>IF(OR(B59&gt;3*$E$4,B59&lt;$E$4/3),"ВЫБРОС","ОК")</f>
        <v>ОК</v>
      </c>
    </row>
    <row r="60" spans="1:3">
      <c r="A60" s="28" t="s">
        <v>16</v>
      </c>
      <c r="B60" s="29">
        <v>2211.2</v>
      </c>
      <c r="C60" s="29" t="str">
        <f>IF(OR(B60&gt;3*$E$4,B60&lt;$E$4/3),"ВЫБРОС","ОК")</f>
        <v>ОК</v>
      </c>
    </row>
    <row r="61" spans="1:7">
      <c r="A61" s="28" t="s">
        <v>37</v>
      </c>
      <c r="B61" s="29">
        <v>2209.3</v>
      </c>
      <c r="C61" s="29" t="str">
        <f>IF(OR(B61&gt;3*$E$4,B61&lt;$E$4/3),"ВЫБРОС","ОК")</f>
        <v>ОК</v>
      </c>
      <c r="D61" s="27" t="s">
        <v>161</v>
      </c>
      <c r="E61" s="27">
        <f>E12+1</f>
        <v>10</v>
      </c>
      <c r="G61" t="s">
        <v>142</v>
      </c>
    </row>
    <row r="62" spans="1:12">
      <c r="A62" s="28" t="s">
        <v>98</v>
      </c>
      <c r="B62" s="29">
        <v>2198.7</v>
      </c>
      <c r="C62" s="29" t="str">
        <f>IF(OR(B62&gt;3*$E$4,B62&lt;$E$4/3),"ВЫБРОС","ОК")</f>
        <v>ОК</v>
      </c>
      <c r="D62" s="27" t="s">
        <v>163</v>
      </c>
      <c r="E62" s="27">
        <f>MIN(Таблица2[2025])</f>
        <v>1751.3</v>
      </c>
      <c r="G62" s="24" t="s">
        <v>145</v>
      </c>
      <c r="H62" s="32" t="s">
        <v>146</v>
      </c>
      <c r="I62" s="32" t="s">
        <v>147</v>
      </c>
      <c r="J62" s="32" t="s">
        <v>148</v>
      </c>
      <c r="K62" s="36" t="s">
        <v>149</v>
      </c>
      <c r="L62" s="32" t="s">
        <v>150</v>
      </c>
    </row>
    <row r="63" spans="1:12">
      <c r="A63" s="28" t="s">
        <v>127</v>
      </c>
      <c r="B63" s="29">
        <v>2187.2</v>
      </c>
      <c r="C63" s="29" t="str">
        <f>IF(OR(B63&gt;3*$E$4,B63&lt;$E$4/3),"ВЫБРОС","ОК")</f>
        <v>ОК</v>
      </c>
      <c r="D63" s="27" t="s">
        <v>164</v>
      </c>
      <c r="E63" s="27">
        <f>MAX(Таблица2[2025])</f>
        <v>3460.8</v>
      </c>
      <c r="G63" s="28">
        <v>1</v>
      </c>
      <c r="H63" s="27">
        <f>E62</f>
        <v>1751.3</v>
      </c>
      <c r="I63" s="27">
        <f t="shared" ref="I63:I72" si="4">H63+$E$64</f>
        <v>1922.25</v>
      </c>
      <c r="J63" s="27">
        <f>ROUND((Таблица356[[#This Row],[Ниж. Гран]]+Таблица356[[#This Row],[Верх. Гран.]])/2,2)</f>
        <v>1836.78</v>
      </c>
      <c r="K63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14</v>
      </c>
      <c r="L63" s="32">
        <f>Таблица356[[#This Row],[Частота]]/$E$2</f>
        <v>0.108527131782946</v>
      </c>
    </row>
    <row r="64" spans="1:12">
      <c r="A64" s="28" t="s">
        <v>87</v>
      </c>
      <c r="B64" s="29">
        <v>2182.8</v>
      </c>
      <c r="C64" s="29" t="str">
        <f>IF(OR(B64&gt;3*$E$4,B64&lt;$E$4/3),"ВЫБРОС","ОК")</f>
        <v>ОК</v>
      </c>
      <c r="D64" s="27" t="s">
        <v>165</v>
      </c>
      <c r="E64" s="27">
        <f>(E63-E62)/E61</f>
        <v>170.95</v>
      </c>
      <c r="G64" s="28">
        <v>2</v>
      </c>
      <c r="H64" s="27">
        <f t="shared" ref="H64:H72" si="5">I63</f>
        <v>1922.25</v>
      </c>
      <c r="I64" s="27">
        <f t="shared" si="4"/>
        <v>2093.2</v>
      </c>
      <c r="J64" s="27">
        <f>ROUND((Таблица356[[#This Row],[Ниж. Гран]]+Таблица356[[#This Row],[Верх. Гран.]])/2,2)</f>
        <v>2007.73</v>
      </c>
      <c r="K64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31</v>
      </c>
      <c r="L64" s="27">
        <f>Таблица356[[#This Row],[Частота]]/$E$2</f>
        <v>0.24031007751938</v>
      </c>
    </row>
    <row r="65" spans="1:12">
      <c r="A65" s="28" t="s">
        <v>118</v>
      </c>
      <c r="B65" s="29">
        <v>2173.5</v>
      </c>
      <c r="C65" s="29" t="str">
        <f>IF(OR(B65&gt;3*$E$4,B65&lt;$E$4/3),"ВЫБРОС","ОК")</f>
        <v>ОК</v>
      </c>
      <c r="G65" s="28">
        <v>3</v>
      </c>
      <c r="H65" s="27">
        <f t="shared" si="5"/>
        <v>2093.2</v>
      </c>
      <c r="I65" s="27">
        <f t="shared" si="4"/>
        <v>2264.15</v>
      </c>
      <c r="J65" s="27">
        <f>ROUND((Таблица356[[#This Row],[Ниж. Гран]]+Таблица356[[#This Row],[Верх. Гран.]])/2,2)</f>
        <v>2178.68</v>
      </c>
      <c r="K65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39</v>
      </c>
      <c r="L65" s="27">
        <f>Таблица356[[#This Row],[Частота]]/$E$2</f>
        <v>0.302325581395349</v>
      </c>
    </row>
    <row r="66" spans="1:12">
      <c r="A66" s="28" t="s">
        <v>77</v>
      </c>
      <c r="B66" s="29">
        <v>2152.6</v>
      </c>
      <c r="C66" s="29" t="str">
        <f>IF(OR(B66&gt;3*$E$4,B66&lt;$E$4/3),"ВЫБРОС","ОК")</f>
        <v>ОК</v>
      </c>
      <c r="G66" s="28">
        <v>4</v>
      </c>
      <c r="H66" s="27">
        <f t="shared" si="5"/>
        <v>2264.15</v>
      </c>
      <c r="I66" s="27">
        <f t="shared" si="4"/>
        <v>2435.1</v>
      </c>
      <c r="J66" s="27">
        <f>ROUND((Таблица356[[#This Row],[Ниж. Гран]]+Таблица356[[#This Row],[Верх. Гран.]])/2,2)</f>
        <v>2349.63</v>
      </c>
      <c r="K66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22</v>
      </c>
      <c r="L66" s="27">
        <f>Таблица356[[#This Row],[Частота]]/$E$2</f>
        <v>0.170542635658915</v>
      </c>
    </row>
    <row r="67" spans="1:12">
      <c r="A67" s="28" t="s">
        <v>34</v>
      </c>
      <c r="B67" s="29">
        <v>2151.4</v>
      </c>
      <c r="C67" s="29" t="str">
        <f>IF(OR(B67&gt;3*$E$4,B67&lt;$E$4/3),"ВЫБРОС","ОК")</f>
        <v>ОК</v>
      </c>
      <c r="D67" t="s">
        <v>166</v>
      </c>
      <c r="E67" t="s">
        <v>167</v>
      </c>
      <c r="G67" s="28">
        <v>5</v>
      </c>
      <c r="H67" s="27">
        <f t="shared" si="5"/>
        <v>2435.1</v>
      </c>
      <c r="I67" s="27">
        <f t="shared" si="4"/>
        <v>2606.05</v>
      </c>
      <c r="J67" s="27">
        <f>ROUND((Таблица356[[#This Row],[Ниж. Гран]]+Таблица356[[#This Row],[Верх. Гран.]])/2,2)</f>
        <v>2520.58</v>
      </c>
      <c r="K67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12</v>
      </c>
      <c r="L67" s="27">
        <f>Таблица356[[#This Row],[Частота]]/$E$2</f>
        <v>0.0930232558139535</v>
      </c>
    </row>
    <row r="68" spans="1:12">
      <c r="A68" s="28" t="s">
        <v>95</v>
      </c>
      <c r="B68" s="29">
        <v>2149.9</v>
      </c>
      <c r="C68" s="29" t="str">
        <f>IF(OR(B68&gt;3*$E$4,B68&lt;$E$4/3),"ВЫБРОС","ОК")</f>
        <v>ОК</v>
      </c>
      <c r="G68" s="28">
        <v>6</v>
      </c>
      <c r="H68" s="27">
        <f t="shared" si="5"/>
        <v>2606.05</v>
      </c>
      <c r="I68" s="27">
        <f t="shared" si="4"/>
        <v>2777</v>
      </c>
      <c r="J68" s="27">
        <f>ROUND((Таблица356[[#This Row],[Ниж. Гран]]+Таблица356[[#This Row],[Верх. Гран.]])/2,2)</f>
        <v>2691.53</v>
      </c>
      <c r="K68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4</v>
      </c>
      <c r="L68" s="27">
        <f>Таблица356[[#This Row],[Частота]]/$E$2</f>
        <v>0.0310077519379845</v>
      </c>
    </row>
    <row r="69" spans="1:12">
      <c r="A69" s="28" t="s">
        <v>140</v>
      </c>
      <c r="B69" s="29">
        <v>2149.7</v>
      </c>
      <c r="C69" s="29" t="str">
        <f>IF(OR(B69&gt;3*$E$4,B69&lt;$E$4/3),"ВЫБРОС","ОК")</f>
        <v>ОК</v>
      </c>
      <c r="G69" s="28">
        <v>7</v>
      </c>
      <c r="H69" s="27">
        <f t="shared" si="5"/>
        <v>2777</v>
      </c>
      <c r="I69" s="27">
        <f t="shared" si="4"/>
        <v>2947.95</v>
      </c>
      <c r="J69" s="27">
        <f>ROUND((Таблица356[[#This Row],[Ниж. Гран]]+Таблица356[[#This Row],[Верх. Гран.]])/2,2)</f>
        <v>2862.48</v>
      </c>
      <c r="K69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</v>
      </c>
      <c r="L69" s="27">
        <f>Таблица356[[#This Row],[Частота]]/$E$2</f>
        <v>0.0155038759689922</v>
      </c>
    </row>
    <row r="70" spans="1:12">
      <c r="A70" s="28" t="s">
        <v>58</v>
      </c>
      <c r="B70" s="29">
        <v>2147.4</v>
      </c>
      <c r="C70" s="29" t="str">
        <f>IF(OR(B70&gt;3*$E$4,B70&lt;$E$4/3),"ВЫБРОС","ОК")</f>
        <v>ОК</v>
      </c>
      <c r="G70" s="28">
        <v>8</v>
      </c>
      <c r="H70" s="27">
        <f t="shared" si="5"/>
        <v>2947.95</v>
      </c>
      <c r="I70" s="27">
        <f t="shared" si="4"/>
        <v>3118.9</v>
      </c>
      <c r="J70" s="27">
        <f>ROUND((Таблица356[[#This Row],[Ниж. Гран]]+Таблица356[[#This Row],[Верх. Гран.]])/2,2)</f>
        <v>3033.43</v>
      </c>
      <c r="K70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1</v>
      </c>
      <c r="L70" s="27">
        <f>Таблица356[[#This Row],[Частота]]/$E$2</f>
        <v>0.00775193798449612</v>
      </c>
    </row>
    <row r="71" spans="1:12">
      <c r="A71" s="28" t="s">
        <v>18</v>
      </c>
      <c r="B71" s="29">
        <v>2137.5</v>
      </c>
      <c r="C71" s="29" t="str">
        <f>IF(OR(B71&gt;3*$E$4,B71&lt;$E$4/3),"ВЫБРОС","ОК")</f>
        <v>ОК</v>
      </c>
      <c r="G71" s="28">
        <v>9</v>
      </c>
      <c r="H71" s="27">
        <f t="shared" si="5"/>
        <v>3118.9</v>
      </c>
      <c r="I71" s="27">
        <f t="shared" si="4"/>
        <v>3289.85</v>
      </c>
      <c r="J71" s="27">
        <f>ROUND((Таблица356[[#This Row],[Ниж. Гран]]+Таблица356[[#This Row],[Верх. Гран.]])/2,2)</f>
        <v>3204.38</v>
      </c>
      <c r="K71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</v>
      </c>
      <c r="L71" s="27">
        <f>Таблица356[[#This Row],[Частота]]/$E$2</f>
        <v>0.0155038759689922</v>
      </c>
    </row>
    <row r="72" spans="1:12">
      <c r="A72" s="28" t="s">
        <v>10</v>
      </c>
      <c r="B72" s="29">
        <v>2132.1</v>
      </c>
      <c r="C72" s="29" t="str">
        <f>IF(OR(B72&gt;3*$E$4,B72&lt;$E$4/3),"ВЫБРОС","ОК")</f>
        <v>ОК</v>
      </c>
      <c r="G72" s="28">
        <v>10</v>
      </c>
      <c r="H72" s="27">
        <f t="shared" si="5"/>
        <v>3289.85</v>
      </c>
      <c r="I72" s="27">
        <f t="shared" si="4"/>
        <v>3460.8</v>
      </c>
      <c r="J72" s="27">
        <f>ROUND((Таблица356[[#This Row],[Ниж. Гран]]+Таблица356[[#This Row],[Верх. Гран.]])/2,2)</f>
        <v>3375.33</v>
      </c>
      <c r="K72" s="37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</v>
      </c>
      <c r="L72" s="27">
        <f>Таблица356[[#This Row],[Частота]]/$E$2</f>
        <v>0.0155038759689922</v>
      </c>
    </row>
    <row r="73" spans="1:12">
      <c r="A73" s="28" t="s">
        <v>83</v>
      </c>
      <c r="B73" s="29">
        <v>2131.4</v>
      </c>
      <c r="C73" s="29" t="str">
        <f>IF(OR(B73&gt;3*$E$4,B73&lt;$E$4/3),"ВЫБРОС","ОК")</f>
        <v>ОК</v>
      </c>
      <c r="G73" s="34" t="s">
        <v>162</v>
      </c>
      <c r="H73" s="35">
        <f>SUBTOTAL(109,Таблица356[Ниж. Гран])</f>
        <v>25205.75</v>
      </c>
      <c r="I73" s="35">
        <f>SUBTOTAL(109,Таблица356[Верх. Гран.])</f>
        <v>26915.25</v>
      </c>
      <c r="J73" s="35">
        <f>SUBTOTAL(109,Таблица356[Середина])</f>
        <v>26060.55</v>
      </c>
      <c r="K73" s="35">
        <f>SUBTOTAL(109,Таблица356[Частота])</f>
        <v>129</v>
      </c>
      <c r="L73" s="35">
        <f>SUBTOTAL(109,Таблица356[Отн. Частота])</f>
        <v>1</v>
      </c>
    </row>
    <row r="74" spans="1:3">
      <c r="A74" s="28" t="s">
        <v>17</v>
      </c>
      <c r="B74" s="29">
        <v>2128.7</v>
      </c>
      <c r="C74" s="29" t="str">
        <f>IF(OR(B74&gt;3*$E$4,B74&lt;$E$4/3),"ВЫБРОС","ОК")</f>
        <v>ОК</v>
      </c>
    </row>
    <row r="75" spans="1:3">
      <c r="A75" s="28" t="s">
        <v>93</v>
      </c>
      <c r="B75" s="29">
        <v>2127.3</v>
      </c>
      <c r="C75" s="29" t="str">
        <f>IF(OR(B75&gt;3*$E$4,B75&lt;$E$4/3),"ВЫБРОС","ОК")</f>
        <v>ОК</v>
      </c>
    </row>
    <row r="76" spans="1:3">
      <c r="A76" s="28" t="s">
        <v>86</v>
      </c>
      <c r="B76" s="29">
        <v>2125.2</v>
      </c>
      <c r="C76" s="29" t="str">
        <f>IF(OR(B76&gt;3*$E$4,B76&lt;$E$4/3),"ВЫБРОС","ОК")</f>
        <v>ОК</v>
      </c>
    </row>
    <row r="77" spans="1:3">
      <c r="A77" s="28" t="s">
        <v>129</v>
      </c>
      <c r="B77" s="29">
        <v>2123.2</v>
      </c>
      <c r="C77" s="29" t="str">
        <f>IF(OR(B77&gt;3*$E$4,B77&lt;$E$4/3),"ВЫБРОС","ОК")</f>
        <v>ОК</v>
      </c>
    </row>
    <row r="78" spans="1:3">
      <c r="A78" s="28" t="s">
        <v>33</v>
      </c>
      <c r="B78" s="29">
        <v>2122</v>
      </c>
      <c r="C78" s="29" t="str">
        <f>IF(OR(B78&gt;3*$E$4,B78&lt;$E$4/3),"ВЫБРОС","ОК")</f>
        <v>ОК</v>
      </c>
    </row>
    <row r="79" spans="1:3">
      <c r="A79" s="28" t="s">
        <v>53</v>
      </c>
      <c r="B79" s="29">
        <v>2116.6</v>
      </c>
      <c r="C79" s="29" t="str">
        <f>IF(OR(B79&gt;3*$E$4,B79&lt;$E$4/3),"ВЫБРОС","ОК")</f>
        <v>ОК</v>
      </c>
    </row>
    <row r="80" spans="1:3">
      <c r="A80" s="28" t="s">
        <v>56</v>
      </c>
      <c r="B80" s="29">
        <v>2115</v>
      </c>
      <c r="C80" s="29" t="str">
        <f>IF(OR(B80&gt;3*$E$4,B80&lt;$E$4/3),"ВЫБРОС","ОК")</f>
        <v>ОК</v>
      </c>
    </row>
    <row r="81" spans="1:3">
      <c r="A81" s="28" t="s">
        <v>13</v>
      </c>
      <c r="B81" s="29">
        <v>2114.6</v>
      </c>
      <c r="C81" s="29" t="str">
        <f>IF(OR(B81&gt;3*$E$4,B81&lt;$E$4/3),"ВЫБРОС","ОК")</f>
        <v>ОК</v>
      </c>
    </row>
    <row r="82" spans="1:3">
      <c r="A82" s="28" t="s">
        <v>78</v>
      </c>
      <c r="B82" s="29">
        <v>2110.2</v>
      </c>
      <c r="C82" s="29" t="str">
        <f>IF(OR(B82&gt;3*$E$4,B82&lt;$E$4/3),"ВЫБРОС","ОК")</f>
        <v>ОК</v>
      </c>
    </row>
    <row r="83" spans="1:3">
      <c r="A83" s="28" t="s">
        <v>85</v>
      </c>
      <c r="B83" s="29">
        <v>2105.9</v>
      </c>
      <c r="C83" s="29" t="str">
        <f>IF(OR(B83&gt;3*$E$4,B83&lt;$E$4/3),"ВЫБРОС","ОК")</f>
        <v>ОК</v>
      </c>
    </row>
    <row r="84" spans="1:3">
      <c r="A84" s="28" t="s">
        <v>122</v>
      </c>
      <c r="B84" s="29">
        <v>2102.5</v>
      </c>
      <c r="C84" s="29" t="str">
        <f>IF(OR(B84&gt;3*$E$4,B84&lt;$E$4/3),"ВЫБРОС","ОК")</f>
        <v>ОК</v>
      </c>
    </row>
    <row r="85" spans="1:3">
      <c r="A85" s="28" t="s">
        <v>30</v>
      </c>
      <c r="B85" s="29">
        <v>2101.1</v>
      </c>
      <c r="C85" s="29" t="str">
        <f>IF(OR(B85&gt;3*$E$4,B85&lt;$E$4/3),"ВЫБРОС","ОК")</f>
        <v>ОК</v>
      </c>
    </row>
    <row r="86" spans="1:3">
      <c r="A86" s="28" t="s">
        <v>80</v>
      </c>
      <c r="B86" s="29">
        <v>2097.6</v>
      </c>
      <c r="C86" s="29" t="str">
        <f>IF(OR(B86&gt;3*$E$4,B86&lt;$E$4/3),"ВЫБРОС","ОК")</f>
        <v>ОК</v>
      </c>
    </row>
    <row r="87" spans="1:3">
      <c r="A87" s="28" t="s">
        <v>67</v>
      </c>
      <c r="B87" s="29">
        <v>2080.1</v>
      </c>
      <c r="C87" s="29" t="str">
        <f>IF(OR(B87&gt;3*$E$4,B87&lt;$E$4/3),"ВЫБРОС","ОК")</f>
        <v>ОК</v>
      </c>
    </row>
    <row r="88" spans="1:3">
      <c r="A88" s="28" t="s">
        <v>39</v>
      </c>
      <c r="B88" s="29">
        <v>2075.8</v>
      </c>
      <c r="C88" s="29" t="str">
        <f>IF(OR(B88&gt;3*$E$4,B88&lt;$E$4/3),"ВЫБРОС","ОК")</f>
        <v>ОК</v>
      </c>
    </row>
    <row r="89" spans="1:3">
      <c r="A89" s="28" t="s">
        <v>51</v>
      </c>
      <c r="B89" s="29">
        <v>2066.7</v>
      </c>
      <c r="C89" s="29" t="str">
        <f>IF(OR(B89&gt;3*$E$4,B89&lt;$E$4/3),"ВЫБРОС","ОК")</f>
        <v>ОК</v>
      </c>
    </row>
    <row r="90" spans="1:3">
      <c r="A90" s="28" t="s">
        <v>120</v>
      </c>
      <c r="B90" s="29">
        <v>2066</v>
      </c>
      <c r="C90" s="29" t="str">
        <f>IF(OR(B90&gt;3*$E$4,B90&lt;$E$4/3),"ВЫБРОС","ОК")</f>
        <v>ОК</v>
      </c>
    </row>
    <row r="91" spans="1:3">
      <c r="A91" s="28" t="s">
        <v>32</v>
      </c>
      <c r="B91" s="29">
        <v>2060.7</v>
      </c>
      <c r="C91" s="29" t="str">
        <f>IF(OR(B91&gt;3*$E$4,B91&lt;$E$4/3),"ВЫБРОС","ОК")</f>
        <v>ОК</v>
      </c>
    </row>
    <row r="92" spans="1:3">
      <c r="A92" s="28" t="s">
        <v>126</v>
      </c>
      <c r="B92" s="29">
        <v>2060</v>
      </c>
      <c r="C92" s="29" t="str">
        <f>IF(OR(B92&gt;3*$E$4,B92&lt;$E$4/3),"ВЫБРОС","ОК")</f>
        <v>ОК</v>
      </c>
    </row>
    <row r="93" spans="1:3">
      <c r="A93" s="28" t="s">
        <v>70</v>
      </c>
      <c r="B93" s="29">
        <v>2039</v>
      </c>
      <c r="C93" s="29" t="str">
        <f>IF(OR(B93&gt;3*$E$4,B93&lt;$E$4/3),"ВЫБРОС","ОК")</f>
        <v>ОК</v>
      </c>
    </row>
    <row r="94" spans="1:3">
      <c r="A94" s="28" t="s">
        <v>42</v>
      </c>
      <c r="B94" s="29">
        <v>2038.7</v>
      </c>
      <c r="C94" s="29" t="str">
        <f>IF(OR(B94&gt;3*$E$4,B94&lt;$E$4/3),"ВЫБРОС","ОК")</f>
        <v>ОК</v>
      </c>
    </row>
    <row r="95" spans="1:3">
      <c r="A95" s="28" t="s">
        <v>82</v>
      </c>
      <c r="B95" s="29">
        <v>2034.8</v>
      </c>
      <c r="C95" s="29" t="str">
        <f>IF(OR(B95&gt;3*$E$4,B95&lt;$E$4/3),"ВЫБРОС","ОК")</f>
        <v>ОК</v>
      </c>
    </row>
    <row r="96" spans="1:3">
      <c r="A96" s="28" t="s">
        <v>75</v>
      </c>
      <c r="B96" s="29">
        <v>2020.3</v>
      </c>
      <c r="C96" s="29" t="str">
        <f>IF(OR(B96&gt;3*$E$4,B96&lt;$E$4/3),"ВЫБРОС","ОК")</f>
        <v>ОК</v>
      </c>
    </row>
    <row r="97" spans="1:3">
      <c r="A97" s="28" t="s">
        <v>124</v>
      </c>
      <c r="B97" s="29">
        <v>2018.8</v>
      </c>
      <c r="C97" s="29" t="str">
        <f>IF(OR(B97&gt;3*$E$4,B97&lt;$E$4/3),"ВЫБРОС","ОК")</f>
        <v>ОК</v>
      </c>
    </row>
    <row r="98" spans="1:3">
      <c r="A98" s="28" t="s">
        <v>54</v>
      </c>
      <c r="B98" s="29">
        <v>2008.5</v>
      </c>
      <c r="C98" s="29" t="str">
        <f>IF(OR(B98&gt;3*$E$4,B98&lt;$E$4/3),"ВЫБРОС","ОК")</f>
        <v>ОК</v>
      </c>
    </row>
    <row r="99" spans="1:3">
      <c r="A99" s="28" t="s">
        <v>55</v>
      </c>
      <c r="B99" s="29">
        <v>2005.2</v>
      </c>
      <c r="C99" s="29" t="str">
        <f>IF(OR(B99&gt;3*$E$4,B99&lt;$E$4/3),"ВЫБРОС","ОК")</f>
        <v>ОК</v>
      </c>
    </row>
    <row r="100" spans="1:3">
      <c r="A100" s="28" t="s">
        <v>21</v>
      </c>
      <c r="B100" s="29">
        <v>2002.9</v>
      </c>
      <c r="C100" s="29" t="str">
        <f>IF(OR(B100&gt;3*$E$4,B100&lt;$E$4/3),"ВЫБРОС","ОК")</f>
        <v>ОК</v>
      </c>
    </row>
    <row r="101" spans="1:3">
      <c r="A101" s="28" t="s">
        <v>41</v>
      </c>
      <c r="B101" s="29">
        <v>2002.5</v>
      </c>
      <c r="C101" s="29" t="str">
        <f>IF(OR(B101&gt;3*$E$4,B101&lt;$E$4/3),"ВЫБРОС","ОК")</f>
        <v>ОК</v>
      </c>
    </row>
    <row r="102" spans="1:3">
      <c r="A102" s="28" t="s">
        <v>119</v>
      </c>
      <c r="B102" s="29">
        <v>1998.5</v>
      </c>
      <c r="C102" s="29" t="str">
        <f>IF(OR(B102&gt;3*$E$4,B102&lt;$E$4/3),"ВЫБРОС","ОК")</f>
        <v>ОК</v>
      </c>
    </row>
    <row r="103" spans="1:3">
      <c r="A103" s="28" t="s">
        <v>35</v>
      </c>
      <c r="B103" s="29">
        <v>1987.8</v>
      </c>
      <c r="C103" s="29" t="str">
        <f>IF(OR(B103&gt;3*$E$4,B103&lt;$E$4/3),"ВЫБРОС","ОК")</f>
        <v>ОК</v>
      </c>
    </row>
    <row r="104" spans="1:3">
      <c r="A104" s="28" t="s">
        <v>63</v>
      </c>
      <c r="B104" s="29">
        <v>1982.9</v>
      </c>
      <c r="C104" s="29" t="str">
        <f>IF(OR(B104&gt;3*$E$4,B104&lt;$E$4/3),"ВЫБРОС","ОК")</f>
        <v>ОК</v>
      </c>
    </row>
    <row r="105" spans="1:3">
      <c r="A105" s="28" t="s">
        <v>26</v>
      </c>
      <c r="B105" s="29">
        <v>1979.1</v>
      </c>
      <c r="C105" s="29" t="str">
        <f>IF(OR(B105&gt;3*$E$4,B105&lt;$E$4/3),"ВЫБРОС","ОК")</f>
        <v>ОК</v>
      </c>
    </row>
    <row r="106" spans="1:3">
      <c r="A106" s="28" t="s">
        <v>9</v>
      </c>
      <c r="B106" s="29">
        <v>1971.8</v>
      </c>
      <c r="C106" s="29" t="str">
        <f>IF(OR(B106&gt;3*$E$4,B106&lt;$E$4/3),"ВЫБРОС","ОК")</f>
        <v>ОК</v>
      </c>
    </row>
    <row r="107" spans="1:3">
      <c r="A107" s="28" t="s">
        <v>52</v>
      </c>
      <c r="B107" s="29">
        <v>1961.6</v>
      </c>
      <c r="C107" s="29" t="str">
        <f>IF(OR(B107&gt;3*$E$4,B107&lt;$E$4/3),"ВЫБРОС","ОК")</f>
        <v>ОК</v>
      </c>
    </row>
    <row r="108" spans="1:3">
      <c r="A108" s="28" t="s">
        <v>125</v>
      </c>
      <c r="B108" s="29">
        <v>1953.3</v>
      </c>
      <c r="C108" s="29" t="str">
        <f>IF(OR(B108&gt;3*$E$4,B108&lt;$E$4/3),"ВЫБРОС","ОК")</f>
        <v>ОК</v>
      </c>
    </row>
    <row r="109" spans="1:3">
      <c r="A109" s="28" t="s">
        <v>121</v>
      </c>
      <c r="B109" s="29">
        <v>1952.4</v>
      </c>
      <c r="C109" s="29" t="str">
        <f>IF(OR(B109&gt;3*$E$4,B109&lt;$E$4/3),"ВЫБРОС","ОК")</f>
        <v>ОК</v>
      </c>
    </row>
    <row r="110" spans="1:3">
      <c r="A110" s="28" t="s">
        <v>61</v>
      </c>
      <c r="B110" s="29">
        <v>1948.2</v>
      </c>
      <c r="C110" s="29" t="str">
        <f>IF(OR(B110&gt;3*$E$4,B110&lt;$E$4/3),"ВЫБРОС","ОК")</f>
        <v>ОК</v>
      </c>
    </row>
    <row r="111" spans="1:3">
      <c r="A111" s="28" t="s">
        <v>79</v>
      </c>
      <c r="B111" s="29">
        <v>1940.9</v>
      </c>
      <c r="C111" s="29" t="str">
        <f>IF(OR(B111&gt;3*$E$4,B111&lt;$E$4/3),"ВЫБРОС","ОК")</f>
        <v>ОК</v>
      </c>
    </row>
    <row r="112" spans="1:3">
      <c r="A112" s="28" t="s">
        <v>130</v>
      </c>
      <c r="B112" s="29">
        <v>1940.3</v>
      </c>
      <c r="C112" s="29" t="str">
        <f>IF(OR(B112&gt;3*$E$4,B112&lt;$E$4/3),"ВЫБРОС","ОК")</f>
        <v>ОК</v>
      </c>
    </row>
    <row r="113" spans="1:3">
      <c r="A113" s="28" t="s">
        <v>31</v>
      </c>
      <c r="B113" s="29">
        <v>1930.8</v>
      </c>
      <c r="C113" s="29" t="str">
        <f>IF(OR(B113&gt;3*$E$4,B113&lt;$E$4/3),"ВЫБРОС","ОК")</f>
        <v>ОК</v>
      </c>
    </row>
    <row r="114" spans="1:3">
      <c r="A114" s="28" t="s">
        <v>69</v>
      </c>
      <c r="B114" s="29">
        <v>1927.9</v>
      </c>
      <c r="C114" s="29" t="str">
        <f>IF(OR(B114&gt;3*$E$4,B114&lt;$E$4/3),"ВЫБРОС","ОК")</f>
        <v>ОК</v>
      </c>
    </row>
    <row r="115" spans="1:3">
      <c r="A115" s="28" t="s">
        <v>46</v>
      </c>
      <c r="B115" s="29">
        <v>1927</v>
      </c>
      <c r="C115" s="29" t="str">
        <f>IF(OR(B115&gt;3*$E$4,B115&lt;$E$4/3),"ВЫБРОС","ОК")</f>
        <v>ОК</v>
      </c>
    </row>
    <row r="116" spans="1:3">
      <c r="A116" s="28" t="s">
        <v>137</v>
      </c>
      <c r="B116" s="29">
        <v>1924.4</v>
      </c>
      <c r="C116" s="29" t="str">
        <f>IF(OR(B116&gt;3*$E$4,B116&lt;$E$4/3),"ВЫБРОС","ОК")</f>
        <v>ОК</v>
      </c>
    </row>
    <row r="117" spans="1:3">
      <c r="A117" s="28" t="s">
        <v>136</v>
      </c>
      <c r="B117" s="29">
        <v>1924.3</v>
      </c>
      <c r="C117" s="29" t="str">
        <f>IF(OR(B117&gt;3*$E$4,B117&lt;$E$4/3),"ВЫБРОС","ОК")</f>
        <v>ОК</v>
      </c>
    </row>
    <row r="118" spans="1:3">
      <c r="A118" s="28" t="s">
        <v>132</v>
      </c>
      <c r="B118" s="29">
        <v>1913.1</v>
      </c>
      <c r="C118" s="29" t="str">
        <f>IF(OR(B118&gt;3*$E$4,B118&lt;$E$4/3),"ВЫБРОС","ОК")</f>
        <v>ОК</v>
      </c>
    </row>
    <row r="119" spans="1:3">
      <c r="A119" s="28" t="s">
        <v>60</v>
      </c>
      <c r="B119" s="29">
        <v>1905.6</v>
      </c>
      <c r="C119" s="29" t="str">
        <f>IF(OR(B119&gt;3*$E$4,B119&lt;$E$4/3),"ВЫБРОС","ОК")</f>
        <v>ОК</v>
      </c>
    </row>
    <row r="120" spans="1:3">
      <c r="A120" s="28" t="s">
        <v>27</v>
      </c>
      <c r="B120" s="29">
        <v>1898.7</v>
      </c>
      <c r="C120" s="29" t="str">
        <f>IF(OR(B120&gt;3*$E$4,B120&lt;$E$4/3),"ВЫБРОС","ОК")</f>
        <v>ОК</v>
      </c>
    </row>
    <row r="121" spans="1:3">
      <c r="A121" s="28" t="s">
        <v>50</v>
      </c>
      <c r="B121" s="29">
        <v>1896.1</v>
      </c>
      <c r="C121" s="29" t="str">
        <f>IF(OR(B121&gt;3*$E$4,B121&lt;$E$4/3),"ВЫБРОС","ОК")</f>
        <v>ОК</v>
      </c>
    </row>
    <row r="122" spans="1:3">
      <c r="A122" s="28" t="s">
        <v>135</v>
      </c>
      <c r="B122" s="29">
        <v>1895.3</v>
      </c>
      <c r="C122" s="29" t="str">
        <f>IF(OR(B122&gt;3*$E$4,B122&lt;$E$4/3),"ВЫБРОС","ОК")</f>
        <v>ОК</v>
      </c>
    </row>
    <row r="123" spans="1:3">
      <c r="A123" s="28" t="s">
        <v>123</v>
      </c>
      <c r="B123" s="29">
        <v>1891.5</v>
      </c>
      <c r="C123" s="29" t="str">
        <f>IF(OR(B123&gt;3*$E$4,B123&lt;$E$4/3),"ВЫБРОС","ОК")</f>
        <v>ОК</v>
      </c>
    </row>
    <row r="124" spans="1:3">
      <c r="A124" s="28" t="s">
        <v>64</v>
      </c>
      <c r="B124" s="29">
        <v>1875.4</v>
      </c>
      <c r="C124" s="29" t="str">
        <f>IF(OR(B124&gt;3*$E$4,B124&lt;$E$4/3),"ВЫБРОС","ОК")</f>
        <v>ОК</v>
      </c>
    </row>
    <row r="125" spans="1:3">
      <c r="A125" s="28" t="s">
        <v>36</v>
      </c>
      <c r="B125" s="29">
        <v>1869.8</v>
      </c>
      <c r="C125" s="29" t="str">
        <f>IF(OR(B125&gt;3*$E$4,B125&lt;$E$4/3),"ВЫБРОС","ОК")</f>
        <v>ОК</v>
      </c>
    </row>
    <row r="126" spans="1:3">
      <c r="A126" s="28" t="s">
        <v>134</v>
      </c>
      <c r="B126" s="29">
        <v>1862.2</v>
      </c>
      <c r="C126" s="29" t="str">
        <f>IF(OR(B126&gt;3*$E$4,B126&lt;$E$4/3),"ВЫБРОС","ОК")</f>
        <v>ОК</v>
      </c>
    </row>
    <row r="127" spans="1:3">
      <c r="A127" s="28" t="s">
        <v>43</v>
      </c>
      <c r="B127" s="29">
        <v>1852.9</v>
      </c>
      <c r="C127" s="29" t="str">
        <f>IF(OR(B127&gt;3*$E$4,B127&lt;$E$4/3),"ВЫБРОС","ОК")</f>
        <v>ОК</v>
      </c>
    </row>
    <row r="128" spans="1:3">
      <c r="A128" s="28" t="s">
        <v>128</v>
      </c>
      <c r="B128" s="29">
        <v>1844.8</v>
      </c>
      <c r="C128" s="29" t="str">
        <f>IF(OR(B128&gt;3*$E$4,B128&lt;$E$4/3),"ВЫБРОС","ОК")</f>
        <v>ОК</v>
      </c>
    </row>
    <row r="129" spans="1:3">
      <c r="A129" s="28" t="s">
        <v>59</v>
      </c>
      <c r="B129" s="29">
        <v>1842.6</v>
      </c>
      <c r="C129" s="29" t="str">
        <f>IF(OR(B129&gt;3*$E$4,B129&lt;$E$4/3),"ВЫБРОС","ОК")</f>
        <v>ОК</v>
      </c>
    </row>
    <row r="130" spans="1:3">
      <c r="A130" s="28" t="s">
        <v>40</v>
      </c>
      <c r="B130" s="29">
        <v>1830</v>
      </c>
      <c r="C130" s="29" t="str">
        <f>IF(OR(B130&gt;3*$E$4,B130&lt;$E$4/3),"ВЫБРОС","ОК")</f>
        <v>ОК</v>
      </c>
    </row>
    <row r="131" spans="1:3">
      <c r="A131" s="34" t="s">
        <v>45</v>
      </c>
      <c r="B131" s="29">
        <v>1751.3</v>
      </c>
      <c r="C131" s="29" t="str">
        <f>IF(OR(B131&gt;3*$E$4,B131&lt;$E$4/3),"ВЫБРОС","ОК")</f>
        <v>ОК</v>
      </c>
    </row>
  </sheetData>
  <pageMargins left="0.7" right="0.7" top="0.75" bottom="0.75" header="0.3" footer="0.3"/>
  <headerFooter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topLeftCell="A3" workbookViewId="0">
      <selection activeCell="G34" sqref="G34"/>
    </sheetView>
  </sheetViews>
  <sheetFormatPr defaultColWidth="9" defaultRowHeight="14.6"/>
  <cols>
    <col min="1" max="1" width="30" customWidth="1"/>
    <col min="2" max="4" width="16" customWidth="1"/>
    <col min="5" max="6" width="14" customWidth="1"/>
    <col min="7" max="7" width="12" customWidth="1"/>
    <col min="8" max="9" width="10" customWidth="1"/>
    <col min="10" max="10" width="16" customWidth="1"/>
    <col min="11" max="11" width="12" customWidth="1"/>
    <col min="12" max="12" width="18" customWidth="1"/>
  </cols>
  <sheetData>
    <row r="1" ht="48.4" spans="1:1">
      <c r="A1" s="1" t="s">
        <v>168</v>
      </c>
    </row>
    <row r="2" ht="43.9" spans="1:1">
      <c r="A2" s="2" t="s">
        <v>169</v>
      </c>
    </row>
    <row r="3" ht="43.9" spans="1:1">
      <c r="A3" s="2" t="s">
        <v>170</v>
      </c>
    </row>
    <row r="5" ht="29.25" spans="1:1">
      <c r="A5" s="3" t="s">
        <v>171</v>
      </c>
    </row>
    <row r="6" ht="14.65" spans="1:12">
      <c r="A6" s="4" t="s">
        <v>172</v>
      </c>
      <c r="B6" s="4" t="s">
        <v>173</v>
      </c>
      <c r="C6" s="4" t="s">
        <v>174</v>
      </c>
      <c r="D6" s="4" t="s">
        <v>148</v>
      </c>
      <c r="E6" s="4" t="s">
        <v>175</v>
      </c>
      <c r="F6" s="4" t="s">
        <v>176</v>
      </c>
      <c r="G6" s="4" t="s">
        <v>177</v>
      </c>
      <c r="H6" s="4" t="s">
        <v>178</v>
      </c>
      <c r="I6" s="4" t="s">
        <v>179</v>
      </c>
      <c r="J6" s="4" t="s">
        <v>180</v>
      </c>
      <c r="K6" s="4" t="s">
        <v>181</v>
      </c>
      <c r="L6" s="4" t="s">
        <v>182</v>
      </c>
    </row>
    <row r="7" ht="14.65" spans="1:12">
      <c r="A7" s="5">
        <v>1</v>
      </c>
      <c r="B7" s="6">
        <v>1751.3</v>
      </c>
      <c r="C7" s="6">
        <v>1941.24</v>
      </c>
      <c r="D7" s="6">
        <v>1846.27</v>
      </c>
      <c r="E7" s="5">
        <v>21</v>
      </c>
      <c r="F7" s="17">
        <v>-0.9148</v>
      </c>
      <c r="G7" s="5" t="s">
        <v>183</v>
      </c>
      <c r="H7" s="17">
        <v>0.1802</v>
      </c>
      <c r="I7" s="17">
        <v>0</v>
      </c>
      <c r="J7" s="17">
        <v>0.1802</v>
      </c>
      <c r="K7" s="15">
        <v>23.24</v>
      </c>
      <c r="L7" s="15">
        <v>0.216</v>
      </c>
    </row>
    <row r="8" spans="1:12">
      <c r="A8" s="5">
        <v>2</v>
      </c>
      <c r="B8" s="6">
        <v>1941.24</v>
      </c>
      <c r="C8" s="6">
        <v>2131.19</v>
      </c>
      <c r="D8" s="6">
        <v>2036.22</v>
      </c>
      <c r="E8" s="5">
        <v>37</v>
      </c>
      <c r="F8" s="17">
        <v>-0.3026</v>
      </c>
      <c r="G8" s="17">
        <v>-0.9148</v>
      </c>
      <c r="H8" s="17">
        <v>0.3811</v>
      </c>
      <c r="I8" s="17">
        <v>0.1802</v>
      </c>
      <c r="J8" s="17">
        <v>0.201</v>
      </c>
      <c r="K8" s="15">
        <v>25.923</v>
      </c>
      <c r="L8" s="15">
        <v>4.734</v>
      </c>
    </row>
    <row r="9" spans="1:12">
      <c r="A9" s="5">
        <v>3</v>
      </c>
      <c r="B9" s="6">
        <v>2131.19</v>
      </c>
      <c r="C9" s="6">
        <v>2321.13</v>
      </c>
      <c r="D9" s="6">
        <v>2226.16</v>
      </c>
      <c r="E9" s="5">
        <v>38</v>
      </c>
      <c r="F9" s="17">
        <v>0.3096</v>
      </c>
      <c r="G9" s="17">
        <v>-0.3026</v>
      </c>
      <c r="H9" s="17">
        <v>0.6216</v>
      </c>
      <c r="I9" s="17">
        <v>0.3811</v>
      </c>
      <c r="J9" s="17">
        <v>0.2405</v>
      </c>
      <c r="K9" s="15">
        <v>31.021</v>
      </c>
      <c r="L9" s="15">
        <v>1.57</v>
      </c>
    </row>
    <row r="10" spans="1:12">
      <c r="A10" s="5">
        <v>4</v>
      </c>
      <c r="B10" s="6">
        <v>2321.13</v>
      </c>
      <c r="C10" s="6">
        <v>2511.08</v>
      </c>
      <c r="D10" s="6">
        <v>2416.11</v>
      </c>
      <c r="E10" s="5">
        <v>16</v>
      </c>
      <c r="F10" s="17">
        <v>0.9218</v>
      </c>
      <c r="G10" s="17">
        <v>0.3096</v>
      </c>
      <c r="H10" s="17">
        <v>0.8217</v>
      </c>
      <c r="I10" s="17">
        <v>0.6216</v>
      </c>
      <c r="J10" s="17">
        <v>0.2001</v>
      </c>
      <c r="K10" s="15">
        <v>25.815</v>
      </c>
      <c r="L10" s="15">
        <v>3.732</v>
      </c>
    </row>
    <row r="11" spans="1:12">
      <c r="A11" s="5">
        <v>5</v>
      </c>
      <c r="B11" s="6">
        <v>2511.08</v>
      </c>
      <c r="C11" s="6">
        <v>2701.02</v>
      </c>
      <c r="D11" s="6">
        <v>2606.05</v>
      </c>
      <c r="E11" s="5">
        <v>8</v>
      </c>
      <c r="F11" s="17">
        <v>1.534</v>
      </c>
      <c r="G11" s="17">
        <v>0.9218</v>
      </c>
      <c r="H11" s="17">
        <v>0.9375</v>
      </c>
      <c r="I11" s="17">
        <v>0.8217</v>
      </c>
      <c r="J11" s="17">
        <v>0.1158</v>
      </c>
      <c r="K11" s="15">
        <v>14.938</v>
      </c>
      <c r="L11" s="15">
        <v>3.222</v>
      </c>
    </row>
    <row r="12" spans="1:12">
      <c r="A12" s="5">
        <v>6</v>
      </c>
      <c r="B12" s="6">
        <v>2701.02</v>
      </c>
      <c r="C12" s="6">
        <v>2890.97</v>
      </c>
      <c r="D12" s="6">
        <v>2795.99</v>
      </c>
      <c r="E12" s="5">
        <v>3</v>
      </c>
      <c r="F12" s="17">
        <v>2.1462</v>
      </c>
      <c r="G12" s="17">
        <v>1.534</v>
      </c>
      <c r="H12" s="17">
        <v>0.9841</v>
      </c>
      <c r="I12" s="17">
        <v>0.9375</v>
      </c>
      <c r="J12" s="17">
        <v>0.0466</v>
      </c>
      <c r="K12" s="15">
        <v>6.009</v>
      </c>
      <c r="L12" s="15">
        <v>1.507</v>
      </c>
    </row>
    <row r="13" spans="1:12">
      <c r="A13" s="5">
        <v>7</v>
      </c>
      <c r="B13" s="6">
        <v>2890.97</v>
      </c>
      <c r="C13" s="6">
        <v>3080.91</v>
      </c>
      <c r="D13" s="6">
        <v>2985.94</v>
      </c>
      <c r="E13" s="5">
        <v>1</v>
      </c>
      <c r="F13" s="17">
        <v>2.7584</v>
      </c>
      <c r="G13" s="17">
        <v>2.1462</v>
      </c>
      <c r="H13" s="17">
        <v>0.9971</v>
      </c>
      <c r="I13" s="17">
        <v>0.9841</v>
      </c>
      <c r="J13" s="17">
        <v>0.013</v>
      </c>
      <c r="K13" s="15">
        <v>1.68</v>
      </c>
      <c r="L13" s="15">
        <v>0.275</v>
      </c>
    </row>
    <row r="14" spans="1:12">
      <c r="A14" s="5">
        <v>8</v>
      </c>
      <c r="B14" s="6">
        <v>3080.91</v>
      </c>
      <c r="C14" s="6">
        <v>3270.86</v>
      </c>
      <c r="D14" s="6">
        <v>3175.88</v>
      </c>
      <c r="E14" s="5">
        <v>3</v>
      </c>
      <c r="F14" s="17">
        <v>3.3706</v>
      </c>
      <c r="G14" s="17">
        <v>2.7584</v>
      </c>
      <c r="H14" s="17">
        <v>0.9996</v>
      </c>
      <c r="I14" s="17">
        <v>0.9971</v>
      </c>
      <c r="J14" s="17">
        <v>0.0025</v>
      </c>
      <c r="K14" s="15">
        <v>0.326</v>
      </c>
      <c r="L14" s="15">
        <v>21.912</v>
      </c>
    </row>
    <row r="15" ht="14.65" spans="1:12">
      <c r="A15" s="5">
        <v>9</v>
      </c>
      <c r="B15" s="6">
        <v>3270.86</v>
      </c>
      <c r="C15" s="6">
        <v>3460.8</v>
      </c>
      <c r="D15" s="6">
        <v>3365.83</v>
      </c>
      <c r="E15" s="5">
        <v>2</v>
      </c>
      <c r="F15" s="5" t="s">
        <v>184</v>
      </c>
      <c r="G15" s="17">
        <v>3.3706</v>
      </c>
      <c r="H15" s="17">
        <v>1</v>
      </c>
      <c r="I15" s="17">
        <v>0.9996</v>
      </c>
      <c r="J15" s="17">
        <v>0.0004</v>
      </c>
      <c r="K15" s="15">
        <v>0.048</v>
      </c>
      <c r="L15" s="15">
        <v>78.735</v>
      </c>
    </row>
    <row r="16" ht="14.65" spans="1:12">
      <c r="A16" s="7" t="s">
        <v>162</v>
      </c>
      <c r="E16" s="7">
        <v>129</v>
      </c>
      <c r="K16" s="21">
        <v>129</v>
      </c>
      <c r="L16" s="21">
        <v>115.903</v>
      </c>
    </row>
    <row r="17" ht="73.15" spans="10:10">
      <c r="J17" s="2" t="s">
        <v>185</v>
      </c>
    </row>
    <row r="19" ht="29.25" spans="1:1">
      <c r="A19" s="14" t="s">
        <v>186</v>
      </c>
    </row>
    <row r="20" ht="29.25" spans="1:5">
      <c r="A20" s="4" t="s">
        <v>172</v>
      </c>
      <c r="B20" s="4" t="s">
        <v>187</v>
      </c>
      <c r="C20" s="4" t="s">
        <v>188</v>
      </c>
      <c r="D20" s="4" t="s">
        <v>181</v>
      </c>
      <c r="E20" s="4" t="s">
        <v>182</v>
      </c>
    </row>
    <row r="21" ht="14.65" spans="1:5">
      <c r="A21" s="5">
        <v>1</v>
      </c>
      <c r="B21" s="5" t="s">
        <v>189</v>
      </c>
      <c r="C21" s="5">
        <v>21</v>
      </c>
      <c r="D21" s="15">
        <v>23.24</v>
      </c>
      <c r="E21" s="15">
        <v>0.216</v>
      </c>
    </row>
    <row r="22" ht="14.65" spans="1:5">
      <c r="A22" s="5">
        <v>2</v>
      </c>
      <c r="B22" s="5" t="s">
        <v>190</v>
      </c>
      <c r="C22" s="5">
        <v>37</v>
      </c>
      <c r="D22" s="15">
        <v>25.923</v>
      </c>
      <c r="E22" s="15">
        <v>4.734</v>
      </c>
    </row>
    <row r="23" ht="14.65" spans="1:5">
      <c r="A23" s="5">
        <v>3</v>
      </c>
      <c r="B23" s="5" t="s">
        <v>191</v>
      </c>
      <c r="C23" s="5">
        <v>38</v>
      </c>
      <c r="D23" s="15">
        <v>31.021</v>
      </c>
      <c r="E23" s="15">
        <v>1.57</v>
      </c>
    </row>
    <row r="24" ht="14.65" spans="1:5">
      <c r="A24" s="5">
        <v>4</v>
      </c>
      <c r="B24" s="5" t="s">
        <v>192</v>
      </c>
      <c r="C24" s="5">
        <v>16</v>
      </c>
      <c r="D24" s="15">
        <v>25.815</v>
      </c>
      <c r="E24" s="15">
        <v>3.732</v>
      </c>
    </row>
    <row r="25" ht="14.65" spans="1:5">
      <c r="A25" s="5">
        <v>5</v>
      </c>
      <c r="B25" s="5" t="s">
        <v>193</v>
      </c>
      <c r="C25" s="5">
        <v>8</v>
      </c>
      <c r="D25" s="15">
        <v>14.938</v>
      </c>
      <c r="E25" s="15">
        <v>3.222</v>
      </c>
    </row>
    <row r="26" ht="14.65" spans="1:5">
      <c r="A26" s="5">
        <v>6</v>
      </c>
      <c r="B26" s="5" t="s">
        <v>194</v>
      </c>
      <c r="C26" s="5">
        <v>9</v>
      </c>
      <c r="D26" s="15">
        <v>8.064</v>
      </c>
      <c r="E26" s="15">
        <v>0.109</v>
      </c>
    </row>
    <row r="27" ht="14.65" spans="1:5">
      <c r="A27" s="7" t="s">
        <v>162</v>
      </c>
      <c r="B27" s="7" t="s">
        <v>195</v>
      </c>
      <c r="E27" s="20">
        <v>13.5823</v>
      </c>
    </row>
    <row r="29" ht="29.25" spans="1:1">
      <c r="A29" s="2" t="s">
        <v>196</v>
      </c>
    </row>
    <row r="30" ht="14.65" spans="1:4">
      <c r="A30" s="4" t="s">
        <v>197</v>
      </c>
      <c r="B30" s="4" t="s">
        <v>198</v>
      </c>
      <c r="C30" s="4" t="s">
        <v>195</v>
      </c>
      <c r="D30" s="4" t="s">
        <v>199</v>
      </c>
    </row>
    <row r="31" ht="14.65" spans="1:4">
      <c r="A31" s="16">
        <v>0.9</v>
      </c>
      <c r="B31" s="17">
        <v>6.2514</v>
      </c>
      <c r="C31" s="17">
        <v>13.5823</v>
      </c>
      <c r="D31" s="18" t="s">
        <v>200</v>
      </c>
    </row>
    <row r="32" ht="14.65" spans="1:4">
      <c r="A32" s="16">
        <v>0.95</v>
      </c>
      <c r="B32" s="17">
        <v>7.8147</v>
      </c>
      <c r="C32" s="17">
        <v>13.5823</v>
      </c>
      <c r="D32" s="18" t="s">
        <v>200</v>
      </c>
    </row>
    <row r="33" ht="14.65" spans="1:4">
      <c r="A33" s="16">
        <v>0.99</v>
      </c>
      <c r="B33" s="17">
        <v>11.3449</v>
      </c>
      <c r="C33" s="17">
        <v>13.5823</v>
      </c>
      <c r="D33" s="18" t="s">
        <v>200</v>
      </c>
    </row>
    <row r="34" ht="58.5" spans="1:1">
      <c r="A34" s="2" t="s">
        <v>201</v>
      </c>
    </row>
    <row r="36" ht="29.25" spans="1:1">
      <c r="A36" s="3" t="s">
        <v>202</v>
      </c>
    </row>
    <row r="37" ht="14.65" spans="1:5">
      <c r="A37" s="4" t="s">
        <v>203</v>
      </c>
      <c r="B37" s="4" t="s">
        <v>204</v>
      </c>
      <c r="C37" s="4" t="s">
        <v>205</v>
      </c>
      <c r="D37" s="4" t="s">
        <v>206</v>
      </c>
      <c r="E37" s="4" t="s">
        <v>207</v>
      </c>
    </row>
    <row r="38" spans="1:5">
      <c r="A38" s="16">
        <v>1941.24</v>
      </c>
      <c r="B38" s="5">
        <v>21</v>
      </c>
      <c r="C38" s="17">
        <v>0.1628</v>
      </c>
      <c r="D38" s="17">
        <v>0.1802</v>
      </c>
      <c r="E38" s="17">
        <v>0.0174</v>
      </c>
    </row>
    <row r="39" spans="1:5">
      <c r="A39" s="16">
        <v>2131.19</v>
      </c>
      <c r="B39" s="5">
        <v>58</v>
      </c>
      <c r="C39" s="17">
        <v>0.4496</v>
      </c>
      <c r="D39" s="17">
        <v>0.3811</v>
      </c>
      <c r="E39" s="17">
        <v>0.0685</v>
      </c>
    </row>
    <row r="40" spans="1:5">
      <c r="A40" s="16">
        <v>2321.13</v>
      </c>
      <c r="B40" s="5">
        <v>96</v>
      </c>
      <c r="C40" s="17">
        <v>0.7442</v>
      </c>
      <c r="D40" s="17">
        <v>0.6216</v>
      </c>
      <c r="E40" s="17">
        <v>0.1226</v>
      </c>
    </row>
    <row r="41" spans="1:5">
      <c r="A41" s="16">
        <v>2511.08</v>
      </c>
      <c r="B41" s="5">
        <v>112</v>
      </c>
      <c r="C41" s="17">
        <v>0.8682</v>
      </c>
      <c r="D41" s="17">
        <v>0.8217</v>
      </c>
      <c r="E41" s="17">
        <v>0.0465</v>
      </c>
    </row>
    <row r="42" spans="1:5">
      <c r="A42" s="16">
        <v>2701.02</v>
      </c>
      <c r="B42" s="5">
        <v>120</v>
      </c>
      <c r="C42" s="17">
        <v>0.9302</v>
      </c>
      <c r="D42" s="17">
        <v>0.9375</v>
      </c>
      <c r="E42" s="17">
        <v>0.0073</v>
      </c>
    </row>
    <row r="43" spans="1:5">
      <c r="A43" s="16">
        <v>2890.97</v>
      </c>
      <c r="B43" s="5">
        <v>123</v>
      </c>
      <c r="C43" s="17">
        <v>0.9535</v>
      </c>
      <c r="D43" s="17">
        <v>0.9841</v>
      </c>
      <c r="E43" s="17">
        <v>0.0306</v>
      </c>
    </row>
    <row r="44" spans="1:5">
      <c r="A44" s="16">
        <v>3080.91</v>
      </c>
      <c r="B44" s="5">
        <v>124</v>
      </c>
      <c r="C44" s="17">
        <v>0.9612</v>
      </c>
      <c r="D44" s="17">
        <v>0.9971</v>
      </c>
      <c r="E44" s="17">
        <v>0.0359</v>
      </c>
    </row>
    <row r="45" spans="1:5">
      <c r="A45" s="16">
        <v>3270.86</v>
      </c>
      <c r="B45" s="5">
        <v>127</v>
      </c>
      <c r="C45" s="17">
        <v>0.9845</v>
      </c>
      <c r="D45" s="17">
        <v>0.9996</v>
      </c>
      <c r="E45" s="17">
        <v>0.0151</v>
      </c>
    </row>
    <row r="46" spans="1:5">
      <c r="A46" s="16">
        <v>3460.8</v>
      </c>
      <c r="B46" s="5">
        <v>129</v>
      </c>
      <c r="C46" s="17">
        <v>1</v>
      </c>
      <c r="D46" s="17">
        <v>1</v>
      </c>
      <c r="E46" s="17">
        <v>0</v>
      </c>
    </row>
    <row r="47" ht="14.65" spans="1:5">
      <c r="A47" s="19" t="s">
        <v>208</v>
      </c>
      <c r="E47" s="20">
        <v>0.1226</v>
      </c>
    </row>
    <row r="48" ht="14.65" spans="1:5">
      <c r="A48" s="19" t="s">
        <v>209</v>
      </c>
      <c r="E48" s="20">
        <v>1.3926</v>
      </c>
    </row>
    <row r="50" ht="73.15" spans="1:1">
      <c r="A50" s="2" t="s">
        <v>210</v>
      </c>
    </row>
    <row r="52" ht="43.9" spans="1:1">
      <c r="A52" s="3" t="s">
        <v>211</v>
      </c>
    </row>
    <row r="53" ht="43.9" spans="1:1">
      <c r="A53" s="2" t="s">
        <v>212</v>
      </c>
    </row>
    <row r="54" ht="14.65" spans="1:6">
      <c r="A54" s="4" t="s">
        <v>172</v>
      </c>
      <c r="B54" s="4" t="s">
        <v>145</v>
      </c>
      <c r="C54" s="4" t="s">
        <v>188</v>
      </c>
      <c r="D54" s="4" t="s">
        <v>213</v>
      </c>
      <c r="E54" s="4" t="s">
        <v>181</v>
      </c>
      <c r="F54" s="4" t="s">
        <v>182</v>
      </c>
    </row>
    <row r="55" ht="14.65" spans="1:6">
      <c r="A55" s="5">
        <v>1</v>
      </c>
      <c r="B55" s="5" t="s">
        <v>214</v>
      </c>
      <c r="C55" s="5">
        <v>21</v>
      </c>
      <c r="D55" s="17">
        <v>0.1611</v>
      </c>
      <c r="E55" s="15">
        <v>20.782</v>
      </c>
      <c r="F55" s="15">
        <v>0.002</v>
      </c>
    </row>
    <row r="56" ht="14.65" spans="1:6">
      <c r="A56" s="5">
        <v>2</v>
      </c>
      <c r="B56" s="5" t="s">
        <v>215</v>
      </c>
      <c r="C56" s="5">
        <v>37</v>
      </c>
      <c r="D56" s="17">
        <v>0.2337</v>
      </c>
      <c r="E56" s="15">
        <v>30.15</v>
      </c>
      <c r="F56" s="15">
        <v>1.556</v>
      </c>
    </row>
    <row r="57" ht="14.65" spans="1:6">
      <c r="A57" s="5">
        <v>3</v>
      </c>
      <c r="B57" s="5" t="s">
        <v>216</v>
      </c>
      <c r="C57" s="5">
        <v>38</v>
      </c>
      <c r="D57" s="17">
        <v>0.2586</v>
      </c>
      <c r="E57" s="15">
        <v>33.361</v>
      </c>
      <c r="F57" s="15">
        <v>0.645</v>
      </c>
    </row>
    <row r="58" ht="14.65" spans="1:6">
      <c r="A58" s="5">
        <v>4</v>
      </c>
      <c r="B58" s="5" t="s">
        <v>217</v>
      </c>
      <c r="C58" s="5">
        <v>16</v>
      </c>
      <c r="D58" s="17">
        <v>0.1889</v>
      </c>
      <c r="E58" s="15">
        <v>24.363</v>
      </c>
      <c r="F58" s="15">
        <v>2.871</v>
      </c>
    </row>
    <row r="59" ht="14.65" spans="1:6">
      <c r="A59" s="5">
        <v>5</v>
      </c>
      <c r="B59" s="5" t="s">
        <v>218</v>
      </c>
      <c r="C59" s="5">
        <v>8</v>
      </c>
      <c r="D59" s="17">
        <v>0.0994</v>
      </c>
      <c r="E59" s="15">
        <v>12.817</v>
      </c>
      <c r="F59" s="15">
        <v>1.81</v>
      </c>
    </row>
    <row r="60" ht="14.65" spans="1:6">
      <c r="A60" s="5">
        <v>6</v>
      </c>
      <c r="B60" s="5" t="s">
        <v>219</v>
      </c>
      <c r="C60" s="5">
        <v>3</v>
      </c>
      <c r="D60" s="17">
        <v>0.0403</v>
      </c>
      <c r="E60" s="15">
        <v>5.195</v>
      </c>
      <c r="F60" s="15">
        <v>0.927</v>
      </c>
    </row>
    <row r="61" ht="14.65" spans="1:6">
      <c r="A61" s="5">
        <v>7</v>
      </c>
      <c r="B61" s="5" t="s">
        <v>220</v>
      </c>
      <c r="C61" s="5">
        <v>1</v>
      </c>
      <c r="D61" s="17">
        <v>0.0132</v>
      </c>
      <c r="E61" s="15">
        <v>1.709</v>
      </c>
      <c r="F61" s="15">
        <v>0.294</v>
      </c>
    </row>
    <row r="62" ht="14.65" spans="1:6">
      <c r="A62" s="5">
        <v>8</v>
      </c>
      <c r="B62" s="5" t="s">
        <v>221</v>
      </c>
      <c r="C62" s="5">
        <v>3</v>
      </c>
      <c r="D62" s="17">
        <v>0.0037</v>
      </c>
      <c r="E62" s="15">
        <v>0.475</v>
      </c>
      <c r="F62" s="15">
        <v>13.408</v>
      </c>
    </row>
    <row r="63" ht="14.65" spans="1:6">
      <c r="A63" s="5">
        <v>9</v>
      </c>
      <c r="B63" s="5" t="s">
        <v>222</v>
      </c>
      <c r="C63" s="5">
        <v>2</v>
      </c>
      <c r="D63" s="17">
        <v>0.0011</v>
      </c>
      <c r="E63" s="15">
        <v>0.147</v>
      </c>
      <c r="F63" s="15">
        <v>23.406</v>
      </c>
    </row>
    <row r="64" ht="29.25" spans="1:4">
      <c r="A64" s="19" t="s">
        <v>223</v>
      </c>
      <c r="B64" s="7" t="s">
        <v>224</v>
      </c>
      <c r="C64" s="20">
        <v>7.1732</v>
      </c>
      <c r="D64" s="7" t="s">
        <v>225</v>
      </c>
    </row>
    <row r="65" ht="29.25" spans="1:4">
      <c r="A65" s="19" t="s">
        <v>226</v>
      </c>
      <c r="B65" s="20">
        <v>0.0907</v>
      </c>
      <c r="C65" s="20">
        <v>1.0307</v>
      </c>
      <c r="D65" s="22" t="s">
        <v>227</v>
      </c>
    </row>
    <row r="67" ht="146.25" spans="1:1">
      <c r="A67" s="13" t="s">
        <v>228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opLeftCell="A44" workbookViewId="0">
      <selection activeCell="A1" sqref="A1"/>
    </sheetView>
  </sheetViews>
  <sheetFormatPr defaultColWidth="9" defaultRowHeight="14.6"/>
  <cols>
    <col min="1" max="1" width="36" customWidth="1"/>
    <col min="2" max="2" width="18" customWidth="1"/>
    <col min="3" max="3" width="19" customWidth="1"/>
    <col min="4" max="4" width="14" customWidth="1"/>
    <col min="5" max="5" width="10" customWidth="1"/>
    <col min="6" max="7" width="20" customWidth="1"/>
    <col min="8" max="8" width="14" customWidth="1"/>
    <col min="9" max="9" width="18" customWidth="1"/>
  </cols>
  <sheetData>
    <row r="1" ht="32.25" spans="1:1">
      <c r="A1" s="1" t="s">
        <v>229</v>
      </c>
    </row>
    <row r="2" ht="29.25" spans="1:1">
      <c r="A2" s="2" t="s">
        <v>230</v>
      </c>
    </row>
    <row r="3" ht="58.5" spans="1:1">
      <c r="A3" s="2" t="s">
        <v>231</v>
      </c>
    </row>
    <row r="5" ht="29.25" spans="1:1">
      <c r="A5" s="3" t="s">
        <v>232</v>
      </c>
    </row>
    <row r="6" ht="14.65" spans="1:9">
      <c r="A6" s="4" t="s">
        <v>233</v>
      </c>
      <c r="B6" s="4" t="s">
        <v>234</v>
      </c>
      <c r="C6" s="4" t="s">
        <v>235</v>
      </c>
      <c r="D6" s="4" t="s">
        <v>148</v>
      </c>
      <c r="E6" s="4" t="s">
        <v>236</v>
      </c>
      <c r="F6" s="4" t="s">
        <v>237</v>
      </c>
      <c r="G6" s="4" t="s">
        <v>238</v>
      </c>
      <c r="H6" s="4" t="s">
        <v>239</v>
      </c>
      <c r="I6" s="4" t="s">
        <v>240</v>
      </c>
    </row>
    <row r="7" spans="1:9">
      <c r="A7" s="5">
        <v>1</v>
      </c>
      <c r="B7" s="6">
        <v>1751.3</v>
      </c>
      <c r="C7" s="6">
        <v>1964.99</v>
      </c>
      <c r="D7" s="6">
        <v>1858.14</v>
      </c>
      <c r="E7" s="5">
        <v>25</v>
      </c>
      <c r="F7" s="11">
        <v>1898.416</v>
      </c>
      <c r="G7" s="11">
        <v>2296.507</v>
      </c>
      <c r="H7" s="11">
        <v>57412.674</v>
      </c>
      <c r="I7" s="11">
        <v>2667567.095</v>
      </c>
    </row>
    <row r="8" spans="1:9">
      <c r="A8" s="5">
        <v>2</v>
      </c>
      <c r="B8" s="6">
        <v>1964.99</v>
      </c>
      <c r="C8" s="6">
        <v>2178.68</v>
      </c>
      <c r="D8" s="6">
        <v>2071.83</v>
      </c>
      <c r="E8" s="5">
        <v>42</v>
      </c>
      <c r="F8" s="11">
        <v>2078.94</v>
      </c>
      <c r="G8" s="11">
        <v>3379.075</v>
      </c>
      <c r="H8" s="11">
        <v>141921.141</v>
      </c>
      <c r="I8" s="11">
        <v>896858.33</v>
      </c>
    </row>
    <row r="9" spans="1:9">
      <c r="A9" s="5">
        <v>3</v>
      </c>
      <c r="B9" s="6">
        <v>2178.68</v>
      </c>
      <c r="C9" s="6">
        <v>2392.36</v>
      </c>
      <c r="D9" s="6">
        <v>2285.52</v>
      </c>
      <c r="E9" s="5">
        <v>32</v>
      </c>
      <c r="F9" s="11">
        <v>2262.844</v>
      </c>
      <c r="G9" s="11">
        <v>2599.709</v>
      </c>
      <c r="H9" s="11">
        <v>83190.679</v>
      </c>
      <c r="I9" s="11">
        <v>45659.96</v>
      </c>
    </row>
    <row r="10" spans="1:9">
      <c r="A10" s="5">
        <v>4</v>
      </c>
      <c r="B10" s="6">
        <v>2392.36</v>
      </c>
      <c r="C10" s="6">
        <v>2606.05</v>
      </c>
      <c r="D10" s="6">
        <v>2499.21</v>
      </c>
      <c r="E10" s="5">
        <v>19</v>
      </c>
      <c r="F10" s="11">
        <v>2475.463</v>
      </c>
      <c r="G10" s="11">
        <v>4388.033</v>
      </c>
      <c r="H10" s="11">
        <v>83372.624</v>
      </c>
      <c r="I10" s="11">
        <v>1191240.15</v>
      </c>
    </row>
    <row r="11" spans="1:9">
      <c r="A11" s="5">
        <v>5</v>
      </c>
      <c r="B11" s="6">
        <v>2606.05</v>
      </c>
      <c r="C11" s="6">
        <v>2819.74</v>
      </c>
      <c r="D11" s="6">
        <v>2712.89</v>
      </c>
      <c r="E11" s="5">
        <v>4</v>
      </c>
      <c r="F11" s="11">
        <v>2680.325</v>
      </c>
      <c r="G11" s="11">
        <v>1992.872</v>
      </c>
      <c r="H11" s="11">
        <v>7971.488</v>
      </c>
      <c r="I11" s="11">
        <v>829029.307</v>
      </c>
    </row>
    <row r="12" spans="1:9">
      <c r="A12" s="5">
        <v>6</v>
      </c>
      <c r="B12" s="6">
        <v>2819.74</v>
      </c>
      <c r="C12" s="6">
        <v>3033.43</v>
      </c>
      <c r="D12" s="6">
        <v>2926.58</v>
      </c>
      <c r="E12" s="5">
        <v>2</v>
      </c>
      <c r="F12" s="11">
        <v>2909.5</v>
      </c>
      <c r="G12" s="11">
        <v>1004.89</v>
      </c>
      <c r="H12" s="11">
        <v>2009.78</v>
      </c>
      <c r="I12" s="11">
        <v>936889.486</v>
      </c>
    </row>
    <row r="13" spans="1:9">
      <c r="A13" s="5">
        <v>7</v>
      </c>
      <c r="B13" s="6">
        <v>3033.43</v>
      </c>
      <c r="C13" s="6">
        <v>3247.11</v>
      </c>
      <c r="D13" s="6">
        <v>3140.27</v>
      </c>
      <c r="E13" s="5">
        <v>3</v>
      </c>
      <c r="F13" s="11">
        <v>3167.567</v>
      </c>
      <c r="G13" s="11">
        <v>3617.229</v>
      </c>
      <c r="H13" s="11">
        <v>10851.687</v>
      </c>
      <c r="I13" s="11">
        <v>2664901.215</v>
      </c>
    </row>
    <row r="14" spans="1:9">
      <c r="A14" s="5">
        <v>8</v>
      </c>
      <c r="B14" s="6">
        <v>3247.11</v>
      </c>
      <c r="C14" s="6">
        <v>3460.8</v>
      </c>
      <c r="D14" s="6">
        <v>3353.96</v>
      </c>
      <c r="E14" s="5">
        <v>2</v>
      </c>
      <c r="F14" s="11">
        <v>3385.15</v>
      </c>
      <c r="G14" s="11">
        <v>5722.923</v>
      </c>
      <c r="H14" s="11">
        <v>11445.845</v>
      </c>
      <c r="I14" s="11">
        <v>2691572.292</v>
      </c>
    </row>
    <row r="15" ht="14.65" spans="1:9">
      <c r="A15" s="7" t="s">
        <v>162</v>
      </c>
      <c r="E15" s="7">
        <v>129</v>
      </c>
      <c r="H15" s="12">
        <v>398175.917</v>
      </c>
      <c r="I15" s="12">
        <v>11923717.835</v>
      </c>
    </row>
    <row r="17" ht="14.65" spans="1:3">
      <c r="A17" s="2" t="s">
        <v>241</v>
      </c>
      <c r="C17" s="8">
        <v>3086.635</v>
      </c>
    </row>
    <row r="18" ht="14.65" spans="1:3">
      <c r="A18" s="2" t="s">
        <v>242</v>
      </c>
      <c r="C18" s="8">
        <v>92431.9212</v>
      </c>
    </row>
    <row r="19" ht="14.65" spans="1:3">
      <c r="A19" s="2" t="s">
        <v>243</v>
      </c>
      <c r="C19" s="8">
        <v>95518.5562</v>
      </c>
    </row>
    <row r="20" ht="14.65" spans="1:3">
      <c r="A20" s="2" t="s">
        <v>244</v>
      </c>
      <c r="C20" s="9">
        <v>95518.5562</v>
      </c>
    </row>
    <row r="21" ht="14.65" spans="1:3">
      <c r="A21" s="2" t="s">
        <v>245</v>
      </c>
      <c r="C21" s="10">
        <v>0.9677</v>
      </c>
    </row>
    <row r="22" ht="14.65" spans="1:3">
      <c r="A22" s="2" t="s">
        <v>246</v>
      </c>
      <c r="C22" s="8">
        <v>0.9837</v>
      </c>
    </row>
    <row r="24" ht="29.25" spans="1:1">
      <c r="A24" s="3" t="s">
        <v>247</v>
      </c>
    </row>
    <row r="25" ht="14.65" spans="1:9">
      <c r="A25" s="4" t="s">
        <v>233</v>
      </c>
      <c r="B25" s="4" t="s">
        <v>234</v>
      </c>
      <c r="C25" s="4" t="s">
        <v>235</v>
      </c>
      <c r="D25" s="4" t="s">
        <v>148</v>
      </c>
      <c r="E25" s="4" t="s">
        <v>236</v>
      </c>
      <c r="F25" s="4" t="s">
        <v>237</v>
      </c>
      <c r="G25" s="4" t="s">
        <v>238</v>
      </c>
      <c r="H25" s="4" t="s">
        <v>239</v>
      </c>
      <c r="I25" s="4" t="s">
        <v>240</v>
      </c>
    </row>
    <row r="26" spans="1:9">
      <c r="A26" s="5">
        <v>1</v>
      </c>
      <c r="B26" s="6">
        <v>1751.3</v>
      </c>
      <c r="C26" s="6">
        <v>1941.24</v>
      </c>
      <c r="D26" s="6">
        <v>1846.27</v>
      </c>
      <c r="E26" s="5">
        <v>21</v>
      </c>
      <c r="F26" s="11">
        <v>1887.852</v>
      </c>
      <c r="G26" s="11">
        <v>2032.004</v>
      </c>
      <c r="H26" s="11">
        <v>42672.092</v>
      </c>
      <c r="I26" s="11">
        <v>2388026.881</v>
      </c>
    </row>
    <row r="27" spans="1:9">
      <c r="A27" s="5">
        <v>2</v>
      </c>
      <c r="B27" s="6">
        <v>1941.24</v>
      </c>
      <c r="C27" s="6">
        <v>2131.19</v>
      </c>
      <c r="D27" s="6">
        <v>2036.22</v>
      </c>
      <c r="E27" s="5">
        <v>37</v>
      </c>
      <c r="F27" s="11">
        <v>2048.797</v>
      </c>
      <c r="G27" s="11">
        <v>3448.886</v>
      </c>
      <c r="H27" s="11">
        <v>127608.77</v>
      </c>
      <c r="I27" s="11">
        <v>1149663.398</v>
      </c>
    </row>
    <row r="28" spans="1:9">
      <c r="A28" s="5">
        <v>3</v>
      </c>
      <c r="B28" s="6">
        <v>2131.19</v>
      </c>
      <c r="C28" s="6">
        <v>2321.13</v>
      </c>
      <c r="D28" s="6">
        <v>2226.16</v>
      </c>
      <c r="E28" s="5">
        <v>38</v>
      </c>
      <c r="F28" s="11">
        <v>2226.666</v>
      </c>
      <c r="G28" s="11">
        <v>3088.611</v>
      </c>
      <c r="H28" s="11">
        <v>117367.206</v>
      </c>
      <c r="I28" s="11">
        <v>96.797</v>
      </c>
    </row>
    <row r="29" spans="1:9">
      <c r="A29" s="5">
        <v>4</v>
      </c>
      <c r="B29" s="6">
        <v>2321.13</v>
      </c>
      <c r="C29" s="6">
        <v>2511.08</v>
      </c>
      <c r="D29" s="6">
        <v>2416.11</v>
      </c>
      <c r="E29" s="5">
        <v>16</v>
      </c>
      <c r="F29" s="11">
        <v>2424.1</v>
      </c>
      <c r="G29" s="11">
        <v>1614.29</v>
      </c>
      <c r="H29" s="11">
        <v>25828.64</v>
      </c>
      <c r="I29" s="11">
        <v>633808.536</v>
      </c>
    </row>
    <row r="30" spans="1:9">
      <c r="A30" s="5">
        <v>5</v>
      </c>
      <c r="B30" s="6">
        <v>2511.08</v>
      </c>
      <c r="C30" s="6">
        <v>2701.02</v>
      </c>
      <c r="D30" s="6">
        <v>2606.05</v>
      </c>
      <c r="E30" s="5">
        <v>8</v>
      </c>
      <c r="F30" s="11">
        <v>2582.85</v>
      </c>
      <c r="G30" s="11">
        <v>1886.585</v>
      </c>
      <c r="H30" s="11">
        <v>15092.68</v>
      </c>
      <c r="I30" s="11">
        <v>1024053.558</v>
      </c>
    </row>
    <row r="31" spans="1:9">
      <c r="A31" s="5">
        <v>6</v>
      </c>
      <c r="B31" s="6">
        <v>2701.02</v>
      </c>
      <c r="C31" s="6">
        <v>2890.97</v>
      </c>
      <c r="D31" s="6">
        <v>2795.99</v>
      </c>
      <c r="E31" s="5">
        <v>3</v>
      </c>
      <c r="F31" s="11">
        <v>2769.233</v>
      </c>
      <c r="G31" s="11">
        <v>5906.562</v>
      </c>
      <c r="H31" s="11">
        <v>17719.687</v>
      </c>
      <c r="I31" s="11">
        <v>888341.959</v>
      </c>
    </row>
    <row r="32" spans="1:9">
      <c r="A32" s="5">
        <v>7</v>
      </c>
      <c r="B32" s="6">
        <v>2890.97</v>
      </c>
      <c r="C32" s="6">
        <v>3080.91</v>
      </c>
      <c r="D32" s="6">
        <v>2985.94</v>
      </c>
      <c r="E32" s="5">
        <v>1</v>
      </c>
      <c r="F32" s="11">
        <v>2941.2</v>
      </c>
      <c r="G32" s="11">
        <v>0</v>
      </c>
      <c r="H32" s="11">
        <v>0</v>
      </c>
      <c r="I32" s="11">
        <v>512842.51</v>
      </c>
    </row>
    <row r="33" spans="1:9">
      <c r="A33" s="5">
        <v>8</v>
      </c>
      <c r="B33" s="6">
        <v>3080.91</v>
      </c>
      <c r="C33" s="6">
        <v>3270.86</v>
      </c>
      <c r="D33" s="6">
        <v>3175.88</v>
      </c>
      <c r="E33" s="5">
        <v>3</v>
      </c>
      <c r="F33" s="11">
        <v>3167.567</v>
      </c>
      <c r="G33" s="11">
        <v>3617.229</v>
      </c>
      <c r="H33" s="11">
        <v>10851.687</v>
      </c>
      <c r="I33" s="11">
        <v>2664901.215</v>
      </c>
    </row>
    <row r="34" spans="1:9">
      <c r="A34" s="5">
        <v>9</v>
      </c>
      <c r="B34" s="6">
        <v>3270.86</v>
      </c>
      <c r="C34" s="6">
        <v>3460.8</v>
      </c>
      <c r="D34" s="6">
        <v>3365.83</v>
      </c>
      <c r="E34" s="5">
        <v>2</v>
      </c>
      <c r="F34" s="11">
        <v>3385.15</v>
      </c>
      <c r="G34" s="11">
        <v>5722.923</v>
      </c>
      <c r="H34" s="11">
        <v>11445.845</v>
      </c>
      <c r="I34" s="11">
        <v>2691572.292</v>
      </c>
    </row>
    <row r="35" ht="14.65" spans="1:9">
      <c r="A35" s="7" t="s">
        <v>162</v>
      </c>
      <c r="E35" s="7">
        <v>129</v>
      </c>
      <c r="H35" s="12">
        <v>368586.606</v>
      </c>
      <c r="I35" s="12">
        <v>11953307.146</v>
      </c>
    </row>
    <row r="37" ht="14.65" spans="1:3">
      <c r="A37" s="2" t="s">
        <v>241</v>
      </c>
      <c r="C37" s="8">
        <v>2857.2605</v>
      </c>
    </row>
    <row r="38" ht="14.65" spans="1:3">
      <c r="A38" s="2" t="s">
        <v>242</v>
      </c>
      <c r="C38" s="8">
        <v>92661.2957</v>
      </c>
    </row>
    <row r="39" ht="14.65" spans="1:3">
      <c r="A39" s="2" t="s">
        <v>243</v>
      </c>
      <c r="C39" s="8">
        <v>95518.5562</v>
      </c>
    </row>
    <row r="40" ht="14.65" spans="1:3">
      <c r="A40" s="2" t="s">
        <v>244</v>
      </c>
      <c r="C40" s="9">
        <v>95518.5562</v>
      </c>
    </row>
    <row r="41" ht="14.65" spans="1:3">
      <c r="A41" s="2" t="s">
        <v>245</v>
      </c>
      <c r="C41" s="10">
        <v>0.9701</v>
      </c>
    </row>
    <row r="42" ht="14.65" spans="1:3">
      <c r="A42" s="2" t="s">
        <v>246</v>
      </c>
      <c r="C42" s="8">
        <v>0.9849</v>
      </c>
    </row>
    <row r="44" ht="29.25" spans="1:1">
      <c r="A44" s="3" t="s">
        <v>248</v>
      </c>
    </row>
    <row r="45" ht="14.65" spans="1:9">
      <c r="A45" s="4" t="s">
        <v>233</v>
      </c>
      <c r="B45" s="4" t="s">
        <v>234</v>
      </c>
      <c r="C45" s="4" t="s">
        <v>235</v>
      </c>
      <c r="D45" s="4" t="s">
        <v>148</v>
      </c>
      <c r="E45" s="4" t="s">
        <v>236</v>
      </c>
      <c r="F45" s="4" t="s">
        <v>237</v>
      </c>
      <c r="G45" s="4" t="s">
        <v>238</v>
      </c>
      <c r="H45" s="4" t="s">
        <v>239</v>
      </c>
      <c r="I45" s="4" t="s">
        <v>240</v>
      </c>
    </row>
    <row r="46" spans="1:9">
      <c r="A46" s="5">
        <v>1</v>
      </c>
      <c r="B46" s="6">
        <v>1751.3</v>
      </c>
      <c r="C46" s="6">
        <v>1922.25</v>
      </c>
      <c r="D46" s="6">
        <v>1836.78</v>
      </c>
      <c r="E46" s="5">
        <v>14</v>
      </c>
      <c r="F46" s="11">
        <v>1866.379</v>
      </c>
      <c r="G46" s="11">
        <v>1643.325</v>
      </c>
      <c r="H46" s="11">
        <v>23006.544</v>
      </c>
      <c r="I46" s="11">
        <v>1801231.237</v>
      </c>
    </row>
    <row r="47" spans="1:9">
      <c r="A47" s="5">
        <v>2</v>
      </c>
      <c r="B47" s="6">
        <v>1922.25</v>
      </c>
      <c r="C47" s="6">
        <v>2093.2</v>
      </c>
      <c r="D47" s="6">
        <v>2007.72</v>
      </c>
      <c r="E47" s="5">
        <v>31</v>
      </c>
      <c r="F47" s="11">
        <v>1994.555</v>
      </c>
      <c r="G47" s="11">
        <v>2469.029</v>
      </c>
      <c r="H47" s="11">
        <v>76539.897</v>
      </c>
      <c r="I47" s="11">
        <v>1647251.103</v>
      </c>
    </row>
    <row r="48" spans="1:9">
      <c r="A48" s="5">
        <v>3</v>
      </c>
      <c r="B48" s="6">
        <v>2093.2</v>
      </c>
      <c r="C48" s="6">
        <v>2264.15</v>
      </c>
      <c r="D48" s="6">
        <v>2178.68</v>
      </c>
      <c r="E48" s="5">
        <v>39</v>
      </c>
      <c r="F48" s="11">
        <v>2169.762</v>
      </c>
      <c r="G48" s="11">
        <v>2685.101</v>
      </c>
      <c r="H48" s="11">
        <v>104718.952</v>
      </c>
      <c r="I48" s="11">
        <v>119301.008</v>
      </c>
    </row>
    <row r="49" spans="1:9">
      <c r="A49" s="5">
        <v>4</v>
      </c>
      <c r="B49" s="6">
        <v>2264.15</v>
      </c>
      <c r="C49" s="6">
        <v>2435.1</v>
      </c>
      <c r="D49" s="6">
        <v>2349.62</v>
      </c>
      <c r="E49" s="5">
        <v>22</v>
      </c>
      <c r="F49" s="11">
        <v>2338.786</v>
      </c>
      <c r="G49" s="11">
        <v>3081.641</v>
      </c>
      <c r="H49" s="11">
        <v>67796.106</v>
      </c>
      <c r="I49" s="11">
        <v>284492.214</v>
      </c>
    </row>
    <row r="50" spans="1:9">
      <c r="A50" s="5">
        <v>5</v>
      </c>
      <c r="B50" s="6">
        <v>2435.1</v>
      </c>
      <c r="C50" s="6">
        <v>2606.05</v>
      </c>
      <c r="D50" s="6">
        <v>2520.57</v>
      </c>
      <c r="E50" s="5">
        <v>12</v>
      </c>
      <c r="F50" s="11">
        <v>2515.517</v>
      </c>
      <c r="G50" s="11">
        <v>2547.731</v>
      </c>
      <c r="H50" s="11">
        <v>30572.777</v>
      </c>
      <c r="I50" s="11">
        <v>1012312.815</v>
      </c>
    </row>
    <row r="51" spans="1:9">
      <c r="A51" s="5">
        <v>6</v>
      </c>
      <c r="B51" s="6">
        <v>2606.05</v>
      </c>
      <c r="C51" s="6">
        <v>2777</v>
      </c>
      <c r="D51" s="6">
        <v>2691.53</v>
      </c>
      <c r="E51" s="5">
        <v>4</v>
      </c>
      <c r="F51" s="11">
        <v>2680.325</v>
      </c>
      <c r="G51" s="11">
        <v>1992.872</v>
      </c>
      <c r="H51" s="11">
        <v>7971.488</v>
      </c>
      <c r="I51" s="11">
        <v>829029.307</v>
      </c>
    </row>
    <row r="52" spans="1:9">
      <c r="A52" s="5">
        <v>7</v>
      </c>
      <c r="B52" s="6">
        <v>2777</v>
      </c>
      <c r="C52" s="6">
        <v>2947.95</v>
      </c>
      <c r="D52" s="6">
        <v>2862.47</v>
      </c>
      <c r="E52" s="5">
        <v>2</v>
      </c>
      <c r="F52" s="11">
        <v>2909.5</v>
      </c>
      <c r="G52" s="11">
        <v>1004.89</v>
      </c>
      <c r="H52" s="11">
        <v>2009.78</v>
      </c>
      <c r="I52" s="11">
        <v>936889.486</v>
      </c>
    </row>
    <row r="53" spans="1:9">
      <c r="A53" s="5">
        <v>8</v>
      </c>
      <c r="B53" s="6">
        <v>2947.95</v>
      </c>
      <c r="C53" s="6">
        <v>3118.9</v>
      </c>
      <c r="D53" s="6">
        <v>3033.43</v>
      </c>
      <c r="E53" s="5">
        <v>1</v>
      </c>
      <c r="F53" s="11">
        <v>3083.5</v>
      </c>
      <c r="G53" s="11">
        <v>0</v>
      </c>
      <c r="H53" s="11">
        <v>0</v>
      </c>
      <c r="I53" s="11">
        <v>736902.464</v>
      </c>
    </row>
    <row r="54" spans="1:9">
      <c r="A54" s="5">
        <v>9</v>
      </c>
      <c r="B54" s="6">
        <v>3118.9</v>
      </c>
      <c r="C54" s="6">
        <v>3289.85</v>
      </c>
      <c r="D54" s="6">
        <v>3204.38</v>
      </c>
      <c r="E54" s="5">
        <v>2</v>
      </c>
      <c r="F54" s="11">
        <v>3209.6</v>
      </c>
      <c r="G54" s="11">
        <v>125.44</v>
      </c>
      <c r="H54" s="11">
        <v>250.88</v>
      </c>
      <c r="I54" s="11">
        <v>1938599.558</v>
      </c>
    </row>
    <row r="55" spans="1:9">
      <c r="A55" s="5">
        <v>10</v>
      </c>
      <c r="B55" s="6">
        <v>3289.85</v>
      </c>
      <c r="C55" s="6">
        <v>3460.8</v>
      </c>
      <c r="D55" s="6">
        <v>3375.33</v>
      </c>
      <c r="E55" s="5">
        <v>2</v>
      </c>
      <c r="F55" s="11">
        <v>3385.15</v>
      </c>
      <c r="G55" s="11">
        <v>5722.923</v>
      </c>
      <c r="H55" s="11">
        <v>11445.845</v>
      </c>
      <c r="I55" s="11">
        <v>2691572.292</v>
      </c>
    </row>
    <row r="56" ht="14.65" spans="1:9">
      <c r="A56" s="7" t="s">
        <v>162</v>
      </c>
      <c r="E56" s="7">
        <v>129</v>
      </c>
      <c r="H56" s="12">
        <v>324312.268</v>
      </c>
      <c r="I56" s="12">
        <v>11997581.484</v>
      </c>
    </row>
    <row r="58" ht="14.65" spans="1:3">
      <c r="A58" s="2" t="s">
        <v>241</v>
      </c>
      <c r="C58" s="8">
        <v>2514.0486</v>
      </c>
    </row>
    <row r="59" ht="14.65" spans="1:3">
      <c r="A59" s="2" t="s">
        <v>242</v>
      </c>
      <c r="C59" s="8">
        <v>93004.5076</v>
      </c>
    </row>
    <row r="60" ht="14.65" spans="1:3">
      <c r="A60" s="2" t="s">
        <v>243</v>
      </c>
      <c r="C60" s="8">
        <v>95518.5562</v>
      </c>
    </row>
    <row r="61" ht="14.65" spans="1:3">
      <c r="A61" s="2" t="s">
        <v>244</v>
      </c>
      <c r="C61" s="9">
        <v>95518.5562</v>
      </c>
    </row>
    <row r="62" ht="14.65" spans="1:3">
      <c r="A62" s="2" t="s">
        <v>245</v>
      </c>
      <c r="C62" s="10">
        <v>0.9737</v>
      </c>
    </row>
    <row r="63" ht="14.65" spans="1:3">
      <c r="A63" s="2" t="s">
        <v>246</v>
      </c>
      <c r="C63" s="8">
        <v>0.9868</v>
      </c>
    </row>
    <row r="65" ht="29.25" spans="1:1">
      <c r="A65" s="3" t="s">
        <v>249</v>
      </c>
    </row>
    <row r="66" ht="14.65" spans="1:6">
      <c r="A66" s="4" t="s">
        <v>250</v>
      </c>
      <c r="B66" s="4" t="s">
        <v>251</v>
      </c>
      <c r="C66" s="4" t="s">
        <v>252</v>
      </c>
      <c r="D66" s="4" t="s">
        <v>243</v>
      </c>
      <c r="E66" s="4" t="s">
        <v>253</v>
      </c>
      <c r="F66" s="4" t="s">
        <v>254</v>
      </c>
    </row>
    <row r="67" spans="1:6">
      <c r="A67" s="5">
        <v>8</v>
      </c>
      <c r="B67" s="11">
        <v>3086.635</v>
      </c>
      <c r="C67" s="11">
        <v>92431.921</v>
      </c>
      <c r="D67" s="11">
        <v>95518.556</v>
      </c>
      <c r="E67" s="8">
        <v>0.9677</v>
      </c>
      <c r="F67" s="8">
        <v>0.9837</v>
      </c>
    </row>
    <row r="68" spans="1:6">
      <c r="A68" s="5">
        <v>9</v>
      </c>
      <c r="B68" s="11">
        <v>2857.261</v>
      </c>
      <c r="C68" s="11">
        <v>92661.296</v>
      </c>
      <c r="D68" s="11">
        <v>95518.556</v>
      </c>
      <c r="E68" s="8">
        <v>0.9701</v>
      </c>
      <c r="F68" s="8">
        <v>0.9849</v>
      </c>
    </row>
    <row r="69" spans="1:6">
      <c r="A69" s="5">
        <v>10</v>
      </c>
      <c r="B69" s="11">
        <v>2514.049</v>
      </c>
      <c r="C69" s="11">
        <v>93004.508</v>
      </c>
      <c r="D69" s="11">
        <v>95518.556</v>
      </c>
      <c r="E69" s="8">
        <v>0.9737</v>
      </c>
      <c r="F69" s="8">
        <v>0.9868</v>
      </c>
    </row>
    <row r="71" ht="160.9" spans="1:1">
      <c r="A71" s="13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10218000003</vt:lpstr>
      <vt:lpstr>Лист2</vt:lpstr>
      <vt:lpstr>Пункт3_Закон_распределения</vt:lpstr>
      <vt:lpstr>Пункт4_Сложение_дисперсий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</dc:creator>
  <cp:lastModifiedBy>sasha</cp:lastModifiedBy>
  <dcterms:created xsi:type="dcterms:W3CDTF">2024-04-26T14:31:00Z</dcterms:created>
  <cp:lastPrinted>2024-04-26T14:33:00Z</cp:lastPrinted>
  <dcterms:modified xsi:type="dcterms:W3CDTF">2026-10-16T03:07:34Z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