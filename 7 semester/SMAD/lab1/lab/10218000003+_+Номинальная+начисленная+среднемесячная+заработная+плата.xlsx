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maksim\Downloads\"/>
    </mc:Choice>
  </mc:AlternateContent>
  <xr:revisionPtr revIDLastSave="0" documentId="13_ncr:1_{7564FF9A-C865-46C2-A8CD-04C5AA0CD53F}" xr6:coauthVersionLast="47" xr6:coauthVersionMax="47" xr10:uidLastSave="{00000000-0000-0000-0000-000000000000}"/>
  <bookViews>
    <workbookView xWindow="-103" yWindow="-103" windowWidth="24892" windowHeight="14914" activeTab="1" xr2:uid="{00000000-000D-0000-FFFF-FFFF00000000}"/>
  </bookViews>
  <sheets>
    <sheet name="10218000003" sheetId="1" r:id="rId1"/>
    <sheet name="Лист2" sheetId="2" r:id="rId2"/>
    <sheet name="Лист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M5" i="2" l="1"/>
  <c r="M6" i="2" s="1"/>
  <c r="M7" i="2" s="1"/>
  <c r="M8" i="2" s="1"/>
  <c r="M9" i="2" s="1"/>
  <c r="M10" i="2" s="1"/>
  <c r="M11" i="2" s="1"/>
  <c r="M3" i="2"/>
  <c r="M4" i="2" s="1"/>
  <c r="E63" i="2"/>
  <c r="E62" i="2"/>
  <c r="H63" i="2" s="1"/>
  <c r="E34" i="2"/>
  <c r="E33" i="2"/>
  <c r="H34" i="2" s="1"/>
  <c r="E14" i="2"/>
  <c r="E13" i="2"/>
  <c r="H3" i="2" s="1"/>
  <c r="E6" i="2"/>
  <c r="E7" i="2" s="1"/>
  <c r="E4" i="2"/>
  <c r="C3" i="2" s="1"/>
  <c r="E3" i="2"/>
  <c r="E2" i="2"/>
  <c r="E12" i="2" s="1"/>
  <c r="E32" i="2" s="1"/>
  <c r="E61" i="2" l="1"/>
  <c r="E64" i="2" s="1"/>
  <c r="I63" i="2" s="1"/>
  <c r="E35" i="2"/>
  <c r="I34" i="2" s="1"/>
  <c r="H35" i="2" s="1"/>
  <c r="I35" i="2" s="1"/>
  <c r="H36" i="2" s="1"/>
  <c r="I36" i="2" s="1"/>
  <c r="H37" i="2" s="1"/>
  <c r="I37" i="2" s="1"/>
  <c r="H38" i="2" s="1"/>
  <c r="I38" i="2" s="1"/>
  <c r="H39" i="2" s="1"/>
  <c r="I39" i="2" s="1"/>
  <c r="H40" i="2" s="1"/>
  <c r="I40" i="2" s="1"/>
  <c r="H41" i="2" s="1"/>
  <c r="I41" i="2" s="1"/>
  <c r="E15" i="2"/>
  <c r="I3" i="2" s="1"/>
  <c r="H4" i="2" s="1"/>
  <c r="E8" i="2"/>
  <c r="E9" i="2" s="1"/>
  <c r="C18" i="2"/>
  <c r="C82" i="2"/>
  <c r="C129" i="2"/>
  <c r="C81" i="2"/>
  <c r="C128" i="2"/>
  <c r="C80" i="2"/>
  <c r="C127" i="2"/>
  <c r="C31" i="2"/>
  <c r="C62" i="2"/>
  <c r="C77" i="2"/>
  <c r="C13" i="2"/>
  <c r="C92" i="2"/>
  <c r="C28" i="2"/>
  <c r="C75" i="2"/>
  <c r="C27" i="2"/>
  <c r="C8" i="2"/>
  <c r="C130" i="2"/>
  <c r="C50" i="2"/>
  <c r="C49" i="2"/>
  <c r="C112" i="2"/>
  <c r="C48" i="2"/>
  <c r="C95" i="2"/>
  <c r="C63" i="2"/>
  <c r="C126" i="2"/>
  <c r="C30" i="2"/>
  <c r="C109" i="2"/>
  <c r="C61" i="2"/>
  <c r="C108" i="2"/>
  <c r="C60" i="2"/>
  <c r="C119" i="2"/>
  <c r="C103" i="2"/>
  <c r="C87" i="2"/>
  <c r="C71" i="2"/>
  <c r="C55" i="2"/>
  <c r="C39" i="2"/>
  <c r="C23" i="2"/>
  <c r="C7" i="2"/>
  <c r="C114" i="2"/>
  <c r="C113" i="2"/>
  <c r="C17" i="2"/>
  <c r="C64" i="2"/>
  <c r="C79" i="2"/>
  <c r="C14" i="2"/>
  <c r="C6" i="2"/>
  <c r="C104" i="2"/>
  <c r="C72" i="2"/>
  <c r="C40" i="2"/>
  <c r="C102" i="2"/>
  <c r="C70" i="2"/>
  <c r="C22" i="2"/>
  <c r="C117" i="2"/>
  <c r="C101" i="2"/>
  <c r="C85" i="2"/>
  <c r="C69" i="2"/>
  <c r="C53" i="2"/>
  <c r="C37" i="2"/>
  <c r="C21" i="2"/>
  <c r="C5" i="2"/>
  <c r="C98" i="2"/>
  <c r="C34" i="2"/>
  <c r="C65" i="2"/>
  <c r="C16" i="2"/>
  <c r="C111" i="2"/>
  <c r="C47" i="2"/>
  <c r="C94" i="2"/>
  <c r="C46" i="2"/>
  <c r="C125" i="2"/>
  <c r="C45" i="2"/>
  <c r="C124" i="2"/>
  <c r="C44" i="2"/>
  <c r="C122" i="2"/>
  <c r="C106" i="2"/>
  <c r="C90" i="2"/>
  <c r="C74" i="2"/>
  <c r="C58" i="2"/>
  <c r="C42" i="2"/>
  <c r="C26" i="2"/>
  <c r="C10" i="2"/>
  <c r="C4" i="2"/>
  <c r="C66" i="2"/>
  <c r="C97" i="2"/>
  <c r="C33" i="2"/>
  <c r="C96" i="2"/>
  <c r="C32" i="2"/>
  <c r="C15" i="2"/>
  <c r="C110" i="2"/>
  <c r="C78" i="2"/>
  <c r="C93" i="2"/>
  <c r="C29" i="2"/>
  <c r="C76" i="2"/>
  <c r="C12" i="2"/>
  <c r="C123" i="2"/>
  <c r="C107" i="2"/>
  <c r="C91" i="2"/>
  <c r="C59" i="2"/>
  <c r="C43" i="2"/>
  <c r="C11" i="2"/>
  <c r="C121" i="2"/>
  <c r="C105" i="2"/>
  <c r="C89" i="2"/>
  <c r="C73" i="2"/>
  <c r="C57" i="2"/>
  <c r="C41" i="2"/>
  <c r="C25" i="2"/>
  <c r="C9" i="2"/>
  <c r="C120" i="2"/>
  <c r="C88" i="2"/>
  <c r="C56" i="2"/>
  <c r="C24" i="2"/>
  <c r="C118" i="2"/>
  <c r="C86" i="2"/>
  <c r="C54" i="2"/>
  <c r="C38" i="2"/>
  <c r="C116" i="2"/>
  <c r="C100" i="2"/>
  <c r="C84" i="2"/>
  <c r="C68" i="2"/>
  <c r="C52" i="2"/>
  <c r="C36" i="2"/>
  <c r="C20" i="2"/>
  <c r="C131" i="2"/>
  <c r="C115" i="2"/>
  <c r="C99" i="2"/>
  <c r="C83" i="2"/>
  <c r="C67" i="2"/>
  <c r="C51" i="2"/>
  <c r="C35" i="2"/>
  <c r="C19" i="2"/>
  <c r="K63" i="2" l="1"/>
  <c r="L63" i="2" s="1"/>
  <c r="J63" i="2"/>
  <c r="H64" i="2"/>
  <c r="I64" i="2" s="1"/>
  <c r="K3" i="2"/>
  <c r="L3" i="2" s="1"/>
  <c r="J3" i="2"/>
  <c r="I4" i="2"/>
  <c r="H5" i="2" s="1"/>
  <c r="J34" i="2" l="1"/>
  <c r="K34" i="2"/>
  <c r="J4" i="2"/>
  <c r="K4" i="2"/>
  <c r="L4" i="2" s="1"/>
  <c r="I5" i="2"/>
  <c r="H6" i="2" s="1"/>
  <c r="K5" i="2"/>
  <c r="L5" i="2" s="1"/>
  <c r="H65" i="2" l="1"/>
  <c r="I65" i="2" s="1"/>
  <c r="J64" i="2"/>
  <c r="K64" i="2"/>
  <c r="J5" i="2"/>
  <c r="J35" i="2"/>
  <c r="K35" i="2"/>
  <c r="L35" i="2" s="1"/>
  <c r="L34" i="2"/>
  <c r="I6" i="2"/>
  <c r="H7" i="2" s="1"/>
  <c r="K6" i="2"/>
  <c r="L6" i="2" s="1"/>
  <c r="L64" i="2" l="1"/>
  <c r="K65" i="2"/>
  <c r="L65" i="2" s="1"/>
  <c r="J6" i="2"/>
  <c r="I7" i="2"/>
  <c r="H66" i="2" l="1"/>
  <c r="I66" i="2" s="1"/>
  <c r="J65" i="2"/>
  <c r="K7" i="2"/>
  <c r="L7" i="2" s="1"/>
  <c r="H8" i="2"/>
  <c r="J36" i="2"/>
  <c r="K36" i="2"/>
  <c r="J7" i="2"/>
  <c r="I8" i="2"/>
  <c r="H9" i="2" s="1"/>
  <c r="L36" i="2" l="1"/>
  <c r="J8" i="2"/>
  <c r="K8" i="2"/>
  <c r="L8" i="2" s="1"/>
  <c r="I9" i="2"/>
  <c r="H10" i="2" s="1"/>
  <c r="H67" i="2" l="1"/>
  <c r="I67" i="2" s="1"/>
  <c r="J66" i="2"/>
  <c r="K66" i="2"/>
  <c r="J37" i="2"/>
  <c r="K37" i="2"/>
  <c r="J9" i="2"/>
  <c r="K9" i="2"/>
  <c r="L9" i="2" s="1"/>
  <c r="I10" i="2"/>
  <c r="H11" i="2" s="1"/>
  <c r="L66" i="2" l="1"/>
  <c r="J67" i="2"/>
  <c r="L37" i="2"/>
  <c r="H12" i="2"/>
  <c r="J10" i="2"/>
  <c r="K10" i="2"/>
  <c r="L10" i="2" s="1"/>
  <c r="I11" i="2"/>
  <c r="I12" i="2" s="1"/>
  <c r="K11" i="2"/>
  <c r="H68" i="2" l="1"/>
  <c r="I68" i="2" s="1"/>
  <c r="K67" i="2"/>
  <c r="J38" i="2"/>
  <c r="K38" i="2"/>
  <c r="L11" i="2"/>
  <c r="L12" i="2" s="1"/>
  <c r="K12" i="2"/>
  <c r="J11" i="2"/>
  <c r="J12" i="2" s="1"/>
  <c r="L67" i="2" l="1"/>
  <c r="H69" i="2"/>
  <c r="I69" i="2" s="1"/>
  <c r="L38" i="2"/>
  <c r="J68" i="2" l="1"/>
  <c r="H70" i="2"/>
  <c r="I70" i="2" s="1"/>
  <c r="H71" i="2" s="1"/>
  <c r="K68" i="2"/>
  <c r="L68" i="2" s="1"/>
  <c r="K39" i="2"/>
  <c r="L39" i="2" s="1"/>
  <c r="J39" i="2"/>
  <c r="I71" i="2" l="1"/>
  <c r="H72" i="2" s="1"/>
  <c r="J71" i="2"/>
  <c r="K71" i="2"/>
  <c r="L71" i="2" s="1"/>
  <c r="J69" i="2"/>
  <c r="H73" i="2"/>
  <c r="K69" i="2"/>
  <c r="L69" i="2" s="1"/>
  <c r="J40" i="2"/>
  <c r="K40" i="2"/>
  <c r="L40" i="2" s="1"/>
  <c r="I72" i="2" l="1"/>
  <c r="I73" i="2" s="1"/>
  <c r="K72" i="2"/>
  <c r="L72" i="2" s="1"/>
  <c r="J72" i="2"/>
  <c r="J70" i="2"/>
  <c r="J73" i="2" s="1"/>
  <c r="K70" i="2"/>
  <c r="I42" i="2"/>
  <c r="H42" i="2"/>
  <c r="K41" i="2"/>
  <c r="L41" i="2" s="1"/>
  <c r="J41" i="2"/>
  <c r="L70" i="2" l="1"/>
  <c r="L73" i="2" s="1"/>
  <c r="K73" i="2"/>
  <c r="J42" i="2"/>
  <c r="L42" i="2" l="1"/>
  <c r="K42" i="2"/>
</calcChain>
</file>

<file path=xl/sharedStrings.xml><?xml version="1.0" encoding="utf-8"?>
<sst xmlns="http://schemas.openxmlformats.org/spreadsheetml/2006/main" count="323" uniqueCount="168">
  <si>
    <t>Номинальная начисленная среднемесячная заработная плата по территории Республики Беларусь</t>
  </si>
  <si>
    <t>руб.</t>
  </si>
  <si>
    <t>Территория Республики Беларусь</t>
  </si>
  <si>
    <t>2025</t>
  </si>
  <si>
    <t>Республика Беларусь</t>
  </si>
  <si>
    <t xml:space="preserve">    Брестская область</t>
  </si>
  <si>
    <t xml:space="preserve">        Барановичский</t>
  </si>
  <si>
    <t xml:space="preserve">        Берёзовский</t>
  </si>
  <si>
    <t xml:space="preserve">        Брестский</t>
  </si>
  <si>
    <t xml:space="preserve">        Ганцевичский</t>
  </si>
  <si>
    <t xml:space="preserve">        Дрогичинский</t>
  </si>
  <si>
    <t xml:space="preserve">        Жабинковский</t>
  </si>
  <si>
    <t xml:space="preserve">        Ивановский</t>
  </si>
  <si>
    <t xml:space="preserve">        Ивацевичский</t>
  </si>
  <si>
    <t xml:space="preserve">        Каменецкий</t>
  </si>
  <si>
    <t xml:space="preserve">        Кобринский</t>
  </si>
  <si>
    <t xml:space="preserve">        Лунинецкий</t>
  </si>
  <si>
    <t xml:space="preserve">        Ляховичский</t>
  </si>
  <si>
    <t xml:space="preserve">        Малоритский</t>
  </si>
  <si>
    <t xml:space="preserve">        Пинский</t>
  </si>
  <si>
    <t xml:space="preserve">        Пружанский</t>
  </si>
  <si>
    <t xml:space="preserve">        Столинский</t>
  </si>
  <si>
    <t xml:space="preserve">        г. Брест</t>
  </si>
  <si>
    <t xml:space="preserve">        г. Барановичи</t>
  </si>
  <si>
    <t xml:space="preserve">        г. Пинск</t>
  </si>
  <si>
    <t xml:space="preserve">    Витебская область</t>
  </si>
  <si>
    <t xml:space="preserve">        Бешенковичский</t>
  </si>
  <si>
    <t xml:space="preserve">        Браславский</t>
  </si>
  <si>
    <t xml:space="preserve">        Верхнедвинский</t>
  </si>
  <si>
    <t xml:space="preserve">        Витебский</t>
  </si>
  <si>
    <t xml:space="preserve">        Глубокский</t>
  </si>
  <si>
    <t xml:space="preserve">        Городокский</t>
  </si>
  <si>
    <t xml:space="preserve">        Докшицкий</t>
  </si>
  <si>
    <t xml:space="preserve">        Дубровенский</t>
  </si>
  <si>
    <t xml:space="preserve">        Лепельский</t>
  </si>
  <si>
    <t xml:space="preserve">        Лиозненский</t>
  </si>
  <si>
    <t xml:space="preserve">        Миорский</t>
  </si>
  <si>
    <t xml:space="preserve">        Оршанский</t>
  </si>
  <si>
    <t xml:space="preserve">        Полоцкий</t>
  </si>
  <si>
    <t xml:space="preserve">        Поставский</t>
  </si>
  <si>
    <t xml:space="preserve">        Россонский</t>
  </si>
  <si>
    <t xml:space="preserve">        Сенненский</t>
  </si>
  <si>
    <t xml:space="preserve">        Толочинский</t>
  </si>
  <si>
    <t xml:space="preserve">        Ушачский</t>
  </si>
  <si>
    <t xml:space="preserve">        Чашникский</t>
  </si>
  <si>
    <t xml:space="preserve">        Шарковщинский</t>
  </si>
  <si>
    <t xml:space="preserve">        Шумилинский</t>
  </si>
  <si>
    <t xml:space="preserve">        г. Витебск</t>
  </si>
  <si>
    <t xml:space="preserve">        г. Новополоцк</t>
  </si>
  <si>
    <t xml:space="preserve">    Гомельская область</t>
  </si>
  <si>
    <t xml:space="preserve">        Брагинский</t>
  </si>
  <si>
    <t xml:space="preserve">        Буда-Кошелевский</t>
  </si>
  <si>
    <t xml:space="preserve">        Ветковский</t>
  </si>
  <si>
    <t xml:space="preserve">        Гомельский</t>
  </si>
  <si>
    <t xml:space="preserve">        Добрушский</t>
  </si>
  <si>
    <t xml:space="preserve">        Ельский</t>
  </si>
  <si>
    <t xml:space="preserve">        Житковичский</t>
  </si>
  <si>
    <t xml:space="preserve">        Жлобинский</t>
  </si>
  <si>
    <t xml:space="preserve">        Калинковичский</t>
  </si>
  <si>
    <t xml:space="preserve">        Кормянский</t>
  </si>
  <si>
    <t xml:space="preserve">        Лельчицкий</t>
  </si>
  <si>
    <t xml:space="preserve">        Лоевский</t>
  </si>
  <si>
    <t xml:space="preserve">        Мозырский</t>
  </si>
  <si>
    <t xml:space="preserve">        Наровлянский</t>
  </si>
  <si>
    <t xml:space="preserve">        Октябрьский</t>
  </si>
  <si>
    <t xml:space="preserve">        Петриковский</t>
  </si>
  <si>
    <t xml:space="preserve">        Речицкий</t>
  </si>
  <si>
    <t xml:space="preserve">        Рогачевский</t>
  </si>
  <si>
    <t xml:space="preserve">        Светлогорский</t>
  </si>
  <si>
    <t xml:space="preserve">        Хойникский</t>
  </si>
  <si>
    <t xml:space="preserve">        Чечерский</t>
  </si>
  <si>
    <t xml:space="preserve">        г. Гомель</t>
  </si>
  <si>
    <t xml:space="preserve">    Гродненская область</t>
  </si>
  <si>
    <t xml:space="preserve">        Берестовицкий</t>
  </si>
  <si>
    <t xml:space="preserve">        Волковысский</t>
  </si>
  <si>
    <t xml:space="preserve">        Вороновский</t>
  </si>
  <si>
    <t xml:space="preserve">        Гродненский</t>
  </si>
  <si>
    <t xml:space="preserve">        Дятловский</t>
  </si>
  <si>
    <t xml:space="preserve">        Зельвенский</t>
  </si>
  <si>
    <t xml:space="preserve">        Ивьевский</t>
  </si>
  <si>
    <t xml:space="preserve">        Кореличский</t>
  </si>
  <si>
    <t xml:space="preserve">        Лидский</t>
  </si>
  <si>
    <t xml:space="preserve">        Мостовский</t>
  </si>
  <si>
    <t xml:space="preserve">        Новогрудский</t>
  </si>
  <si>
    <t xml:space="preserve">        Островецкий</t>
  </si>
  <si>
    <t xml:space="preserve">        Ошмянский</t>
  </si>
  <si>
    <t xml:space="preserve">        Свислочский</t>
  </si>
  <si>
    <t xml:space="preserve">        Слонимский</t>
  </si>
  <si>
    <t xml:space="preserve">        Сморгонский</t>
  </si>
  <si>
    <t xml:space="preserve">        Щучинский</t>
  </si>
  <si>
    <t xml:space="preserve">        г. Гродно</t>
  </si>
  <si>
    <t xml:space="preserve">    г. Минск</t>
  </si>
  <si>
    <t xml:space="preserve">    Минская область</t>
  </si>
  <si>
    <t xml:space="preserve">        Березинский</t>
  </si>
  <si>
    <t xml:space="preserve">        Борисовский</t>
  </si>
  <si>
    <t xml:space="preserve">        Вилейский</t>
  </si>
  <si>
    <t xml:space="preserve">        Воложинский</t>
  </si>
  <si>
    <t xml:space="preserve">        Дзержинский</t>
  </si>
  <si>
    <t xml:space="preserve">        Клецкий</t>
  </si>
  <si>
    <t xml:space="preserve">        Копыльский</t>
  </si>
  <si>
    <t xml:space="preserve">        Крупский</t>
  </si>
  <si>
    <t xml:space="preserve">        Логойский</t>
  </si>
  <si>
    <t xml:space="preserve">        Любанский</t>
  </si>
  <si>
    <t xml:space="preserve">        Минский</t>
  </si>
  <si>
    <t xml:space="preserve">        Молодечненский</t>
  </si>
  <si>
    <t xml:space="preserve">        Мядельский</t>
  </si>
  <si>
    <t xml:space="preserve">        Несвижский</t>
  </si>
  <si>
    <t xml:space="preserve">        Пуховичский</t>
  </si>
  <si>
    <t xml:space="preserve">        Слуцкий</t>
  </si>
  <si>
    <t xml:space="preserve">        Смолевичский</t>
  </si>
  <si>
    <t xml:space="preserve">        Солигорский</t>
  </si>
  <si>
    <t xml:space="preserve">        Стародорожский</t>
  </si>
  <si>
    <t xml:space="preserve">        Столбцовский</t>
  </si>
  <si>
    <t xml:space="preserve">        Узденский</t>
  </si>
  <si>
    <t xml:space="preserve">        Червенский</t>
  </si>
  <si>
    <t xml:space="preserve">        Не распределено по районам Минской области</t>
  </si>
  <si>
    <t xml:space="preserve">        г. Жодино</t>
  </si>
  <si>
    <t xml:space="preserve">    Могилевская область</t>
  </si>
  <si>
    <t xml:space="preserve">        Белыничский</t>
  </si>
  <si>
    <t xml:space="preserve">        Бобруйский</t>
  </si>
  <si>
    <t xml:space="preserve">        Быховский</t>
  </si>
  <si>
    <t xml:space="preserve">        Глусский</t>
  </si>
  <si>
    <t xml:space="preserve">        Горецкий</t>
  </si>
  <si>
    <t xml:space="preserve">        Дрибинский</t>
  </si>
  <si>
    <t xml:space="preserve">        Кировский</t>
  </si>
  <si>
    <t xml:space="preserve">        Климовичский</t>
  </si>
  <si>
    <t xml:space="preserve">        Кличевский</t>
  </si>
  <si>
    <t xml:space="preserve">        Костюковичский</t>
  </si>
  <si>
    <t xml:space="preserve">        Краснопольский</t>
  </si>
  <si>
    <t xml:space="preserve">        Кричевский</t>
  </si>
  <si>
    <t xml:space="preserve">        Круглянский</t>
  </si>
  <si>
    <t xml:space="preserve">        Могилевский</t>
  </si>
  <si>
    <t xml:space="preserve">        Мстиславский</t>
  </si>
  <si>
    <t xml:space="preserve">        Осиповичский</t>
  </si>
  <si>
    <t xml:space="preserve">        Славгородский</t>
  </si>
  <si>
    <t xml:space="preserve">        Хотимский</t>
  </si>
  <si>
    <t xml:space="preserve">        Чаусский</t>
  </si>
  <si>
    <t xml:space="preserve">        Чериковский</t>
  </si>
  <si>
    <t xml:space="preserve">        Шкловский</t>
  </si>
  <si>
    <t xml:space="preserve">        г. Могилев</t>
  </si>
  <si>
    <t xml:space="preserve">        г. Бобруйск</t>
  </si>
  <si>
    <t>&lt;-</t>
  </si>
  <si>
    <t>медиана</t>
  </si>
  <si>
    <t>Исходные данные</t>
  </si>
  <si>
    <t>Объём выборки N</t>
  </si>
  <si>
    <t>Ср Арифм</t>
  </si>
  <si>
    <t>Медиана</t>
  </si>
  <si>
    <t>Мода</t>
  </si>
  <si>
    <t>-</t>
  </si>
  <si>
    <t>Дисперсия(S^2)</t>
  </si>
  <si>
    <t>Квадратичное откл</t>
  </si>
  <si>
    <t>коэф вариации</t>
  </si>
  <si>
    <t>Однородна ли выборка</t>
  </si>
  <si>
    <t>Выброс?</t>
  </si>
  <si>
    <t>Выбросов не обнаружено</t>
  </si>
  <si>
    <t>кол-во интервалов</t>
  </si>
  <si>
    <t>Минимум</t>
  </si>
  <si>
    <t>Максимум</t>
  </si>
  <si>
    <t>шаг интервала</t>
  </si>
  <si>
    <t>таблица интервалов</t>
  </si>
  <si>
    <t>Интервал</t>
  </si>
  <si>
    <t>Ниж. Гран</t>
  </si>
  <si>
    <t>Верх. Гран.</t>
  </si>
  <si>
    <t>Середина</t>
  </si>
  <si>
    <t>Частота</t>
  </si>
  <si>
    <t>Отн. Частота</t>
  </si>
  <si>
    <t>Итог</t>
  </si>
  <si>
    <t>накопл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</si>
</sst>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charset val="204"/>
      <scheme val="minor"/>
    </font>
    <font>
      <b/>
      <sz val="14"/>
      <name val="Times New Roman"/>
    </font>
    <font>
      <b/>
      <sz val="10"/>
      <name val="Times New Roman"/>
    </font>
    <font>
      <sz val="10"/>
      <name val="Times New Roman"/>
    </font>
    <font>
      <b/>
      <sz val="11"/>
      <color theme="1"/>
      <name val="Calibri"/>
      <family val="2"/>
      <charset val="204"/>
      <scheme val="minor"/>
    </font>
    <font>
      <sz val="8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 applyAlignment="1">
      <alignment horizontal="left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horizontal="right" wrapText="1"/>
    </xf>
    <xf numFmtId="0" fontId="3" fillId="0" borderId="0" xfId="0" applyFont="1" applyAlignment="1">
      <alignment vertical="center" wrapText="1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0" fillId="0" borderId="0" xfId="0" applyAlignment="1">
      <alignment horizontal="center"/>
    </xf>
    <xf numFmtId="0" fontId="0" fillId="0" borderId="10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6" xfId="0" applyBorder="1" applyAlignment="1">
      <alignment horizontal="center"/>
    </xf>
    <xf numFmtId="0" fontId="4" fillId="0" borderId="3" xfId="0" applyFont="1" applyBorder="1"/>
    <xf numFmtId="0" fontId="4" fillId="0" borderId="1" xfId="0" applyFont="1" applyBorder="1"/>
    <xf numFmtId="0" fontId="0" fillId="0" borderId="9" xfId="0" applyFill="1" applyBorder="1"/>
    <xf numFmtId="0" fontId="0" fillId="0" borderId="1" xfId="0" applyNumberFormat="1" applyBorder="1"/>
    <xf numFmtId="0" fontId="0" fillId="0" borderId="4" xfId="0" applyNumberFormat="1" applyBorder="1"/>
  </cellXfs>
  <cellStyles count="1">
    <cellStyle name="Обычный" xfId="0" builtinId="0"/>
  </cellStyles>
  <dxfs count="57"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numFmt numFmtId="0" formatCode="General"/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numFmt numFmtId="0" formatCode="General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numFmt numFmtId="0" formatCode="General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Гистограмма</a:t>
            </a:r>
            <a:r>
              <a:rPr lang="ru-RU" baseline="0"/>
              <a:t> и полигон распределения зар платы</a:t>
            </a:r>
            <a:endParaRPr lang="ru-R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BY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 w="12700">
              <a:solidFill>
                <a:schemeClr val="tx1"/>
              </a:solidFill>
            </a:ln>
            <a:effectLst/>
          </c:spPr>
          <c:invertIfNegative val="0"/>
          <c:cat>
            <c:numRef>
              <c:f>Лист2!$J$3:$J$11</c:f>
              <c:numCache>
                <c:formatCode>General</c:formatCode>
                <c:ptCount val="9"/>
                <c:pt idx="0">
                  <c:v>1846.27</c:v>
                </c:pt>
                <c:pt idx="1">
                  <c:v>2036.22</c:v>
                </c:pt>
                <c:pt idx="2">
                  <c:v>2226.16</c:v>
                </c:pt>
                <c:pt idx="3">
                  <c:v>2416.11</c:v>
                </c:pt>
                <c:pt idx="4">
                  <c:v>2606.0500000000002</c:v>
                </c:pt>
                <c:pt idx="5">
                  <c:v>2795.99</c:v>
                </c:pt>
                <c:pt idx="6">
                  <c:v>2985.94</c:v>
                </c:pt>
                <c:pt idx="7">
                  <c:v>3175.88</c:v>
                </c:pt>
                <c:pt idx="8">
                  <c:v>3365.83</c:v>
                </c:pt>
              </c:numCache>
            </c:numRef>
          </c:cat>
          <c:val>
            <c:numRef>
              <c:f>Лист2!$K$3:$K$11</c:f>
              <c:numCache>
                <c:formatCode>General</c:formatCode>
                <c:ptCount val="9"/>
                <c:pt idx="0">
                  <c:v>21</c:v>
                </c:pt>
                <c:pt idx="1">
                  <c:v>37</c:v>
                </c:pt>
                <c:pt idx="2">
                  <c:v>38</c:v>
                </c:pt>
                <c:pt idx="3">
                  <c:v>16</c:v>
                </c:pt>
                <c:pt idx="4">
                  <c:v>8</c:v>
                </c:pt>
                <c:pt idx="5">
                  <c:v>3</c:v>
                </c:pt>
                <c:pt idx="6">
                  <c:v>1</c:v>
                </c:pt>
                <c:pt idx="7">
                  <c:v>3</c:v>
                </c:pt>
                <c:pt idx="8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9D4-4D1C-8E74-B7DF129F3C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-27"/>
        <c:axId val="1139151552"/>
        <c:axId val="1139151072"/>
      </c:barChart>
      <c:lineChart>
        <c:grouping val="standard"/>
        <c:varyColors val="0"/>
        <c:ser>
          <c:idx val="1"/>
          <c:order val="1"/>
          <c:spPr>
            <a:ln w="3492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Лист2!$J$3:$J$11</c:f>
              <c:numCache>
                <c:formatCode>General</c:formatCode>
                <c:ptCount val="9"/>
                <c:pt idx="0">
                  <c:v>1846.27</c:v>
                </c:pt>
                <c:pt idx="1">
                  <c:v>2036.22</c:v>
                </c:pt>
                <c:pt idx="2">
                  <c:v>2226.16</c:v>
                </c:pt>
                <c:pt idx="3">
                  <c:v>2416.11</c:v>
                </c:pt>
                <c:pt idx="4">
                  <c:v>2606.0500000000002</c:v>
                </c:pt>
                <c:pt idx="5">
                  <c:v>2795.99</c:v>
                </c:pt>
                <c:pt idx="6">
                  <c:v>2985.94</c:v>
                </c:pt>
                <c:pt idx="7">
                  <c:v>3175.88</c:v>
                </c:pt>
                <c:pt idx="8">
                  <c:v>3365.83</c:v>
                </c:pt>
              </c:numCache>
            </c:numRef>
          </c:cat>
          <c:val>
            <c:numRef>
              <c:f>Лист2!$K$3:$K$11</c:f>
              <c:numCache>
                <c:formatCode>General</c:formatCode>
                <c:ptCount val="9"/>
                <c:pt idx="0">
                  <c:v>21</c:v>
                </c:pt>
                <c:pt idx="1">
                  <c:v>37</c:v>
                </c:pt>
                <c:pt idx="2">
                  <c:v>38</c:v>
                </c:pt>
                <c:pt idx="3">
                  <c:v>16</c:v>
                </c:pt>
                <c:pt idx="4">
                  <c:v>8</c:v>
                </c:pt>
                <c:pt idx="5">
                  <c:v>3</c:v>
                </c:pt>
                <c:pt idx="6">
                  <c:v>1</c:v>
                </c:pt>
                <c:pt idx="7">
                  <c:v>3</c:v>
                </c:pt>
                <c:pt idx="8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9D4-4D1C-8E74-B7DF129F3C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39151552"/>
        <c:axId val="1139151072"/>
      </c:lineChart>
      <c:catAx>
        <c:axId val="113915155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 sz="1000" b="1" i="0" u="none" strike="noStrike" baseline="0"/>
                  <a:t>Начисленная заработная плата, руб.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B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BY"/>
          </a:p>
        </c:txPr>
        <c:crossAx val="1139151072"/>
        <c:crosses val="autoZero"/>
        <c:auto val="1"/>
        <c:lblAlgn val="ctr"/>
        <c:lblOffset val="100"/>
        <c:noMultiLvlLbl val="0"/>
      </c:catAx>
      <c:valAx>
        <c:axId val="1139151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 sz="1000" b="1" i="0" u="none" strike="noStrike" baseline="0"/>
                  <a:t>Частота (число районов)</a:t>
                </a:r>
                <a:r>
                  <a:rPr lang="ru-RU" sz="1000" b="0" i="0" u="none" strike="noStrike" baseline="0"/>
                  <a:t>.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B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BY"/>
          </a:p>
        </c:txPr>
        <c:crossAx val="11391515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BY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Гистограмма</a:t>
            </a:r>
            <a:r>
              <a:rPr lang="ru-RU" baseline="0"/>
              <a:t> и полигон распределения зар платы</a:t>
            </a:r>
            <a:endParaRPr lang="ru-R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BY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 w="12700">
              <a:solidFill>
                <a:schemeClr val="tx1"/>
              </a:solidFill>
            </a:ln>
            <a:effectLst/>
          </c:spPr>
          <c:invertIfNegative val="0"/>
          <c:cat>
            <c:numRef>
              <c:f>Лист2!$J$34:$J$41</c:f>
              <c:numCache>
                <c:formatCode>General</c:formatCode>
                <c:ptCount val="8"/>
                <c:pt idx="0">
                  <c:v>1858.14</c:v>
                </c:pt>
                <c:pt idx="1">
                  <c:v>2071.83</c:v>
                </c:pt>
                <c:pt idx="2">
                  <c:v>2285.52</c:v>
                </c:pt>
                <c:pt idx="3">
                  <c:v>2499.21</c:v>
                </c:pt>
                <c:pt idx="4">
                  <c:v>2712.89</c:v>
                </c:pt>
                <c:pt idx="5">
                  <c:v>2926.58</c:v>
                </c:pt>
                <c:pt idx="6">
                  <c:v>3140.27</c:v>
                </c:pt>
                <c:pt idx="7">
                  <c:v>3353.96</c:v>
                </c:pt>
              </c:numCache>
            </c:numRef>
          </c:cat>
          <c:val>
            <c:numRef>
              <c:f>Лист2!$K$34:$K$41</c:f>
              <c:numCache>
                <c:formatCode>General</c:formatCode>
                <c:ptCount val="8"/>
                <c:pt idx="0">
                  <c:v>25</c:v>
                </c:pt>
                <c:pt idx="1">
                  <c:v>42</c:v>
                </c:pt>
                <c:pt idx="2">
                  <c:v>32</c:v>
                </c:pt>
                <c:pt idx="3">
                  <c:v>19</c:v>
                </c:pt>
                <c:pt idx="4">
                  <c:v>4</c:v>
                </c:pt>
                <c:pt idx="5">
                  <c:v>2</c:v>
                </c:pt>
                <c:pt idx="6">
                  <c:v>3</c:v>
                </c:pt>
                <c:pt idx="7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501-4A4D-B815-617DD4F9A7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-27"/>
        <c:axId val="1139151552"/>
        <c:axId val="1139151072"/>
      </c:barChart>
      <c:lineChart>
        <c:grouping val="standard"/>
        <c:varyColors val="0"/>
        <c:ser>
          <c:idx val="1"/>
          <c:order val="1"/>
          <c:tx>
            <c:v>Ряд 2</c:v>
          </c:tx>
          <c:spPr>
            <a:ln w="3492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Лист2!$J$34:$J$41</c:f>
              <c:numCache>
                <c:formatCode>General</c:formatCode>
                <c:ptCount val="8"/>
                <c:pt idx="0">
                  <c:v>1858.14</c:v>
                </c:pt>
                <c:pt idx="1">
                  <c:v>2071.83</c:v>
                </c:pt>
                <c:pt idx="2">
                  <c:v>2285.52</c:v>
                </c:pt>
                <c:pt idx="3">
                  <c:v>2499.21</c:v>
                </c:pt>
                <c:pt idx="4">
                  <c:v>2712.89</c:v>
                </c:pt>
                <c:pt idx="5">
                  <c:v>2926.58</c:v>
                </c:pt>
                <c:pt idx="6">
                  <c:v>3140.27</c:v>
                </c:pt>
                <c:pt idx="7">
                  <c:v>3353.96</c:v>
                </c:pt>
              </c:numCache>
            </c:numRef>
          </c:cat>
          <c:val>
            <c:numRef>
              <c:f>Лист2!$K$34:$K$41</c:f>
              <c:numCache>
                <c:formatCode>General</c:formatCode>
                <c:ptCount val="8"/>
                <c:pt idx="0">
                  <c:v>25</c:v>
                </c:pt>
                <c:pt idx="1">
                  <c:v>42</c:v>
                </c:pt>
                <c:pt idx="2">
                  <c:v>32</c:v>
                </c:pt>
                <c:pt idx="3">
                  <c:v>19</c:v>
                </c:pt>
                <c:pt idx="4">
                  <c:v>4</c:v>
                </c:pt>
                <c:pt idx="5">
                  <c:v>2</c:v>
                </c:pt>
                <c:pt idx="6">
                  <c:v>3</c:v>
                </c:pt>
                <c:pt idx="7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501-4A4D-B815-617DD4F9A7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39151552"/>
        <c:axId val="1139151072"/>
      </c:lineChart>
      <c:catAx>
        <c:axId val="113915155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 sz="1000" b="1" i="0" u="none" strike="noStrike" baseline="0"/>
                  <a:t>Начисленная заработная плата, руб.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B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BY"/>
          </a:p>
        </c:txPr>
        <c:crossAx val="1139151072"/>
        <c:crosses val="autoZero"/>
        <c:auto val="1"/>
        <c:lblAlgn val="ctr"/>
        <c:lblOffset val="100"/>
        <c:noMultiLvlLbl val="0"/>
      </c:catAx>
      <c:valAx>
        <c:axId val="1139151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 sz="1000" b="1" i="0" u="none" strike="noStrike" baseline="0"/>
                  <a:t>Частота (число районов)</a:t>
                </a:r>
                <a:r>
                  <a:rPr lang="ru-RU" sz="1000" b="0" i="0" u="none" strike="noStrike" baseline="0"/>
                  <a:t>.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B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BY"/>
          </a:p>
        </c:txPr>
        <c:crossAx val="11391515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BY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BY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Лист2!$J$3:$J$11</c:f>
              <c:numCache>
                <c:formatCode>General</c:formatCode>
                <c:ptCount val="9"/>
                <c:pt idx="0">
                  <c:v>1846.27</c:v>
                </c:pt>
                <c:pt idx="1">
                  <c:v>2036.22</c:v>
                </c:pt>
                <c:pt idx="2">
                  <c:v>2226.16</c:v>
                </c:pt>
                <c:pt idx="3">
                  <c:v>2416.11</c:v>
                </c:pt>
                <c:pt idx="4">
                  <c:v>2606.0500000000002</c:v>
                </c:pt>
                <c:pt idx="5">
                  <c:v>2795.99</c:v>
                </c:pt>
                <c:pt idx="6">
                  <c:v>2985.94</c:v>
                </c:pt>
                <c:pt idx="7">
                  <c:v>3175.88</c:v>
                </c:pt>
                <c:pt idx="8">
                  <c:v>3365.83</c:v>
                </c:pt>
              </c:numCache>
            </c:numRef>
          </c:cat>
          <c:val>
            <c:numRef>
              <c:f>Лист2!$M$3:$M$11</c:f>
              <c:numCache>
                <c:formatCode>General</c:formatCode>
                <c:ptCount val="9"/>
                <c:pt idx="0">
                  <c:v>21</c:v>
                </c:pt>
                <c:pt idx="1">
                  <c:v>58</c:v>
                </c:pt>
                <c:pt idx="2">
                  <c:v>96</c:v>
                </c:pt>
                <c:pt idx="3">
                  <c:v>112</c:v>
                </c:pt>
                <c:pt idx="4">
                  <c:v>120</c:v>
                </c:pt>
                <c:pt idx="5">
                  <c:v>123</c:v>
                </c:pt>
                <c:pt idx="6">
                  <c:v>124</c:v>
                </c:pt>
                <c:pt idx="7">
                  <c:v>127</c:v>
                </c:pt>
                <c:pt idx="8">
                  <c:v>129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61-4E43-BFEC-F3CC0FE382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68277055"/>
        <c:axId val="1690012783"/>
      </c:lineChart>
      <c:catAx>
        <c:axId val="18682770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BY"/>
          </a:p>
        </c:txPr>
        <c:crossAx val="1690012783"/>
        <c:crosses val="autoZero"/>
        <c:auto val="1"/>
        <c:lblAlgn val="ctr"/>
        <c:lblOffset val="100"/>
        <c:noMultiLvlLbl val="0"/>
      </c:catAx>
      <c:valAx>
        <c:axId val="16900127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BY"/>
          </a:p>
        </c:txPr>
        <c:crossAx val="186827705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BY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0</xdr:row>
      <xdr:rowOff>0</xdr:rowOff>
    </xdr:from>
    <xdr:to>
      <xdr:col>11</xdr:col>
      <xdr:colOff>0</xdr:colOff>
      <xdr:row>1</xdr:row>
      <xdr:rowOff>0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533400" cy="552450"/>
        </a:xfrm>
        <a:prstGeom prst="rect">
          <a:avLst/>
        </a:prstGeom>
      </xdr:spPr>
    </xdr:pic>
    <xdr:clientData/>
  </xdr:twoCellAnchor>
  <xdr:twoCellAnchor editAs="absolute">
    <xdr:from>
      <xdr:col>0</xdr:col>
      <xdr:colOff>0</xdr:colOff>
      <xdr:row>0</xdr:row>
      <xdr:rowOff>0</xdr:rowOff>
    </xdr:from>
    <xdr:to>
      <xdr:col>2</xdr:col>
      <xdr:colOff>0</xdr:colOff>
      <xdr:row>1</xdr:row>
      <xdr:rowOff>0</xdr:rowOff>
    </xdr:to>
    <xdr:pic>
      <xdr:nvPicPr>
        <xdr:cNvPr id="3" name="Picture 1" descr="Picture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0"/>
          <a:ext cx="4114800" cy="5524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5442</xdr:colOff>
      <xdr:row>13</xdr:row>
      <xdr:rowOff>13606</xdr:rowOff>
    </xdr:from>
    <xdr:to>
      <xdr:col>12</xdr:col>
      <xdr:colOff>0</xdr:colOff>
      <xdr:row>29</xdr:row>
      <xdr:rowOff>180000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E27E9C6A-2AD9-CD0A-1B62-188CC593798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43</xdr:row>
      <xdr:rowOff>0</xdr:rowOff>
    </xdr:from>
    <xdr:to>
      <xdr:col>11</xdr:col>
      <xdr:colOff>967324</xdr:colOff>
      <xdr:row>59</xdr:row>
      <xdr:rowOff>166393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7D5CE414-772E-45FC-A2F1-676B663BB81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1158</xdr:colOff>
      <xdr:row>13</xdr:row>
      <xdr:rowOff>12275</xdr:rowOff>
    </xdr:from>
    <xdr:to>
      <xdr:col>19</xdr:col>
      <xdr:colOff>647352</xdr:colOff>
      <xdr:row>27</xdr:row>
      <xdr:rowOff>161432</xdr:rowOff>
    </xdr:to>
    <xdr:graphicFrame macro="">
      <xdr:nvGraphicFramePr>
        <xdr:cNvPr id="5" name="Диаграмма 4">
          <a:extLst>
            <a:ext uri="{FF2B5EF4-FFF2-40B4-BE49-F238E27FC236}">
              <a16:creationId xmlns:a16="http://schemas.microsoft.com/office/drawing/2014/main" id="{EBED99AC-2907-BF04-C9DB-D2F7221F18C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A480208-647B-4B61-AB68-E7D83938C667}" name="Таблица2" displayName="Таблица2" ref="A2:C131" totalsRowShown="0" headerRowDxfId="56" headerRowBorderDxfId="55" tableBorderDxfId="54" totalsRowBorderDxfId="53">
  <autoFilter ref="A2:C131" xr:uid="{9A480208-647B-4B61-AB68-E7D83938C667}"/>
  <tableColumns count="3">
    <tableColumn id="1" xr3:uid="{4C35A290-0717-464C-B07C-894D8BF31B76}" name="Территория Республики Беларусь" dataDxfId="52"/>
    <tableColumn id="2" xr3:uid="{C0112D85-9DB7-4ABD-A8DC-206D3FF573AC}" name="2025" dataDxfId="51"/>
    <tableColumn id="3" xr3:uid="{61B494EC-FB73-4899-80AE-B4D55EBABB5D}" name="Выброс?" dataDxfId="50">
      <calculatedColumnFormula>IF(OR(B3 &gt; 3*$E$4, B3 &lt; $E$4/3), "ВЫБРОС", "ОК")</calculatedColumnFormula>
    </tableColumn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94B75D8-9C41-4595-9AF5-3FCB83600B8A}" name="Таблица3" displayName="Таблица3" ref="G2:M12" totalsRowCount="1" headerRowDxfId="49" headerRowBorderDxfId="48" tableBorderDxfId="47" totalsRowBorderDxfId="46">
  <autoFilter ref="G2:M11" xr:uid="{194B75D8-9C41-4595-9AF5-3FCB83600B8A}"/>
  <tableColumns count="7">
    <tableColumn id="1" xr3:uid="{5CCC7DBE-F507-4D67-B715-23285620D9FF}" name="Интервал" totalsRowLabel="Итог" dataDxfId="13" totalsRowDxfId="6"/>
    <tableColumn id="2" xr3:uid="{B4A76215-CB40-4CFC-BFAF-0601A8DF6717}" name="Ниж. Гран" totalsRowFunction="sum" dataDxfId="12" totalsRowDxfId="5">
      <calculatedColumnFormula>I2</calculatedColumnFormula>
    </tableColumn>
    <tableColumn id="3" xr3:uid="{D85AE63B-DA5F-467C-85F2-1375CB14B9C7}" name="Верх. Гран." totalsRowFunction="sum" dataDxfId="11" totalsRowDxfId="4">
      <calculatedColumnFormula>H3+$E$15</calculatedColumnFormula>
    </tableColumn>
    <tableColumn id="4" xr3:uid="{47CCDF84-8420-418F-B25F-749F3FBAA40F}" name="Середина" totalsRowFunction="sum" dataDxfId="10" totalsRowDxfId="3">
      <calculatedColumnFormula>ROUND((Таблица3[[#This Row],[Ниж. Гран]] + Таблица3[[#This Row],[Верх. Гран.]]) / 2, 2)</calculatedColumnFormula>
    </tableColumn>
    <tableColumn id="5" xr3:uid="{4611AAFE-0DB8-4806-BFB3-05BF45B55FF6}" name="Частота" totalsRowFunction="sum" dataDxfId="9" totalsRowDxfId="2">
      <calculatedColumnFormula>IF(Таблица3[[#This Row],[Интервал]] = MAX(Таблица3[Интервал]), COUNTIFS(Таблица2[2025], "&gt;=" &amp; Таблица3[[#This Row],[Ниж. Гран]], Таблица2[2025], "&lt;=" &amp; Таблица3[[#This Row],[Верх. Гран.]]), COUNTIFS(Таблица2[2025], "&gt;=" &amp; Таблица3[[#This Row],[Ниж. Гран]], Таблица2[2025], "&lt;" &amp; Таблица3[[#This Row],[Верх. Гран.]]))</calculatedColumnFormula>
    </tableColumn>
    <tableColumn id="6" xr3:uid="{69F73A06-E9B9-4452-AA54-E5C1589A6E32}" name="Отн. Частота" totalsRowFunction="sum" dataDxfId="8" totalsRowDxfId="1">
      <calculatedColumnFormula>Таблица3[[#This Row],[Частота]] / $E$2</calculatedColumnFormula>
    </tableColumn>
    <tableColumn id="7" xr3:uid="{3619F331-A12E-4B31-81F6-6A4EBBBD7123}" name="накопл" dataDxfId="7" totalsRowDxfId="0">
      <calculatedColumnFormula>Таблица3[[#This Row],[Частота]]</calculatedColumnFormula>
    </tableColumn>
  </tableColumns>
  <tableStyleInfo name="TableStyleLight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A89DA8F-8781-4C20-ADE5-38D66053C01E}" name="Таблица35" displayName="Таблица35" ref="G33:L42" totalsRowCount="1" headerRowDxfId="45" headerRowBorderDxfId="44" tableBorderDxfId="43" totalsRowBorderDxfId="42">
  <autoFilter ref="G33:L41" xr:uid="{CA89DA8F-8781-4C20-ADE5-38D66053C01E}"/>
  <tableColumns count="6">
    <tableColumn id="1" xr3:uid="{B27D56FF-67E3-43F8-AC06-54617F5F1D9E}" name="Интервал" totalsRowLabel="Итог" dataDxfId="41" totalsRowDxfId="40"/>
    <tableColumn id="2" xr3:uid="{05A7FB09-022D-4599-A1EE-D3C36E9EB2E7}" name="Ниж. Гран" totalsRowFunction="sum" dataDxfId="39" totalsRowDxfId="38">
      <calculatedColumnFormula>E44</calculatedColumnFormula>
    </tableColumn>
    <tableColumn id="3" xr3:uid="{3DB129BF-B36A-4242-B6FD-712544929C5E}" name="Верх. Гран." totalsRowFunction="sum" dataDxfId="37" totalsRowDxfId="36">
      <calculatedColumnFormula>H34+$E$35</calculatedColumnFormula>
    </tableColumn>
    <tableColumn id="4" xr3:uid="{E965DB93-7AC3-4620-932B-F2AD70D84A11}" name="Середина" totalsRowFunction="sum" dataDxfId="35" totalsRowDxfId="34">
      <calculatedColumnFormula>ROUND((Таблица35[[#This Row],[Ниж. Гран]] + Таблица35[[#This Row],[Верх. Гран.]]) / 2, 2)</calculatedColumnFormula>
    </tableColumn>
    <tableColumn id="5" xr3:uid="{2EE60807-3043-40F5-B7D8-B8263732EE6C}" name="Частота" totalsRowFunction="sum" dataDxfId="33" totalsRowDxfId="32">
      <calculatedColumnFormula>IF(Таблица35[[#This Row],[Интервал]] = MAX(Таблица35[Интервал]), COUNTIFS(Таблица2[2025], "&gt;=" &amp; Таблица35[[#This Row],[Ниж. Гран]], Таблица2[2025], "&lt;=" &amp; Таблица35[[#This Row],[Верх. Гран.]]), COUNTIFS(Таблица2[2025], "&gt;=" &amp; Таблица35[[#This Row],[Ниж. Гран]], Таблица2[2025], "&lt;" &amp; Таблица35[[#This Row],[Верх. Гран.]]))</calculatedColumnFormula>
    </tableColumn>
    <tableColumn id="6" xr3:uid="{E5A2C91D-BD50-480E-98F6-2281AF642099}" name="Отн. Частота" totalsRowFunction="sum" dataDxfId="31" totalsRowDxfId="30">
      <calculatedColumnFormula>Таблица35[[#This Row],[Частота]] / $E$2</calculatedColumnFormula>
    </tableColumn>
  </tableColumns>
  <tableStyleInfo name="TableStyleLight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16F8F58-F103-4D3F-9CB2-01D2C70AEB17}" name="Таблица356" displayName="Таблица356" ref="G62:L73" totalsRowCount="1" headerRowDxfId="29" headerRowBorderDxfId="28" tableBorderDxfId="27" totalsRowBorderDxfId="26">
  <autoFilter ref="G62:L72" xr:uid="{216F8F58-F103-4D3F-9CB2-01D2C70AEB17}"/>
  <tableColumns count="6">
    <tableColumn id="1" xr3:uid="{E3697A9A-CCD2-43F9-94EA-A9A6156B0353}" name="Интервал" totalsRowLabel="Итог" dataDxfId="25" totalsRowDxfId="24"/>
    <tableColumn id="2" xr3:uid="{37B4B085-83ED-4834-ADB2-6D7819DEC6AC}" name="Ниж. Гран" totalsRowFunction="sum" dataDxfId="23" totalsRowDxfId="22">
      <calculatedColumnFormula>E73</calculatedColumnFormula>
    </tableColumn>
    <tableColumn id="3" xr3:uid="{ED07160C-412E-441B-9D99-4FFC6ABFAECE}" name="Верх. Гран." totalsRowFunction="sum" dataDxfId="21" totalsRowDxfId="20">
      <calculatedColumnFormula>H63+$E$64</calculatedColumnFormula>
    </tableColumn>
    <tableColumn id="4" xr3:uid="{E83525A9-464B-4548-AE1E-9B3C785036DA}" name="Середина" totalsRowFunction="sum" dataDxfId="19" totalsRowDxfId="18">
      <calculatedColumnFormula>ROUND((Таблица356[[#This Row],[Ниж. Гран]] + Таблица356[[#This Row],[Верх. Гран.]]) / 2, 2)</calculatedColumnFormula>
    </tableColumn>
    <tableColumn id="5" xr3:uid="{D7BD66B8-8C9D-4E4E-B95D-3E9C96C2757B}" name="Частота" totalsRowFunction="sum" dataDxfId="17" totalsRowDxfId="16">
      <calculatedColumnFormula>IF(Таблица356[[#This Row],[Интервал]] = MAX(Таблица356[Интервал]), COUNTIFS(Таблица2[2025], "&gt;=" &amp; Таблица356[[#This Row],[Ниж. Гран]], Таблица2[2025], "&lt;=" &amp; Таблица356[[#This Row],[Верх. Гран.]]), COUNTIFS(Таблица2[2025], "&gt;=" &amp; Таблица356[[#This Row],[Ниж. Гран]], Таблица2[2025], "&lt;" &amp; Таблица356[[#This Row],[Верх. Гран.]]))</calculatedColumnFormula>
    </tableColumn>
    <tableColumn id="6" xr3:uid="{6F76A2A9-3C66-4002-AB76-90D47EE210E1}" name="Отн. Частота" totalsRowFunction="sum" dataDxfId="15" totalsRowDxfId="14">
      <calculatedColumnFormula>Таблица356[[#This Row],[Частота]] / $E$2</calculatedColumnFormula>
    </tableColumn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drawing" Target="../drawings/drawing2.xml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44"/>
  <sheetViews>
    <sheetView workbookViewId="0">
      <selection activeCell="D8" sqref="D8"/>
    </sheetView>
  </sheetViews>
  <sheetFormatPr defaultRowHeight="14.6" x14ac:dyDescent="0.4"/>
  <cols>
    <col min="1" max="2" width="30.921875" customWidth="1"/>
  </cols>
  <sheetData>
    <row r="1" spans="1:2" ht="43.5" customHeight="1" x14ac:dyDescent="0.4"/>
    <row r="4" spans="1:2" ht="17.600000000000001" x14ac:dyDescent="0.4">
      <c r="A4" s="1" t="s">
        <v>0</v>
      </c>
    </row>
    <row r="6" spans="1:2" x14ac:dyDescent="0.4">
      <c r="B6" s="3" t="s">
        <v>1</v>
      </c>
    </row>
    <row r="7" spans="1:2" x14ac:dyDescent="0.4">
      <c r="A7" s="2" t="s">
        <v>2</v>
      </c>
      <c r="B7" s="2" t="s">
        <v>3</v>
      </c>
    </row>
    <row r="8" spans="1:2" x14ac:dyDescent="0.4">
      <c r="A8" s="4" t="s">
        <v>4</v>
      </c>
      <c r="B8" s="4">
        <v>2679.7</v>
      </c>
    </row>
    <row r="9" spans="1:2" x14ac:dyDescent="0.4">
      <c r="A9" s="4" t="s">
        <v>5</v>
      </c>
      <c r="B9" s="4">
        <v>2360.4</v>
      </c>
    </row>
    <row r="10" spans="1:2" x14ac:dyDescent="0.4">
      <c r="A10" s="4" t="s">
        <v>6</v>
      </c>
      <c r="B10" s="4">
        <v>2270.1999999999998</v>
      </c>
    </row>
    <row r="11" spans="1:2" x14ac:dyDescent="0.4">
      <c r="A11" s="4" t="s">
        <v>7</v>
      </c>
      <c r="B11" s="4">
        <v>2427</v>
      </c>
    </row>
    <row r="12" spans="1:2" x14ac:dyDescent="0.4">
      <c r="A12" s="4" t="s">
        <v>8</v>
      </c>
      <c r="B12" s="4">
        <v>2502</v>
      </c>
    </row>
    <row r="13" spans="1:2" x14ac:dyDescent="0.4">
      <c r="A13" s="4" t="s">
        <v>9</v>
      </c>
      <c r="B13" s="4">
        <v>1971.8</v>
      </c>
    </row>
    <row r="14" spans="1:2" x14ac:dyDescent="0.4">
      <c r="A14" s="4" t="s">
        <v>10</v>
      </c>
      <c r="B14" s="4">
        <v>2132.1</v>
      </c>
    </row>
    <row r="15" spans="1:2" x14ac:dyDescent="0.4">
      <c r="A15" s="4" t="s">
        <v>11</v>
      </c>
      <c r="B15" s="4">
        <v>2443</v>
      </c>
    </row>
    <row r="16" spans="1:2" x14ac:dyDescent="0.4">
      <c r="A16" s="4" t="s">
        <v>12</v>
      </c>
      <c r="B16" s="4">
        <v>2260</v>
      </c>
    </row>
    <row r="17" spans="1:2" x14ac:dyDescent="0.4">
      <c r="A17" s="4" t="s">
        <v>13</v>
      </c>
      <c r="B17" s="4">
        <v>2114.6</v>
      </c>
    </row>
    <row r="18" spans="1:2" x14ac:dyDescent="0.4">
      <c r="A18" s="4" t="s">
        <v>14</v>
      </c>
      <c r="B18" s="4">
        <v>2399.3000000000002</v>
      </c>
    </row>
    <row r="19" spans="1:2" x14ac:dyDescent="0.4">
      <c r="A19" s="4" t="s">
        <v>15</v>
      </c>
      <c r="B19" s="4">
        <v>2285.6999999999998</v>
      </c>
    </row>
    <row r="20" spans="1:2" x14ac:dyDescent="0.4">
      <c r="A20" s="4" t="s">
        <v>16</v>
      </c>
      <c r="B20" s="4">
        <v>2211.1999999999998</v>
      </c>
    </row>
    <row r="21" spans="1:2" x14ac:dyDescent="0.4">
      <c r="A21" s="4" t="s">
        <v>17</v>
      </c>
      <c r="B21" s="4">
        <v>2128.6999999999998</v>
      </c>
    </row>
    <row r="22" spans="1:2" x14ac:dyDescent="0.4">
      <c r="A22" s="4" t="s">
        <v>18</v>
      </c>
      <c r="B22" s="4">
        <v>2137.5</v>
      </c>
    </row>
    <row r="23" spans="1:2" x14ac:dyDescent="0.4">
      <c r="A23" s="4" t="s">
        <v>19</v>
      </c>
      <c r="B23" s="4">
        <v>2217.6</v>
      </c>
    </row>
    <row r="24" spans="1:2" x14ac:dyDescent="0.4">
      <c r="A24" s="4" t="s">
        <v>20</v>
      </c>
      <c r="B24" s="4">
        <v>2293.5</v>
      </c>
    </row>
    <row r="25" spans="1:2" x14ac:dyDescent="0.4">
      <c r="A25" s="4" t="s">
        <v>21</v>
      </c>
      <c r="B25" s="4">
        <v>2002.9</v>
      </c>
    </row>
    <row r="26" spans="1:2" x14ac:dyDescent="0.4">
      <c r="A26" s="4" t="s">
        <v>22</v>
      </c>
      <c r="B26" s="4">
        <v>2710.5</v>
      </c>
    </row>
    <row r="27" spans="1:2" x14ac:dyDescent="0.4">
      <c r="A27" s="4" t="s">
        <v>23</v>
      </c>
      <c r="B27" s="4">
        <v>2234.5</v>
      </c>
    </row>
    <row r="28" spans="1:2" x14ac:dyDescent="0.4">
      <c r="A28" s="4" t="s">
        <v>24</v>
      </c>
      <c r="B28" s="4">
        <v>2222</v>
      </c>
    </row>
    <row r="29" spans="1:2" x14ac:dyDescent="0.4">
      <c r="A29" s="4" t="s">
        <v>25</v>
      </c>
      <c r="B29" s="4">
        <v>2239</v>
      </c>
    </row>
    <row r="30" spans="1:2" x14ac:dyDescent="0.4">
      <c r="A30" s="4" t="s">
        <v>26</v>
      </c>
      <c r="B30" s="4">
        <v>1979.1</v>
      </c>
    </row>
    <row r="31" spans="1:2" x14ac:dyDescent="0.4">
      <c r="A31" s="4" t="s">
        <v>27</v>
      </c>
      <c r="B31" s="4">
        <v>1898.7</v>
      </c>
    </row>
    <row r="32" spans="1:2" x14ac:dyDescent="0.4">
      <c r="A32" s="4" t="s">
        <v>28</v>
      </c>
      <c r="B32" s="4">
        <v>2215.6</v>
      </c>
    </row>
    <row r="33" spans="1:2" x14ac:dyDescent="0.4">
      <c r="A33" s="4" t="s">
        <v>29</v>
      </c>
      <c r="B33" s="4">
        <v>2234.3000000000002</v>
      </c>
    </row>
    <row r="34" spans="1:2" x14ac:dyDescent="0.4">
      <c r="A34" s="4" t="s">
        <v>30</v>
      </c>
      <c r="B34" s="4">
        <v>2101.1</v>
      </c>
    </row>
    <row r="35" spans="1:2" x14ac:dyDescent="0.4">
      <c r="A35" s="4" t="s">
        <v>31</v>
      </c>
      <c r="B35" s="4">
        <v>1930.8</v>
      </c>
    </row>
    <row r="36" spans="1:2" x14ac:dyDescent="0.4">
      <c r="A36" s="4" t="s">
        <v>32</v>
      </c>
      <c r="B36" s="4">
        <v>2060.6999999999998</v>
      </c>
    </row>
    <row r="37" spans="1:2" x14ac:dyDescent="0.4">
      <c r="A37" s="4" t="s">
        <v>33</v>
      </c>
      <c r="B37" s="4">
        <v>2122</v>
      </c>
    </row>
    <row r="38" spans="1:2" x14ac:dyDescent="0.4">
      <c r="A38" s="4" t="s">
        <v>34</v>
      </c>
      <c r="B38" s="4">
        <v>2151.4</v>
      </c>
    </row>
    <row r="39" spans="1:2" x14ac:dyDescent="0.4">
      <c r="A39" s="4" t="s">
        <v>35</v>
      </c>
      <c r="B39" s="4">
        <v>1987.8</v>
      </c>
    </row>
    <row r="40" spans="1:2" x14ac:dyDescent="0.4">
      <c r="A40" s="4" t="s">
        <v>36</v>
      </c>
      <c r="B40" s="4">
        <v>1869.8</v>
      </c>
    </row>
    <row r="41" spans="1:2" x14ac:dyDescent="0.4">
      <c r="A41" s="4" t="s">
        <v>37</v>
      </c>
      <c r="B41" s="4">
        <v>2209.3000000000002</v>
      </c>
    </row>
    <row r="42" spans="1:2" x14ac:dyDescent="0.4">
      <c r="A42" s="4" t="s">
        <v>38</v>
      </c>
      <c r="B42" s="4">
        <v>2228.3000000000002</v>
      </c>
    </row>
    <row r="43" spans="1:2" x14ac:dyDescent="0.4">
      <c r="A43" s="4" t="s">
        <v>39</v>
      </c>
      <c r="B43" s="4">
        <v>2075.8000000000002</v>
      </c>
    </row>
    <row r="44" spans="1:2" x14ac:dyDescent="0.4">
      <c r="A44" s="4" t="s">
        <v>40</v>
      </c>
      <c r="B44" s="4">
        <v>1830</v>
      </c>
    </row>
    <row r="45" spans="1:2" x14ac:dyDescent="0.4">
      <c r="A45" s="4" t="s">
        <v>41</v>
      </c>
      <c r="B45" s="4">
        <v>2002.5</v>
      </c>
    </row>
    <row r="46" spans="1:2" x14ac:dyDescent="0.4">
      <c r="A46" s="4" t="s">
        <v>42</v>
      </c>
      <c r="B46" s="4">
        <v>2038.7</v>
      </c>
    </row>
    <row r="47" spans="1:2" x14ac:dyDescent="0.4">
      <c r="A47" s="4" t="s">
        <v>43</v>
      </c>
      <c r="B47" s="4">
        <v>1852.9</v>
      </c>
    </row>
    <row r="48" spans="1:2" x14ac:dyDescent="0.4">
      <c r="A48" s="4" t="s">
        <v>44</v>
      </c>
      <c r="B48" s="4">
        <v>2288.1999999999998</v>
      </c>
    </row>
    <row r="49" spans="1:2" x14ac:dyDescent="0.4">
      <c r="A49" s="4" t="s">
        <v>45</v>
      </c>
      <c r="B49" s="4">
        <v>1751.3</v>
      </c>
    </row>
    <row r="50" spans="1:2" x14ac:dyDescent="0.4">
      <c r="A50" s="4" t="s">
        <v>46</v>
      </c>
      <c r="B50" s="4">
        <v>1927</v>
      </c>
    </row>
    <row r="51" spans="1:2" x14ac:dyDescent="0.4">
      <c r="A51" s="4" t="s">
        <v>47</v>
      </c>
      <c r="B51" s="4">
        <v>2403.3000000000002</v>
      </c>
    </row>
    <row r="52" spans="1:2" x14ac:dyDescent="0.4">
      <c r="A52" s="4" t="s">
        <v>48</v>
      </c>
      <c r="B52" s="4">
        <v>2550.1</v>
      </c>
    </row>
    <row r="53" spans="1:2" x14ac:dyDescent="0.4">
      <c r="A53" s="4" t="s">
        <v>49</v>
      </c>
      <c r="B53" s="4">
        <v>2357.5</v>
      </c>
    </row>
    <row r="54" spans="1:2" x14ac:dyDescent="0.4">
      <c r="A54" s="4" t="s">
        <v>50</v>
      </c>
      <c r="B54" s="4">
        <v>1896.1</v>
      </c>
    </row>
    <row r="55" spans="1:2" x14ac:dyDescent="0.4">
      <c r="A55" s="4" t="s">
        <v>51</v>
      </c>
      <c r="B55" s="4">
        <v>2066.6999999999998</v>
      </c>
    </row>
    <row r="56" spans="1:2" x14ac:dyDescent="0.4">
      <c r="A56" s="4" t="s">
        <v>52</v>
      </c>
      <c r="B56" s="4">
        <v>1961.6</v>
      </c>
    </row>
    <row r="57" spans="1:2" x14ac:dyDescent="0.4">
      <c r="A57" s="4" t="s">
        <v>53</v>
      </c>
      <c r="B57" s="4">
        <v>2116.6</v>
      </c>
    </row>
    <row r="58" spans="1:2" x14ac:dyDescent="0.4">
      <c r="A58" s="4" t="s">
        <v>54</v>
      </c>
      <c r="B58" s="4">
        <v>2008.5</v>
      </c>
    </row>
    <row r="59" spans="1:2" x14ac:dyDescent="0.4">
      <c r="A59" s="4" t="s">
        <v>55</v>
      </c>
      <c r="B59" s="4">
        <v>2005.2</v>
      </c>
    </row>
    <row r="60" spans="1:2" x14ac:dyDescent="0.4">
      <c r="A60" s="4" t="s">
        <v>56</v>
      </c>
      <c r="B60" s="4">
        <v>2115</v>
      </c>
    </row>
    <row r="61" spans="1:2" x14ac:dyDescent="0.4">
      <c r="A61" s="4" t="s">
        <v>57</v>
      </c>
      <c r="B61" s="4">
        <v>2302.5</v>
      </c>
    </row>
    <row r="62" spans="1:2" x14ac:dyDescent="0.4">
      <c r="A62" s="4" t="s">
        <v>58</v>
      </c>
      <c r="B62" s="4">
        <v>2147.4</v>
      </c>
    </row>
    <row r="63" spans="1:2" x14ac:dyDescent="0.4">
      <c r="A63" s="4" t="s">
        <v>59</v>
      </c>
      <c r="B63" s="4">
        <v>1842.6</v>
      </c>
    </row>
    <row r="64" spans="1:2" x14ac:dyDescent="0.4">
      <c r="A64" s="4" t="s">
        <v>60</v>
      </c>
      <c r="B64" s="4">
        <v>1905.6</v>
      </c>
    </row>
    <row r="65" spans="1:2" x14ac:dyDescent="0.4">
      <c r="A65" s="4" t="s">
        <v>61</v>
      </c>
      <c r="B65" s="4">
        <v>1948.2</v>
      </c>
    </row>
    <row r="66" spans="1:2" x14ac:dyDescent="0.4">
      <c r="A66" s="4" t="s">
        <v>62</v>
      </c>
      <c r="B66" s="4">
        <v>2568.1999999999998</v>
      </c>
    </row>
    <row r="67" spans="1:2" x14ac:dyDescent="0.4">
      <c r="A67" s="4" t="s">
        <v>63</v>
      </c>
      <c r="B67" s="4">
        <v>1982.9</v>
      </c>
    </row>
    <row r="68" spans="1:2" x14ac:dyDescent="0.4">
      <c r="A68" s="4" t="s">
        <v>64</v>
      </c>
      <c r="B68" s="4">
        <v>1875.4</v>
      </c>
    </row>
    <row r="69" spans="1:2" x14ac:dyDescent="0.4">
      <c r="A69" s="4" t="s">
        <v>65</v>
      </c>
      <c r="B69" s="4">
        <v>2236.6999999999998</v>
      </c>
    </row>
    <row r="70" spans="1:2" x14ac:dyDescent="0.4">
      <c r="A70" s="4" t="s">
        <v>66</v>
      </c>
      <c r="B70" s="4">
        <v>2877.8</v>
      </c>
    </row>
    <row r="71" spans="1:2" x14ac:dyDescent="0.4">
      <c r="A71" s="4" t="s">
        <v>67</v>
      </c>
      <c r="B71" s="4">
        <v>2080.1</v>
      </c>
    </row>
    <row r="72" spans="1:2" x14ac:dyDescent="0.4">
      <c r="A72" s="4" t="s">
        <v>68</v>
      </c>
      <c r="B72" s="4">
        <v>2685.3</v>
      </c>
    </row>
    <row r="73" spans="1:2" x14ac:dyDescent="0.4">
      <c r="A73" s="4" t="s">
        <v>69</v>
      </c>
      <c r="B73" s="4">
        <v>1927.9</v>
      </c>
    </row>
    <row r="74" spans="1:2" x14ac:dyDescent="0.4">
      <c r="A74" s="4" t="s">
        <v>70</v>
      </c>
      <c r="B74" s="4">
        <v>2039</v>
      </c>
    </row>
    <row r="75" spans="1:2" x14ac:dyDescent="0.4">
      <c r="A75" s="4" t="s">
        <v>71</v>
      </c>
      <c r="B75" s="4">
        <v>2454.4</v>
      </c>
    </row>
    <row r="76" spans="1:2" x14ac:dyDescent="0.4">
      <c r="A76" s="4" t="s">
        <v>72</v>
      </c>
      <c r="B76" s="4">
        <v>2359.6999999999998</v>
      </c>
    </row>
    <row r="77" spans="1:2" x14ac:dyDescent="0.4">
      <c r="A77" s="4" t="s">
        <v>73</v>
      </c>
      <c r="B77" s="4">
        <v>2376.9</v>
      </c>
    </row>
    <row r="78" spans="1:2" x14ac:dyDescent="0.4">
      <c r="A78" s="4" t="s">
        <v>74</v>
      </c>
      <c r="B78" s="4">
        <v>2311.5</v>
      </c>
    </row>
    <row r="79" spans="1:2" x14ac:dyDescent="0.4">
      <c r="A79" s="4" t="s">
        <v>75</v>
      </c>
      <c r="B79" s="4">
        <v>2020.3</v>
      </c>
    </row>
    <row r="80" spans="1:2" x14ac:dyDescent="0.4">
      <c r="A80" s="4" t="s">
        <v>76</v>
      </c>
      <c r="B80" s="4">
        <v>2501.5</v>
      </c>
    </row>
    <row r="81" spans="1:2" x14ac:dyDescent="0.4">
      <c r="A81" s="4" t="s">
        <v>77</v>
      </c>
      <c r="B81" s="4">
        <v>2152.6</v>
      </c>
    </row>
    <row r="82" spans="1:2" x14ac:dyDescent="0.4">
      <c r="A82" s="4" t="s">
        <v>78</v>
      </c>
      <c r="B82" s="4">
        <v>2110.1999999999998</v>
      </c>
    </row>
    <row r="83" spans="1:2" x14ac:dyDescent="0.4">
      <c r="A83" s="4" t="s">
        <v>79</v>
      </c>
      <c r="B83" s="4">
        <v>1940.9</v>
      </c>
    </row>
    <row r="84" spans="1:2" x14ac:dyDescent="0.4">
      <c r="A84" s="4" t="s">
        <v>80</v>
      </c>
      <c r="B84" s="4">
        <v>2097.6</v>
      </c>
    </row>
    <row r="85" spans="1:2" x14ac:dyDescent="0.4">
      <c r="A85" s="4" t="s">
        <v>81</v>
      </c>
      <c r="B85" s="4">
        <v>2267.4</v>
      </c>
    </row>
    <row r="86" spans="1:2" x14ac:dyDescent="0.4">
      <c r="A86" s="4" t="s">
        <v>82</v>
      </c>
      <c r="B86" s="4">
        <v>2034.8</v>
      </c>
    </row>
    <row r="87" spans="1:2" x14ac:dyDescent="0.4">
      <c r="A87" s="4" t="s">
        <v>83</v>
      </c>
      <c r="B87" s="4">
        <v>2131.4</v>
      </c>
    </row>
    <row r="88" spans="1:2" x14ac:dyDescent="0.4">
      <c r="A88" s="4" t="s">
        <v>84</v>
      </c>
      <c r="B88" s="4">
        <v>3198.4</v>
      </c>
    </row>
    <row r="89" spans="1:2" x14ac:dyDescent="0.4">
      <c r="A89" s="4" t="s">
        <v>85</v>
      </c>
      <c r="B89" s="4">
        <v>2105.9</v>
      </c>
    </row>
    <row r="90" spans="1:2" x14ac:dyDescent="0.4">
      <c r="A90" s="4" t="s">
        <v>86</v>
      </c>
      <c r="B90" s="4">
        <v>2125.1999999999998</v>
      </c>
    </row>
    <row r="91" spans="1:2" x14ac:dyDescent="0.4">
      <c r="A91" s="4" t="s">
        <v>87</v>
      </c>
      <c r="B91" s="4">
        <v>2182.8000000000002</v>
      </c>
    </row>
    <row r="92" spans="1:2" x14ac:dyDescent="0.4">
      <c r="A92" s="4" t="s">
        <v>88</v>
      </c>
      <c r="B92" s="4">
        <v>2405.6</v>
      </c>
    </row>
    <row r="93" spans="1:2" x14ac:dyDescent="0.4">
      <c r="A93" s="4" t="s">
        <v>89</v>
      </c>
      <c r="B93" s="4">
        <v>2272.4</v>
      </c>
    </row>
    <row r="94" spans="1:2" x14ac:dyDescent="0.4">
      <c r="A94" s="4" t="s">
        <v>90</v>
      </c>
      <c r="B94" s="4">
        <v>2572.3000000000002</v>
      </c>
    </row>
    <row r="95" spans="1:2" x14ac:dyDescent="0.4">
      <c r="A95" s="4" t="s">
        <v>91</v>
      </c>
      <c r="B95" s="4">
        <v>3460.8</v>
      </c>
    </row>
    <row r="96" spans="1:2" x14ac:dyDescent="0.4">
      <c r="A96" s="4" t="s">
        <v>92</v>
      </c>
      <c r="B96" s="4">
        <v>2721</v>
      </c>
    </row>
    <row r="97" spans="1:2" x14ac:dyDescent="0.4">
      <c r="A97" s="4" t="s">
        <v>93</v>
      </c>
      <c r="B97" s="4">
        <v>2127.3000000000002</v>
      </c>
    </row>
    <row r="98" spans="1:2" x14ac:dyDescent="0.4">
      <c r="A98" s="4" t="s">
        <v>94</v>
      </c>
      <c r="B98" s="4">
        <v>2409.6999999999998</v>
      </c>
    </row>
    <row r="99" spans="1:2" x14ac:dyDescent="0.4">
      <c r="A99" s="4" t="s">
        <v>95</v>
      </c>
      <c r="B99" s="4">
        <v>2149.9</v>
      </c>
    </row>
    <row r="100" spans="1:2" x14ac:dyDescent="0.4">
      <c r="A100" s="4" t="s">
        <v>96</v>
      </c>
      <c r="B100" s="4">
        <v>2254.1</v>
      </c>
    </row>
    <row r="101" spans="1:2" x14ac:dyDescent="0.4">
      <c r="A101" s="4" t="s">
        <v>97</v>
      </c>
      <c r="B101" s="4">
        <v>2941.2</v>
      </c>
    </row>
    <row r="102" spans="1:2" x14ac:dyDescent="0.4">
      <c r="A102" s="4" t="s">
        <v>98</v>
      </c>
      <c r="B102" s="4">
        <v>2198.6999999999998</v>
      </c>
    </row>
    <row r="103" spans="1:2" x14ac:dyDescent="0.4">
      <c r="A103" s="4" t="s">
        <v>99</v>
      </c>
      <c r="B103" s="4">
        <v>2308.1</v>
      </c>
    </row>
    <row r="104" spans="1:2" x14ac:dyDescent="0.4">
      <c r="A104" s="4" t="s">
        <v>100</v>
      </c>
      <c r="B104" s="4">
        <v>2240.4</v>
      </c>
    </row>
    <row r="105" spans="1:2" x14ac:dyDescent="0.4">
      <c r="A105" s="4" t="s">
        <v>101</v>
      </c>
      <c r="B105" s="4">
        <v>2579.6999999999998</v>
      </c>
    </row>
    <row r="106" spans="1:2" x14ac:dyDescent="0.4">
      <c r="A106" s="4" t="s">
        <v>102</v>
      </c>
      <c r="B106" s="4">
        <v>2459</v>
      </c>
    </row>
    <row r="107" spans="1:2" x14ac:dyDescent="0.4">
      <c r="A107" s="4" t="s">
        <v>103</v>
      </c>
      <c r="B107" s="4">
        <v>3309.5</v>
      </c>
    </row>
    <row r="108" spans="1:2" x14ac:dyDescent="0.4">
      <c r="A108" s="4" t="s">
        <v>104</v>
      </c>
      <c r="B108" s="4">
        <v>2303.8000000000002</v>
      </c>
    </row>
    <row r="109" spans="1:2" x14ac:dyDescent="0.4">
      <c r="A109" s="4" t="s">
        <v>105</v>
      </c>
      <c r="B109" s="4">
        <v>2215</v>
      </c>
    </row>
    <row r="110" spans="1:2" x14ac:dyDescent="0.4">
      <c r="A110" s="4" t="s">
        <v>106</v>
      </c>
      <c r="B110" s="4">
        <v>2606.1</v>
      </c>
    </row>
    <row r="111" spans="1:2" x14ac:dyDescent="0.4">
      <c r="A111" s="4" t="s">
        <v>107</v>
      </c>
      <c r="B111" s="4">
        <v>2567.3000000000002</v>
      </c>
    </row>
    <row r="112" spans="1:2" x14ac:dyDescent="0.4">
      <c r="A112" s="4" t="s">
        <v>108</v>
      </c>
      <c r="B112" s="4">
        <v>2401.6999999999998</v>
      </c>
    </row>
    <row r="113" spans="1:2" x14ac:dyDescent="0.4">
      <c r="A113" s="4" t="s">
        <v>109</v>
      </c>
      <c r="B113" s="4">
        <v>3083.5</v>
      </c>
    </row>
    <row r="114" spans="1:2" x14ac:dyDescent="0.4">
      <c r="A114" s="4" t="s">
        <v>110</v>
      </c>
      <c r="B114" s="4">
        <v>3220.8</v>
      </c>
    </row>
    <row r="115" spans="1:2" x14ac:dyDescent="0.4">
      <c r="A115" s="4" t="s">
        <v>111</v>
      </c>
      <c r="B115" s="4">
        <v>2257.6</v>
      </c>
    </row>
    <row r="116" spans="1:2" x14ac:dyDescent="0.4">
      <c r="A116" s="4" t="s">
        <v>112</v>
      </c>
      <c r="B116" s="4">
        <v>2361.6</v>
      </c>
    </row>
    <row r="117" spans="1:2" x14ac:dyDescent="0.4">
      <c r="A117" s="4" t="s">
        <v>113</v>
      </c>
      <c r="B117" s="4">
        <v>2384.6999999999998</v>
      </c>
    </row>
    <row r="118" spans="1:2" x14ac:dyDescent="0.4">
      <c r="A118" s="4" t="s">
        <v>114</v>
      </c>
      <c r="B118" s="4">
        <v>2283</v>
      </c>
    </row>
    <row r="119" spans="1:2" ht="25.75" x14ac:dyDescent="0.4">
      <c r="A119" s="4" t="s">
        <v>115</v>
      </c>
      <c r="B119" s="4">
        <v>2921.7</v>
      </c>
    </row>
    <row r="120" spans="1:2" x14ac:dyDescent="0.4">
      <c r="A120" s="4" t="s">
        <v>116</v>
      </c>
      <c r="B120" s="4">
        <v>2719.4</v>
      </c>
    </row>
    <row r="121" spans="1:2" x14ac:dyDescent="0.4">
      <c r="A121" s="4" t="s">
        <v>117</v>
      </c>
      <c r="B121" s="4">
        <v>2243.5</v>
      </c>
    </row>
    <row r="122" spans="1:2" x14ac:dyDescent="0.4">
      <c r="A122" s="4" t="s">
        <v>118</v>
      </c>
      <c r="B122" s="4">
        <v>2173.5</v>
      </c>
    </row>
    <row r="123" spans="1:2" x14ac:dyDescent="0.4">
      <c r="A123" s="4" t="s">
        <v>119</v>
      </c>
      <c r="B123" s="4">
        <v>1998.5</v>
      </c>
    </row>
    <row r="124" spans="1:2" x14ac:dyDescent="0.4">
      <c r="A124" s="4" t="s">
        <v>120</v>
      </c>
      <c r="B124" s="4">
        <v>2066</v>
      </c>
    </row>
    <row r="125" spans="1:2" x14ac:dyDescent="0.4">
      <c r="A125" s="4" t="s">
        <v>121</v>
      </c>
      <c r="B125" s="4">
        <v>1952.4</v>
      </c>
    </row>
    <row r="126" spans="1:2" x14ac:dyDescent="0.4">
      <c r="A126" s="4" t="s">
        <v>122</v>
      </c>
      <c r="B126" s="4">
        <v>2102.5</v>
      </c>
    </row>
    <row r="127" spans="1:2" x14ac:dyDescent="0.4">
      <c r="A127" s="4" t="s">
        <v>123</v>
      </c>
      <c r="B127" s="4">
        <v>1891.5</v>
      </c>
    </row>
    <row r="128" spans="1:2" x14ac:dyDescent="0.4">
      <c r="A128" s="4" t="s">
        <v>124</v>
      </c>
      <c r="B128" s="4">
        <v>2018.8</v>
      </c>
    </row>
    <row r="129" spans="1:2" x14ac:dyDescent="0.4">
      <c r="A129" s="4" t="s">
        <v>125</v>
      </c>
      <c r="B129" s="4">
        <v>1953.3</v>
      </c>
    </row>
    <row r="130" spans="1:2" x14ac:dyDescent="0.4">
      <c r="A130" s="4" t="s">
        <v>126</v>
      </c>
      <c r="B130" s="4">
        <v>2060</v>
      </c>
    </row>
    <row r="131" spans="1:2" x14ac:dyDescent="0.4">
      <c r="A131" s="4" t="s">
        <v>127</v>
      </c>
      <c r="B131" s="4">
        <v>2187.1999999999998</v>
      </c>
    </row>
    <row r="132" spans="1:2" x14ac:dyDescent="0.4">
      <c r="A132" s="4" t="s">
        <v>128</v>
      </c>
      <c r="B132" s="4">
        <v>1844.8</v>
      </c>
    </row>
    <row r="133" spans="1:2" x14ac:dyDescent="0.4">
      <c r="A133" s="4" t="s">
        <v>129</v>
      </c>
      <c r="B133" s="4">
        <v>2123.1999999999998</v>
      </c>
    </row>
    <row r="134" spans="1:2" x14ac:dyDescent="0.4">
      <c r="A134" s="4" t="s">
        <v>130</v>
      </c>
      <c r="B134" s="4">
        <v>1940.3</v>
      </c>
    </row>
    <row r="135" spans="1:2" x14ac:dyDescent="0.4">
      <c r="A135" s="4" t="s">
        <v>131</v>
      </c>
      <c r="B135" s="4">
        <v>2533.8000000000002</v>
      </c>
    </row>
    <row r="136" spans="1:2" x14ac:dyDescent="0.4">
      <c r="A136" s="4" t="s">
        <v>132</v>
      </c>
      <c r="B136" s="4">
        <v>1913.1</v>
      </c>
    </row>
    <row r="137" spans="1:2" x14ac:dyDescent="0.4">
      <c r="A137" s="4" t="s">
        <v>133</v>
      </c>
      <c r="B137" s="4">
        <v>2296.1999999999998</v>
      </c>
    </row>
    <row r="138" spans="1:2" x14ac:dyDescent="0.4">
      <c r="A138" s="4" t="s">
        <v>134</v>
      </c>
      <c r="B138" s="4">
        <v>1862.2</v>
      </c>
    </row>
    <row r="139" spans="1:2" x14ac:dyDescent="0.4">
      <c r="A139" s="4" t="s">
        <v>135</v>
      </c>
      <c r="B139" s="4">
        <v>1895.3</v>
      </c>
    </row>
    <row r="140" spans="1:2" x14ac:dyDescent="0.4">
      <c r="A140" s="4" t="s">
        <v>136</v>
      </c>
      <c r="B140" s="4">
        <v>1924.3</v>
      </c>
    </row>
    <row r="141" spans="1:2" x14ac:dyDescent="0.4">
      <c r="A141" s="4" t="s">
        <v>137</v>
      </c>
      <c r="B141" s="4">
        <v>1924.4</v>
      </c>
    </row>
    <row r="142" spans="1:2" x14ac:dyDescent="0.4">
      <c r="A142" s="4" t="s">
        <v>138</v>
      </c>
      <c r="B142" s="4">
        <v>2401</v>
      </c>
    </row>
    <row r="143" spans="1:2" x14ac:dyDescent="0.4">
      <c r="A143" s="4" t="s">
        <v>139</v>
      </c>
      <c r="B143" s="4">
        <v>2454.9</v>
      </c>
    </row>
    <row r="144" spans="1:2" x14ac:dyDescent="0.4">
      <c r="A144" s="4" t="s">
        <v>140</v>
      </c>
      <c r="B144" s="4">
        <v>2149.6999999999998</v>
      </c>
    </row>
  </sheetData>
  <pageMargins left="0.25" right="0.25" top="0.75" bottom="0.75" header="0.3" footer="0.3"/>
  <pageSetup paperSize="9" orientation="landscape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131"/>
  <sheetViews>
    <sheetView tabSelected="1" topLeftCell="D4" zoomScale="94" workbookViewId="0">
      <selection activeCell="U10" sqref="U10"/>
    </sheetView>
  </sheetViews>
  <sheetFormatPr defaultRowHeight="14.6" x14ac:dyDescent="0.4"/>
  <cols>
    <col min="1" max="1" width="31.53515625" customWidth="1"/>
    <col min="2" max="2" width="14.4609375" style="14" customWidth="1"/>
    <col min="3" max="3" width="13" style="14" customWidth="1"/>
    <col min="4" max="4" width="25" customWidth="1"/>
    <col min="5" max="5" width="24.07421875" customWidth="1"/>
    <col min="7" max="7" width="10.765625" customWidth="1"/>
    <col min="8" max="8" width="13.07421875" customWidth="1"/>
    <col min="9" max="9" width="12.15234375" customWidth="1"/>
    <col min="10" max="10" width="11.23046875" customWidth="1"/>
    <col min="11" max="11" width="11.84375" customWidth="1"/>
    <col min="12" max="12" width="13.765625" customWidth="1"/>
  </cols>
  <sheetData>
    <row r="1" spans="1:13" x14ac:dyDescent="0.4">
      <c r="A1" t="s">
        <v>143</v>
      </c>
      <c r="G1" t="s">
        <v>159</v>
      </c>
    </row>
    <row r="2" spans="1:13" x14ac:dyDescent="0.4">
      <c r="A2" s="9" t="s">
        <v>2</v>
      </c>
      <c r="B2" s="17" t="s">
        <v>3</v>
      </c>
      <c r="C2" s="15" t="s">
        <v>153</v>
      </c>
      <c r="D2" s="5" t="s">
        <v>144</v>
      </c>
      <c r="E2" s="5">
        <f>COUNT(Таблица2[2025])</f>
        <v>129</v>
      </c>
      <c r="G2" s="9" t="s">
        <v>160</v>
      </c>
      <c r="H2" s="13" t="s">
        <v>161</v>
      </c>
      <c r="I2" s="13" t="s">
        <v>162</v>
      </c>
      <c r="J2" s="13" t="s">
        <v>163</v>
      </c>
      <c r="K2" s="10" t="s">
        <v>164</v>
      </c>
      <c r="L2" s="13" t="s">
        <v>165</v>
      </c>
      <c r="M2" s="13" t="s">
        <v>167</v>
      </c>
    </row>
    <row r="3" spans="1:13" x14ac:dyDescent="0.4">
      <c r="A3" s="7" t="s">
        <v>91</v>
      </c>
      <c r="B3" s="16">
        <v>3460.8</v>
      </c>
      <c r="C3" s="16" t="str">
        <f t="shared" ref="C3:C34" si="0">IF(OR(B3 &gt; 3*$E$4, B3 &lt; $E$4/3), "ВЫБРОС", "ОК")</f>
        <v>ОК</v>
      </c>
      <c r="D3" s="7" t="s">
        <v>145</v>
      </c>
      <c r="E3" s="5">
        <f>AVERAGE(Таблица2[2025])</f>
        <v>2225.0697674418602</v>
      </c>
      <c r="G3" s="7">
        <v>1</v>
      </c>
      <c r="H3" s="5">
        <f>$E$13</f>
        <v>1751.3</v>
      </c>
      <c r="I3" s="5">
        <f>H3+$E$15</f>
        <v>1941.2444444444445</v>
      </c>
      <c r="J3" s="5">
        <f>ROUND((Таблица3[[#This Row],[Ниж. Гран]] + Таблица3[[#This Row],[Верх. Гран.]]) / 2, 2)</f>
        <v>1846.27</v>
      </c>
      <c r="K3" s="8">
        <f>IF(Таблица3[[#This Row],[Интервал]] = MAX(Таблица3[Интервал]), COUNTIFS(Таблица2[2025], "&gt;=" &amp; Таблица3[[#This Row],[Ниж. Гран]], Таблица2[2025], "&lt;=" &amp; Таблица3[[#This Row],[Верх. Гран.]]), COUNTIFS(Таблица2[2025], "&gt;=" &amp; Таблица3[[#This Row],[Ниж. Гран]], Таблица2[2025], "&lt;" &amp; Таблица3[[#This Row],[Верх. Гран.]]))</f>
        <v>21</v>
      </c>
      <c r="L3" s="13">
        <f>Таблица3[[#This Row],[Частота]] / $E$2</f>
        <v>0.16279069767441862</v>
      </c>
      <c r="M3">
        <f>Таблица3[[#This Row],[Частота]]</f>
        <v>21</v>
      </c>
    </row>
    <row r="4" spans="1:13" x14ac:dyDescent="0.4">
      <c r="A4" s="7" t="s">
        <v>103</v>
      </c>
      <c r="B4" s="16">
        <v>3309.5</v>
      </c>
      <c r="C4" s="16" t="str">
        <f t="shared" si="0"/>
        <v>ОК</v>
      </c>
      <c r="D4" s="7" t="s">
        <v>146</v>
      </c>
      <c r="E4" s="5">
        <f>MEDIAN(Таблица2[2025])</f>
        <v>2151.4</v>
      </c>
      <c r="G4" s="7">
        <v>2</v>
      </c>
      <c r="H4" s="5">
        <f>I3</f>
        <v>1941.2444444444445</v>
      </c>
      <c r="I4" s="5">
        <f>H4+$E$15</f>
        <v>2131.1888888888889</v>
      </c>
      <c r="J4" s="5">
        <f>ROUND((Таблица3[[#This Row],[Ниж. Гран]] + Таблица3[[#This Row],[Верх. Гран.]]) / 2, 2)</f>
        <v>2036.22</v>
      </c>
      <c r="K4" s="8">
        <f>IF(Таблица3[[#This Row],[Интервал]] = MAX(Таблица3[Интервал]), COUNTIFS(Таблица2[2025], "&gt;=" &amp; Таблица3[[#This Row],[Ниж. Гран]], Таблица2[2025], "&lt;=" &amp; Таблица3[[#This Row],[Верх. Гран.]]), COUNTIFS(Таблица2[2025], "&gt;=" &amp; Таблица3[[#This Row],[Ниж. Гран]], Таблица2[2025], "&lt;" &amp; Таблица3[[#This Row],[Верх. Гран.]]))</f>
        <v>37</v>
      </c>
      <c r="L4" s="5">
        <f>Таблица3[[#This Row],[Частота]] / $E$2</f>
        <v>0.2868217054263566</v>
      </c>
      <c r="M4">
        <f>M3+Таблица3[[#This Row],[Частота]]</f>
        <v>58</v>
      </c>
    </row>
    <row r="5" spans="1:13" x14ac:dyDescent="0.4">
      <c r="A5" s="7" t="s">
        <v>110</v>
      </c>
      <c r="B5" s="16">
        <v>3220.8</v>
      </c>
      <c r="C5" s="16" t="str">
        <f t="shared" si="0"/>
        <v>ОК</v>
      </c>
      <c r="D5" s="7" t="s">
        <v>147</v>
      </c>
      <c r="E5" s="5" t="s">
        <v>148</v>
      </c>
      <c r="G5" s="7">
        <v>3</v>
      </c>
      <c r="H5" s="5">
        <f t="shared" ref="H5:H11" si="1">I4</f>
        <v>2131.1888888888889</v>
      </c>
      <c r="I5" s="5">
        <f t="shared" ref="I5:I11" si="2">H5+$E$15</f>
        <v>2321.1333333333332</v>
      </c>
      <c r="J5" s="5">
        <f>ROUND((Таблица3[[#This Row],[Ниж. Гран]] + Таблица3[[#This Row],[Верх. Гран.]]) / 2, 2)</f>
        <v>2226.16</v>
      </c>
      <c r="K5" s="8">
        <f>IF(Таблица3[[#This Row],[Интервал]] = MAX(Таблица3[Интервал]), COUNTIFS(Таблица2[2025], "&gt;=" &amp; Таблица3[[#This Row],[Ниж. Гран]], Таблица2[2025], "&lt;=" &amp; Таблица3[[#This Row],[Верх. Гран.]]), COUNTIFS(Таблица2[2025], "&gt;=" &amp; Таблица3[[#This Row],[Ниж. Гран]], Таблица2[2025], "&lt;" &amp; Таблица3[[#This Row],[Верх. Гран.]]))</f>
        <v>38</v>
      </c>
      <c r="L5" s="5">
        <f>Таблица3[[#This Row],[Частота]] / $E$2</f>
        <v>0.29457364341085274</v>
      </c>
      <c r="M5">
        <f>M4+Таблица3[[#This Row],[Частота]]</f>
        <v>96</v>
      </c>
    </row>
    <row r="6" spans="1:13" x14ac:dyDescent="0.4">
      <c r="A6" s="7" t="s">
        <v>84</v>
      </c>
      <c r="B6" s="16">
        <v>3198.4</v>
      </c>
      <c r="C6" s="16" t="str">
        <f t="shared" si="0"/>
        <v>ОК</v>
      </c>
      <c r="D6" s="7" t="s">
        <v>149</v>
      </c>
      <c r="E6" s="5">
        <f>_xlfn.VAR.S(Таблица2[2025])</f>
        <v>96264.794938227162</v>
      </c>
      <c r="G6" s="7">
        <v>4</v>
      </c>
      <c r="H6" s="5">
        <f t="shared" si="1"/>
        <v>2321.1333333333332</v>
      </c>
      <c r="I6" s="5">
        <f t="shared" si="2"/>
        <v>2511.0777777777776</v>
      </c>
      <c r="J6" s="5">
        <f>ROUND((Таблица3[[#This Row],[Ниж. Гран]] + Таблица3[[#This Row],[Верх. Гран.]]) / 2, 2)</f>
        <v>2416.11</v>
      </c>
      <c r="K6" s="8">
        <f>IF(Таблица3[[#This Row],[Интервал]] = MAX(Таблица3[Интервал]), COUNTIFS(Таблица2[2025], "&gt;=" &amp; Таблица3[[#This Row],[Ниж. Гран]], Таблица2[2025], "&lt;=" &amp; Таблица3[[#This Row],[Верх. Гран.]]), COUNTIFS(Таблица2[2025], "&gt;=" &amp; Таблица3[[#This Row],[Ниж. Гран]], Таблица2[2025], "&lt;" &amp; Таблица3[[#This Row],[Верх. Гран.]]))</f>
        <v>16</v>
      </c>
      <c r="L6" s="5">
        <f>Таблица3[[#This Row],[Частота]] / $E$2</f>
        <v>0.12403100775193798</v>
      </c>
      <c r="M6">
        <f>M5+Таблица3[[#This Row],[Частота]]</f>
        <v>112</v>
      </c>
    </row>
    <row r="7" spans="1:13" x14ac:dyDescent="0.4">
      <c r="A7" s="7" t="s">
        <v>109</v>
      </c>
      <c r="B7" s="16">
        <v>3083.5</v>
      </c>
      <c r="C7" s="16" t="str">
        <f t="shared" si="0"/>
        <v>ОК</v>
      </c>
      <c r="D7" s="7" t="s">
        <v>150</v>
      </c>
      <c r="E7" s="5">
        <f>SQRT(E6)</f>
        <v>310.26568443549661</v>
      </c>
      <c r="G7" s="7">
        <v>5</v>
      </c>
      <c r="H7" s="5">
        <f t="shared" si="1"/>
        <v>2511.0777777777776</v>
      </c>
      <c r="I7" s="5">
        <f t="shared" si="2"/>
        <v>2701.0222222222219</v>
      </c>
      <c r="J7" s="5">
        <f>ROUND((Таблица3[[#This Row],[Ниж. Гран]] + Таблица3[[#This Row],[Верх. Гран.]]) / 2, 2)</f>
        <v>2606.0500000000002</v>
      </c>
      <c r="K7" s="8">
        <f>IF(Таблица3[[#This Row],[Интервал]] = MAX(Таблица3[Интервал]), COUNTIFS(Таблица2[2025], "&gt;=" &amp; Таблица3[[#This Row],[Ниж. Гран]], Таблица2[2025], "&lt;=" &amp; Таблица3[[#This Row],[Верх. Гран.]]), COUNTIFS(Таблица2[2025], "&gt;=" &amp; Таблица3[[#This Row],[Ниж. Гран]], Таблица2[2025], "&lt;" &amp; Таблица3[[#This Row],[Верх. Гран.]]))</f>
        <v>8</v>
      </c>
      <c r="L7" s="5">
        <f>Таблица3[[#This Row],[Частота]] / $E$2</f>
        <v>6.2015503875968991E-2</v>
      </c>
      <c r="M7">
        <f>M6+Таблица3[[#This Row],[Частота]]</f>
        <v>120</v>
      </c>
    </row>
    <row r="8" spans="1:13" x14ac:dyDescent="0.4">
      <c r="A8" s="7" t="s">
        <v>97</v>
      </c>
      <c r="B8" s="16">
        <v>2941.2</v>
      </c>
      <c r="C8" s="16" t="str">
        <f t="shared" si="0"/>
        <v>ОК</v>
      </c>
      <c r="D8" s="7" t="s">
        <v>151</v>
      </c>
      <c r="E8" s="5">
        <f>E7/E3*100</f>
        <v>13.944087910205436</v>
      </c>
      <c r="G8" s="7">
        <v>6</v>
      </c>
      <c r="H8" s="5">
        <f t="shared" si="1"/>
        <v>2701.0222222222219</v>
      </c>
      <c r="I8" s="5">
        <f t="shared" si="2"/>
        <v>2890.9666666666662</v>
      </c>
      <c r="J8" s="5">
        <f>ROUND((Таблица3[[#This Row],[Ниж. Гран]] + Таблица3[[#This Row],[Верх. Гран.]]) / 2, 2)</f>
        <v>2795.99</v>
      </c>
      <c r="K8" s="8">
        <f>IF(Таблица3[[#This Row],[Интервал]] = MAX(Таблица3[Интервал]), COUNTIFS(Таблица2[2025], "&gt;=" &amp; Таблица3[[#This Row],[Ниж. Гран]], Таблица2[2025], "&lt;=" &amp; Таблица3[[#This Row],[Верх. Гран.]]), COUNTIFS(Таблица2[2025], "&gt;=" &amp; Таблица3[[#This Row],[Ниж. Гран]], Таблица2[2025], "&lt;" &amp; Таблица3[[#This Row],[Верх. Гран.]]))</f>
        <v>3</v>
      </c>
      <c r="L8" s="5">
        <f>Таблица3[[#This Row],[Частота]] / $E$2</f>
        <v>2.3255813953488372E-2</v>
      </c>
      <c r="M8">
        <f>M7+Таблица3[[#This Row],[Частота]]</f>
        <v>123</v>
      </c>
    </row>
    <row r="9" spans="1:13" x14ac:dyDescent="0.4">
      <c r="A9" s="7" t="s">
        <v>66</v>
      </c>
      <c r="B9" s="16">
        <v>2877.8</v>
      </c>
      <c r="C9" s="16" t="str">
        <f t="shared" si="0"/>
        <v>ОК</v>
      </c>
      <c r="D9" s="18" t="s">
        <v>152</v>
      </c>
      <c r="E9" s="19" t="str">
        <f>IF(E8&lt;=33,"Совокупность однородна","Совокупность неоднородна")</f>
        <v>Совокупность однородна</v>
      </c>
      <c r="G9" s="7">
        <v>7</v>
      </c>
      <c r="H9" s="5">
        <f t="shared" si="1"/>
        <v>2890.9666666666662</v>
      </c>
      <c r="I9" s="5">
        <f t="shared" si="2"/>
        <v>3080.9111111111106</v>
      </c>
      <c r="J9" s="5">
        <f>ROUND((Таблица3[[#This Row],[Ниж. Гран]] + Таблица3[[#This Row],[Верх. Гран.]]) / 2, 2)</f>
        <v>2985.94</v>
      </c>
      <c r="K9" s="8">
        <f>IF(Таблица3[[#This Row],[Интервал]] = MAX(Таблица3[Интервал]), COUNTIFS(Таблица2[2025], "&gt;=" &amp; Таблица3[[#This Row],[Ниж. Гран]], Таблица2[2025], "&lt;=" &amp; Таблица3[[#This Row],[Верх. Гран.]]), COUNTIFS(Таблица2[2025], "&gt;=" &amp; Таблица3[[#This Row],[Ниж. Гран]], Таблица2[2025], "&lt;" &amp; Таблица3[[#This Row],[Верх. Гран.]]))</f>
        <v>1</v>
      </c>
      <c r="L9" s="5">
        <f>Таблица3[[#This Row],[Частота]] / $E$2</f>
        <v>7.7519379844961239E-3</v>
      </c>
      <c r="M9">
        <f>M8+Таблица3[[#This Row],[Частота]]</f>
        <v>124</v>
      </c>
    </row>
    <row r="10" spans="1:13" x14ac:dyDescent="0.4">
      <c r="A10" s="7" t="s">
        <v>116</v>
      </c>
      <c r="B10" s="16">
        <v>2719.4</v>
      </c>
      <c r="C10" s="16" t="str">
        <f t="shared" si="0"/>
        <v>ОК</v>
      </c>
      <c r="D10" s="20" t="s">
        <v>154</v>
      </c>
      <c r="G10" s="7">
        <v>8</v>
      </c>
      <c r="H10" s="5">
        <f t="shared" si="1"/>
        <v>3080.9111111111106</v>
      </c>
      <c r="I10" s="5">
        <f t="shared" si="2"/>
        <v>3270.8555555555549</v>
      </c>
      <c r="J10" s="5">
        <f>ROUND((Таблица3[[#This Row],[Ниж. Гран]] + Таблица3[[#This Row],[Верх. Гран.]]) / 2, 2)</f>
        <v>3175.88</v>
      </c>
      <c r="K10" s="8">
        <f>IF(Таблица3[[#This Row],[Интервал]] = MAX(Таблица3[Интервал]), COUNTIFS(Таблица2[2025], "&gt;=" &amp; Таблица3[[#This Row],[Ниж. Гран]], Таблица2[2025], "&lt;=" &amp; Таблица3[[#This Row],[Верх. Гран.]]), COUNTIFS(Таблица2[2025], "&gt;=" &amp; Таблица3[[#This Row],[Ниж. Гран]], Таблица2[2025], "&lt;" &amp; Таблица3[[#This Row],[Верх. Гран.]]))</f>
        <v>3</v>
      </c>
      <c r="L10" s="5">
        <f>Таблица3[[#This Row],[Частота]] / $E$2</f>
        <v>2.3255813953488372E-2</v>
      </c>
      <c r="M10">
        <f>M9+Таблица3[[#This Row],[Частота]]</f>
        <v>127</v>
      </c>
    </row>
    <row r="11" spans="1:13" x14ac:dyDescent="0.4">
      <c r="A11" s="7" t="s">
        <v>22</v>
      </c>
      <c r="B11" s="16">
        <v>2710.5</v>
      </c>
      <c r="C11" s="16" t="str">
        <f t="shared" si="0"/>
        <v>ОК</v>
      </c>
      <c r="G11" s="11">
        <v>9</v>
      </c>
      <c r="H11" s="6">
        <f t="shared" si="1"/>
        <v>3270.8555555555549</v>
      </c>
      <c r="I11" s="6">
        <f t="shared" si="2"/>
        <v>3460.7999999999993</v>
      </c>
      <c r="J11" s="6">
        <f>ROUND((Таблица3[[#This Row],[Ниж. Гран]] + Таблица3[[#This Row],[Верх. Гран.]]) / 2, 2)</f>
        <v>3365.83</v>
      </c>
      <c r="K11" s="12">
        <f>IF(Таблица3[[#This Row],[Интервал]] = MAX(Таблица3[Интервал]), COUNTIFS(Таблица2[2025], "&gt;=" &amp; Таблица3[[#This Row],[Ниж. Гран]], Таблица2[2025], "&lt;=" &amp; Таблица3[[#This Row],[Верх. Гран.]]), COUNTIFS(Таблица2[2025], "&gt;=" &amp; Таблица3[[#This Row],[Ниж. Гран]], Таблица2[2025], "&lt;" &amp; Таблица3[[#This Row],[Верх. Гран.]]))</f>
        <v>2</v>
      </c>
      <c r="L11" s="6">
        <f>Таблица3[[#This Row],[Частота]] / $E$2</f>
        <v>1.5503875968992248E-2</v>
      </c>
      <c r="M11">
        <f>M10+Таблица3[[#This Row],[Частота]]</f>
        <v>129</v>
      </c>
    </row>
    <row r="12" spans="1:13" x14ac:dyDescent="0.4">
      <c r="A12" s="7" t="s">
        <v>68</v>
      </c>
      <c r="B12" s="16">
        <v>2685.3</v>
      </c>
      <c r="C12" s="16" t="str">
        <f t="shared" si="0"/>
        <v>ОК</v>
      </c>
      <c r="D12" s="5" t="s">
        <v>155</v>
      </c>
      <c r="E12" s="5">
        <f>1 + _xlfn.CEILING.PRECISE(3.322*LOG10($E$2), 1)</f>
        <v>9</v>
      </c>
      <c r="G12" s="11" t="s">
        <v>166</v>
      </c>
      <c r="H12" s="6">
        <f>SUBTOTAL(109,Таблица3[Ниж. Гран])</f>
        <v>22599.7</v>
      </c>
      <c r="I12" s="6">
        <f>SUBTOTAL(109,Таблица3[Верх. Гран.])</f>
        <v>24309.199999999997</v>
      </c>
      <c r="J12" s="6">
        <f>SUBTOTAL(109,Таблица3[Середина])</f>
        <v>23454.450000000004</v>
      </c>
      <c r="K12" s="6">
        <f>SUBTOTAL(109,Таблица3[Частота])</f>
        <v>129</v>
      </c>
      <c r="L12" s="6">
        <f>SUBTOTAL(109,Таблица3[Отн. Частота])</f>
        <v>1</v>
      </c>
      <c r="M12" s="6"/>
    </row>
    <row r="13" spans="1:13" x14ac:dyDescent="0.4">
      <c r="A13" s="7" t="s">
        <v>106</v>
      </c>
      <c r="B13" s="16">
        <v>2606.1</v>
      </c>
      <c r="C13" s="16" t="str">
        <f t="shared" si="0"/>
        <v>ОК</v>
      </c>
      <c r="D13" s="5" t="s">
        <v>156</v>
      </c>
      <c r="E13" s="5">
        <f>MIN(Таблица2[2025])</f>
        <v>1751.3</v>
      </c>
    </row>
    <row r="14" spans="1:13" x14ac:dyDescent="0.4">
      <c r="A14" s="7" t="s">
        <v>101</v>
      </c>
      <c r="B14" s="16">
        <v>2579.6999999999998</v>
      </c>
      <c r="C14" s="16" t="str">
        <f t="shared" si="0"/>
        <v>ОК</v>
      </c>
      <c r="D14" s="5" t="s">
        <v>157</v>
      </c>
      <c r="E14" s="5">
        <f>MAX(Таблица2[2025])</f>
        <v>3460.8</v>
      </c>
    </row>
    <row r="15" spans="1:13" x14ac:dyDescent="0.4">
      <c r="A15" s="7" t="s">
        <v>90</v>
      </c>
      <c r="B15" s="16">
        <v>2572.3000000000002</v>
      </c>
      <c r="C15" s="16" t="str">
        <f t="shared" si="0"/>
        <v>ОК</v>
      </c>
      <c r="D15" s="5" t="s">
        <v>158</v>
      </c>
      <c r="E15" s="5">
        <f>(E14-E13)/E12</f>
        <v>189.94444444444446</v>
      </c>
    </row>
    <row r="16" spans="1:13" x14ac:dyDescent="0.4">
      <c r="A16" s="7" t="s">
        <v>62</v>
      </c>
      <c r="B16" s="16">
        <v>2568.1999999999998</v>
      </c>
      <c r="C16" s="16" t="str">
        <f t="shared" si="0"/>
        <v>ОК</v>
      </c>
    </row>
    <row r="17" spans="1:7" x14ac:dyDescent="0.4">
      <c r="A17" s="7" t="s">
        <v>107</v>
      </c>
      <c r="B17" s="16">
        <v>2567.3000000000002</v>
      </c>
      <c r="C17" s="16" t="str">
        <f t="shared" si="0"/>
        <v>ОК</v>
      </c>
    </row>
    <row r="18" spans="1:7" x14ac:dyDescent="0.4">
      <c r="A18" s="7" t="s">
        <v>48</v>
      </c>
      <c r="B18" s="16">
        <v>2550.1</v>
      </c>
      <c r="C18" s="16" t="str">
        <f t="shared" si="0"/>
        <v>ОК</v>
      </c>
    </row>
    <row r="19" spans="1:7" x14ac:dyDescent="0.4">
      <c r="A19" s="7" t="s">
        <v>131</v>
      </c>
      <c r="B19" s="16">
        <v>2533.8000000000002</v>
      </c>
      <c r="C19" s="16" t="str">
        <f t="shared" si="0"/>
        <v>ОК</v>
      </c>
    </row>
    <row r="20" spans="1:7" x14ac:dyDescent="0.4">
      <c r="A20" s="7" t="s">
        <v>8</v>
      </c>
      <c r="B20" s="16">
        <v>2502</v>
      </c>
      <c r="C20" s="16" t="str">
        <f t="shared" si="0"/>
        <v>ОК</v>
      </c>
    </row>
    <row r="21" spans="1:7" x14ac:dyDescent="0.4">
      <c r="A21" s="7" t="s">
        <v>76</v>
      </c>
      <c r="B21" s="16">
        <v>2501.5</v>
      </c>
      <c r="C21" s="16" t="str">
        <f t="shared" si="0"/>
        <v>ОК</v>
      </c>
    </row>
    <row r="22" spans="1:7" x14ac:dyDescent="0.4">
      <c r="A22" s="7" t="s">
        <v>102</v>
      </c>
      <c r="B22" s="16">
        <v>2459</v>
      </c>
      <c r="C22" s="16" t="str">
        <f t="shared" si="0"/>
        <v>ОК</v>
      </c>
    </row>
    <row r="23" spans="1:7" x14ac:dyDescent="0.4">
      <c r="A23" s="7" t="s">
        <v>139</v>
      </c>
      <c r="B23" s="16">
        <v>2454.9</v>
      </c>
      <c r="C23" s="16" t="str">
        <f t="shared" si="0"/>
        <v>ОК</v>
      </c>
    </row>
    <row r="24" spans="1:7" x14ac:dyDescent="0.4">
      <c r="A24" s="7" t="s">
        <v>71</v>
      </c>
      <c r="B24" s="16">
        <v>2454.4</v>
      </c>
      <c r="C24" s="16" t="str">
        <f t="shared" si="0"/>
        <v>ОК</v>
      </c>
    </row>
    <row r="25" spans="1:7" x14ac:dyDescent="0.4">
      <c r="A25" s="7" t="s">
        <v>11</v>
      </c>
      <c r="B25" s="16">
        <v>2443</v>
      </c>
      <c r="C25" s="16" t="str">
        <f t="shared" si="0"/>
        <v>ОК</v>
      </c>
    </row>
    <row r="26" spans="1:7" x14ac:dyDescent="0.4">
      <c r="A26" s="7" t="s">
        <v>7</v>
      </c>
      <c r="B26" s="16">
        <v>2427</v>
      </c>
      <c r="C26" s="16" t="str">
        <f t="shared" si="0"/>
        <v>ОК</v>
      </c>
    </row>
    <row r="27" spans="1:7" x14ac:dyDescent="0.4">
      <c r="A27" s="7" t="s">
        <v>94</v>
      </c>
      <c r="B27" s="16">
        <v>2409.6999999999998</v>
      </c>
      <c r="C27" s="16" t="str">
        <f t="shared" si="0"/>
        <v>ОК</v>
      </c>
    </row>
    <row r="28" spans="1:7" x14ac:dyDescent="0.4">
      <c r="A28" s="7" t="s">
        <v>88</v>
      </c>
      <c r="B28" s="16">
        <v>2405.6</v>
      </c>
      <c r="C28" s="16" t="str">
        <f t="shared" si="0"/>
        <v>ОК</v>
      </c>
    </row>
    <row r="29" spans="1:7" x14ac:dyDescent="0.4">
      <c r="A29" s="7" t="s">
        <v>47</v>
      </c>
      <c r="B29" s="16">
        <v>2403.3000000000002</v>
      </c>
      <c r="C29" s="16" t="str">
        <f t="shared" si="0"/>
        <v>ОК</v>
      </c>
    </row>
    <row r="30" spans="1:7" x14ac:dyDescent="0.4">
      <c r="A30" s="7" t="s">
        <v>108</v>
      </c>
      <c r="B30" s="16">
        <v>2401.6999999999998</v>
      </c>
      <c r="C30" s="16" t="str">
        <f t="shared" si="0"/>
        <v>ОК</v>
      </c>
    </row>
    <row r="31" spans="1:7" x14ac:dyDescent="0.4">
      <c r="A31" s="7" t="s">
        <v>138</v>
      </c>
      <c r="B31" s="16">
        <v>2401</v>
      </c>
      <c r="C31" s="16" t="str">
        <f t="shared" si="0"/>
        <v>ОК</v>
      </c>
    </row>
    <row r="32" spans="1:7" x14ac:dyDescent="0.4">
      <c r="A32" s="7" t="s">
        <v>14</v>
      </c>
      <c r="B32" s="16">
        <v>2399.3000000000002</v>
      </c>
      <c r="C32" s="16" t="str">
        <f t="shared" si="0"/>
        <v>ОК</v>
      </c>
      <c r="D32" s="5" t="s">
        <v>155</v>
      </c>
      <c r="E32" s="5">
        <f>E12-1</f>
        <v>8</v>
      </c>
      <c r="G32" t="s">
        <v>159</v>
      </c>
    </row>
    <row r="33" spans="1:12" x14ac:dyDescent="0.4">
      <c r="A33" s="7" t="s">
        <v>113</v>
      </c>
      <c r="B33" s="16">
        <v>2384.6999999999998</v>
      </c>
      <c r="C33" s="16" t="str">
        <f t="shared" si="0"/>
        <v>ОК</v>
      </c>
      <c r="D33" s="5" t="s">
        <v>156</v>
      </c>
      <c r="E33" s="5">
        <f>MIN(Таблица2[2025])</f>
        <v>1751.3</v>
      </c>
      <c r="G33" s="9" t="s">
        <v>160</v>
      </c>
      <c r="H33" s="13" t="s">
        <v>161</v>
      </c>
      <c r="I33" s="13" t="s">
        <v>162</v>
      </c>
      <c r="J33" s="13" t="s">
        <v>163</v>
      </c>
      <c r="K33" s="10" t="s">
        <v>164</v>
      </c>
      <c r="L33" s="13" t="s">
        <v>165</v>
      </c>
    </row>
    <row r="34" spans="1:12" x14ac:dyDescent="0.4">
      <c r="A34" s="7" t="s">
        <v>73</v>
      </c>
      <c r="B34" s="16">
        <v>2376.9</v>
      </c>
      <c r="C34" s="16" t="str">
        <f t="shared" si="0"/>
        <v>ОК</v>
      </c>
      <c r="D34" s="5" t="s">
        <v>157</v>
      </c>
      <c r="E34" s="5">
        <f>MAX(Таблица2[2025])</f>
        <v>3460.8</v>
      </c>
      <c r="G34" s="7">
        <v>1</v>
      </c>
      <c r="H34" s="5">
        <f>E33</f>
        <v>1751.3</v>
      </c>
      <c r="I34" s="5">
        <f t="shared" ref="I34:I41" si="3">H34+$E$35</f>
        <v>1964.9875</v>
      </c>
      <c r="J34" s="5">
        <f>ROUND((Таблица35[[#This Row],[Ниж. Гран]] + Таблица35[[#This Row],[Верх. Гран.]]) / 2, 2)</f>
        <v>1858.14</v>
      </c>
      <c r="K34" s="8">
        <f>IF(Таблица35[[#This Row],[Интервал]] = MAX(Таблица35[Интервал]), COUNTIFS(Таблица2[2025], "&gt;=" &amp; Таблица35[[#This Row],[Ниж. Гран]], Таблица2[2025], "&lt;=" &amp; Таблица35[[#This Row],[Верх. Гран.]]), COUNTIFS(Таблица2[2025], "&gt;=" &amp; Таблица35[[#This Row],[Ниж. Гран]], Таблица2[2025], "&lt;" &amp; Таблица35[[#This Row],[Верх. Гран.]]))</f>
        <v>25</v>
      </c>
      <c r="L34" s="13">
        <f>Таблица35[[#This Row],[Частота]] / $E$2</f>
        <v>0.19379844961240311</v>
      </c>
    </row>
    <row r="35" spans="1:12" x14ac:dyDescent="0.4">
      <c r="A35" s="7" t="s">
        <v>112</v>
      </c>
      <c r="B35" s="16">
        <v>2361.6</v>
      </c>
      <c r="C35" s="16" t="str">
        <f t="shared" ref="C35:C66" si="4">IF(OR(B35 &gt; 3*$E$4, B35 &lt; $E$4/3), "ВЫБРОС", "ОК")</f>
        <v>ОК</v>
      </c>
      <c r="D35" s="5" t="s">
        <v>158</v>
      </c>
      <c r="E35" s="5">
        <f>(E34-E33)/E32</f>
        <v>213.68750000000003</v>
      </c>
      <c r="G35" s="7">
        <v>2</v>
      </c>
      <c r="H35" s="5">
        <f>I34</f>
        <v>1964.9875</v>
      </c>
      <c r="I35" s="5">
        <f t="shared" si="3"/>
        <v>2178.6750000000002</v>
      </c>
      <c r="J35" s="5">
        <f>ROUND((Таблица35[[#This Row],[Ниж. Гран]] + Таблица35[[#This Row],[Верх. Гран.]]) / 2, 2)</f>
        <v>2071.83</v>
      </c>
      <c r="K35" s="8">
        <f>IF(Таблица35[[#This Row],[Интервал]] = MAX(Таблица35[Интервал]), COUNTIFS(Таблица2[2025], "&gt;=" &amp; Таблица35[[#This Row],[Ниж. Гран]], Таблица2[2025], "&lt;=" &amp; Таблица35[[#This Row],[Верх. Гран.]]), COUNTIFS(Таблица2[2025], "&gt;=" &amp; Таблица35[[#This Row],[Ниж. Гран]], Таблица2[2025], "&lt;" &amp; Таблица35[[#This Row],[Верх. Гран.]]))</f>
        <v>42</v>
      </c>
      <c r="L35" s="5">
        <f>Таблица35[[#This Row],[Частота]] / $E$2</f>
        <v>0.32558139534883723</v>
      </c>
    </row>
    <row r="36" spans="1:12" x14ac:dyDescent="0.4">
      <c r="A36" s="7" t="s">
        <v>74</v>
      </c>
      <c r="B36" s="16">
        <v>2311.5</v>
      </c>
      <c r="C36" s="16" t="str">
        <f t="shared" si="4"/>
        <v>ОК</v>
      </c>
      <c r="G36" s="7">
        <v>3</v>
      </c>
      <c r="H36" s="5">
        <f t="shared" ref="H36:H41" si="5">I35</f>
        <v>2178.6750000000002</v>
      </c>
      <c r="I36" s="5">
        <f t="shared" si="3"/>
        <v>2392.3625000000002</v>
      </c>
      <c r="J36" s="5">
        <f>ROUND((Таблица35[[#This Row],[Ниж. Гран]] + Таблица35[[#This Row],[Верх. Гран.]]) / 2, 2)</f>
        <v>2285.52</v>
      </c>
      <c r="K36" s="8">
        <f>IF(Таблица35[[#This Row],[Интервал]] = MAX(Таблица35[Интервал]), COUNTIFS(Таблица2[2025], "&gt;=" &amp; Таблица35[[#This Row],[Ниж. Гран]], Таблица2[2025], "&lt;=" &amp; Таблица35[[#This Row],[Верх. Гран.]]), COUNTIFS(Таблица2[2025], "&gt;=" &amp; Таблица35[[#This Row],[Ниж. Гран]], Таблица2[2025], "&lt;" &amp; Таблица35[[#This Row],[Верх. Гран.]]))</f>
        <v>32</v>
      </c>
      <c r="L36" s="5">
        <f>Таблица35[[#This Row],[Частота]] / $E$2</f>
        <v>0.24806201550387597</v>
      </c>
    </row>
    <row r="37" spans="1:12" x14ac:dyDescent="0.4">
      <c r="A37" s="7" t="s">
        <v>99</v>
      </c>
      <c r="B37" s="16">
        <v>2308.1</v>
      </c>
      <c r="C37" s="16" t="str">
        <f t="shared" si="4"/>
        <v>ОК</v>
      </c>
      <c r="G37" s="7">
        <v>4</v>
      </c>
      <c r="H37" s="5">
        <f t="shared" si="5"/>
        <v>2392.3625000000002</v>
      </c>
      <c r="I37" s="5">
        <f t="shared" si="3"/>
        <v>2606.0500000000002</v>
      </c>
      <c r="J37" s="5">
        <f>ROUND((Таблица35[[#This Row],[Ниж. Гран]] + Таблица35[[#This Row],[Верх. Гран.]]) / 2, 2)</f>
        <v>2499.21</v>
      </c>
      <c r="K37" s="8">
        <f>IF(Таблица35[[#This Row],[Интервал]] = MAX(Таблица35[Интервал]), COUNTIFS(Таблица2[2025], "&gt;=" &amp; Таблица35[[#This Row],[Ниж. Гран]], Таблица2[2025], "&lt;=" &amp; Таблица35[[#This Row],[Верх. Гран.]]), COUNTIFS(Таблица2[2025], "&gt;=" &amp; Таблица35[[#This Row],[Ниж. Гран]], Таблица2[2025], "&lt;" &amp; Таблица35[[#This Row],[Верх. Гран.]]))</f>
        <v>19</v>
      </c>
      <c r="L37" s="5">
        <f>Таблица35[[#This Row],[Частота]] / $E$2</f>
        <v>0.14728682170542637</v>
      </c>
    </row>
    <row r="38" spans="1:12" x14ac:dyDescent="0.4">
      <c r="A38" s="7" t="s">
        <v>104</v>
      </c>
      <c r="B38" s="16">
        <v>2303.8000000000002</v>
      </c>
      <c r="C38" s="16" t="str">
        <f t="shared" si="4"/>
        <v>ОК</v>
      </c>
      <c r="G38" s="7">
        <v>5</v>
      </c>
      <c r="H38" s="5">
        <f t="shared" si="5"/>
        <v>2606.0500000000002</v>
      </c>
      <c r="I38" s="5">
        <f t="shared" si="3"/>
        <v>2819.7375000000002</v>
      </c>
      <c r="J38" s="5">
        <f>ROUND((Таблица35[[#This Row],[Ниж. Гран]] + Таблица35[[#This Row],[Верх. Гран.]]) / 2, 2)</f>
        <v>2712.89</v>
      </c>
      <c r="K38" s="8">
        <f>IF(Таблица35[[#This Row],[Интервал]] = MAX(Таблица35[Интервал]), COUNTIFS(Таблица2[2025], "&gt;=" &amp; Таблица35[[#This Row],[Ниж. Гран]], Таблица2[2025], "&lt;=" &amp; Таблица35[[#This Row],[Верх. Гран.]]), COUNTIFS(Таблица2[2025], "&gt;=" &amp; Таблица35[[#This Row],[Ниж. Гран]], Таблица2[2025], "&lt;" &amp; Таблица35[[#This Row],[Верх. Гран.]]))</f>
        <v>4</v>
      </c>
      <c r="L38" s="5">
        <f>Таблица35[[#This Row],[Частота]] / $E$2</f>
        <v>3.1007751937984496E-2</v>
      </c>
    </row>
    <row r="39" spans="1:12" x14ac:dyDescent="0.4">
      <c r="A39" s="7" t="s">
        <v>57</v>
      </c>
      <c r="B39" s="16">
        <v>2302.5</v>
      </c>
      <c r="C39" s="16" t="str">
        <f t="shared" si="4"/>
        <v>ОК</v>
      </c>
      <c r="G39" s="7">
        <v>6</v>
      </c>
      <c r="H39" s="5">
        <f t="shared" si="5"/>
        <v>2819.7375000000002</v>
      </c>
      <c r="I39" s="5">
        <f t="shared" si="3"/>
        <v>3033.4250000000002</v>
      </c>
      <c r="J39" s="5">
        <f>ROUND((Таблица35[[#This Row],[Ниж. Гран]] + Таблица35[[#This Row],[Верх. Гран.]]) / 2, 2)</f>
        <v>2926.58</v>
      </c>
      <c r="K39" s="8">
        <f>IF(Таблица35[[#This Row],[Интервал]] = MAX(Таблица35[Интервал]), COUNTIFS(Таблица2[2025], "&gt;=" &amp; Таблица35[[#This Row],[Ниж. Гран]], Таблица2[2025], "&lt;=" &amp; Таблица35[[#This Row],[Верх. Гран.]]), COUNTIFS(Таблица2[2025], "&gt;=" &amp; Таблица35[[#This Row],[Ниж. Гран]], Таблица2[2025], "&lt;" &amp; Таблица35[[#This Row],[Верх. Гран.]]))</f>
        <v>2</v>
      </c>
      <c r="L39" s="5">
        <f>Таблица35[[#This Row],[Частота]] / $E$2</f>
        <v>1.5503875968992248E-2</v>
      </c>
    </row>
    <row r="40" spans="1:12" x14ac:dyDescent="0.4">
      <c r="A40" s="7" t="s">
        <v>133</v>
      </c>
      <c r="B40" s="16">
        <v>2296.1999999999998</v>
      </c>
      <c r="C40" s="16" t="str">
        <f t="shared" si="4"/>
        <v>ОК</v>
      </c>
      <c r="G40" s="7">
        <v>7</v>
      </c>
      <c r="H40" s="5">
        <f t="shared" si="5"/>
        <v>3033.4250000000002</v>
      </c>
      <c r="I40" s="5">
        <f t="shared" si="3"/>
        <v>3247.1125000000002</v>
      </c>
      <c r="J40" s="5">
        <f>ROUND((Таблица35[[#This Row],[Ниж. Гран]] + Таблица35[[#This Row],[Верх. Гран.]]) / 2, 2)</f>
        <v>3140.27</v>
      </c>
      <c r="K40" s="8">
        <f>IF(Таблица35[[#This Row],[Интервал]] = MAX(Таблица35[Интервал]), COUNTIFS(Таблица2[2025], "&gt;=" &amp; Таблица35[[#This Row],[Ниж. Гран]], Таблица2[2025], "&lt;=" &amp; Таблица35[[#This Row],[Верх. Гран.]]), COUNTIFS(Таблица2[2025], "&gt;=" &amp; Таблица35[[#This Row],[Ниж. Гран]], Таблица2[2025], "&lt;" &amp; Таблица35[[#This Row],[Верх. Гран.]]))</f>
        <v>3</v>
      </c>
      <c r="L40" s="5">
        <f>Таблица35[[#This Row],[Частота]] / $E$2</f>
        <v>2.3255813953488372E-2</v>
      </c>
    </row>
    <row r="41" spans="1:12" x14ac:dyDescent="0.4">
      <c r="A41" s="7" t="s">
        <v>20</v>
      </c>
      <c r="B41" s="16">
        <v>2293.5</v>
      </c>
      <c r="C41" s="16" t="str">
        <f t="shared" si="4"/>
        <v>ОК</v>
      </c>
      <c r="G41" s="7">
        <v>8</v>
      </c>
      <c r="H41" s="5">
        <f t="shared" si="5"/>
        <v>3247.1125000000002</v>
      </c>
      <c r="I41" s="5">
        <f t="shared" si="3"/>
        <v>3460.8</v>
      </c>
      <c r="J41" s="5">
        <f>ROUND((Таблица35[[#This Row],[Ниж. Гран]] + Таблица35[[#This Row],[Верх. Гран.]]) / 2, 2)</f>
        <v>3353.96</v>
      </c>
      <c r="K41" s="8">
        <f>IF(Таблица35[[#This Row],[Интервал]] = MAX(Таблица35[Интервал]), COUNTIFS(Таблица2[2025], "&gt;=" &amp; Таблица35[[#This Row],[Ниж. Гран]], Таблица2[2025], "&lt;=" &amp; Таблица35[[#This Row],[Верх. Гран.]]), COUNTIFS(Таблица2[2025], "&gt;=" &amp; Таблица35[[#This Row],[Ниж. Гран]], Таблица2[2025], "&lt;" &amp; Таблица35[[#This Row],[Верх. Гран.]]))</f>
        <v>2</v>
      </c>
      <c r="L41" s="5">
        <f>Таблица35[[#This Row],[Частота]] / $E$2</f>
        <v>1.5503875968992248E-2</v>
      </c>
    </row>
    <row r="42" spans="1:12" x14ac:dyDescent="0.4">
      <c r="A42" s="7" t="s">
        <v>44</v>
      </c>
      <c r="B42" s="16">
        <v>2288.1999999999998</v>
      </c>
      <c r="C42" s="16" t="str">
        <f t="shared" si="4"/>
        <v>ОК</v>
      </c>
      <c r="G42" s="11" t="s">
        <v>166</v>
      </c>
      <c r="H42" s="6">
        <f>SUBTOTAL(109,Таблица35[Ниж. Гран])</f>
        <v>19993.649999999998</v>
      </c>
      <c r="I42" s="6">
        <f>SUBTOTAL(109,Таблица35[Верх. Гран.])</f>
        <v>21703.149999999998</v>
      </c>
      <c r="J42" s="6">
        <f>SUBTOTAL(109,Таблица35[Середина])</f>
        <v>20848.399999999998</v>
      </c>
      <c r="K42" s="6">
        <f>SUBTOTAL(109,Таблица35[Частота])</f>
        <v>129</v>
      </c>
      <c r="L42" s="6">
        <f>SUBTOTAL(109,Таблица35[Отн. Частота])</f>
        <v>1.0000000000000002</v>
      </c>
    </row>
    <row r="43" spans="1:12" x14ac:dyDescent="0.4">
      <c r="A43" s="7" t="s">
        <v>15</v>
      </c>
      <c r="B43" s="16">
        <v>2285.6999999999998</v>
      </c>
      <c r="C43" s="16" t="str">
        <f t="shared" si="4"/>
        <v>ОК</v>
      </c>
    </row>
    <row r="44" spans="1:12" x14ac:dyDescent="0.4">
      <c r="A44" s="7" t="s">
        <v>114</v>
      </c>
      <c r="B44" s="16">
        <v>2283</v>
      </c>
      <c r="C44" s="16" t="str">
        <f t="shared" si="4"/>
        <v>ОК</v>
      </c>
    </row>
    <row r="45" spans="1:12" x14ac:dyDescent="0.4">
      <c r="A45" s="7" t="s">
        <v>89</v>
      </c>
      <c r="B45" s="16">
        <v>2272.4</v>
      </c>
      <c r="C45" s="16" t="str">
        <f t="shared" si="4"/>
        <v>ОК</v>
      </c>
    </row>
    <row r="46" spans="1:12" x14ac:dyDescent="0.4">
      <c r="A46" s="7" t="s">
        <v>6</v>
      </c>
      <c r="B46" s="16">
        <v>2270.1999999999998</v>
      </c>
      <c r="C46" s="16" t="str">
        <f t="shared" si="4"/>
        <v>ОК</v>
      </c>
    </row>
    <row r="47" spans="1:12" x14ac:dyDescent="0.4">
      <c r="A47" s="7" t="s">
        <v>81</v>
      </c>
      <c r="B47" s="16">
        <v>2267.4</v>
      </c>
      <c r="C47" s="16" t="str">
        <f t="shared" si="4"/>
        <v>ОК</v>
      </c>
    </row>
    <row r="48" spans="1:12" x14ac:dyDescent="0.4">
      <c r="A48" s="7" t="s">
        <v>12</v>
      </c>
      <c r="B48" s="16">
        <v>2260</v>
      </c>
      <c r="C48" s="16" t="str">
        <f t="shared" si="4"/>
        <v>ОК</v>
      </c>
    </row>
    <row r="49" spans="1:12" x14ac:dyDescent="0.4">
      <c r="A49" s="7" t="s">
        <v>111</v>
      </c>
      <c r="B49" s="16">
        <v>2257.6</v>
      </c>
      <c r="C49" s="16" t="str">
        <f t="shared" si="4"/>
        <v>ОК</v>
      </c>
    </row>
    <row r="50" spans="1:12" x14ac:dyDescent="0.4">
      <c r="A50" s="7" t="s">
        <v>96</v>
      </c>
      <c r="B50" s="16">
        <v>2254.1</v>
      </c>
      <c r="C50" s="16" t="str">
        <f t="shared" si="4"/>
        <v>ОК</v>
      </c>
    </row>
    <row r="51" spans="1:12" x14ac:dyDescent="0.4">
      <c r="A51" s="7" t="s">
        <v>100</v>
      </c>
      <c r="B51" s="16">
        <v>2240.4</v>
      </c>
      <c r="C51" s="16" t="str">
        <f t="shared" si="4"/>
        <v>ОК</v>
      </c>
    </row>
    <row r="52" spans="1:12" x14ac:dyDescent="0.4">
      <c r="A52" s="7" t="s">
        <v>65</v>
      </c>
      <c r="B52" s="16">
        <v>2236.6999999999998</v>
      </c>
      <c r="C52" s="16" t="str">
        <f t="shared" si="4"/>
        <v>ОК</v>
      </c>
    </row>
    <row r="53" spans="1:12" x14ac:dyDescent="0.4">
      <c r="A53" s="7" t="s">
        <v>23</v>
      </c>
      <c r="B53" s="16">
        <v>2234.5</v>
      </c>
      <c r="C53" s="16" t="str">
        <f t="shared" si="4"/>
        <v>ОК</v>
      </c>
    </row>
    <row r="54" spans="1:12" x14ac:dyDescent="0.4">
      <c r="A54" s="7" t="s">
        <v>29</v>
      </c>
      <c r="B54" s="16">
        <v>2234.3000000000002</v>
      </c>
      <c r="C54" s="16" t="str">
        <f t="shared" si="4"/>
        <v>ОК</v>
      </c>
    </row>
    <row r="55" spans="1:12" x14ac:dyDescent="0.4">
      <c r="A55" s="7" t="s">
        <v>38</v>
      </c>
      <c r="B55" s="16">
        <v>2228.3000000000002</v>
      </c>
      <c r="C55" s="16" t="str">
        <f t="shared" si="4"/>
        <v>ОК</v>
      </c>
    </row>
    <row r="56" spans="1:12" x14ac:dyDescent="0.4">
      <c r="A56" s="7" t="s">
        <v>24</v>
      </c>
      <c r="B56" s="16">
        <v>2222</v>
      </c>
      <c r="C56" s="16" t="str">
        <f t="shared" si="4"/>
        <v>ОК</v>
      </c>
    </row>
    <row r="57" spans="1:12" x14ac:dyDescent="0.4">
      <c r="A57" s="7" t="s">
        <v>19</v>
      </c>
      <c r="B57" s="16">
        <v>2217.6</v>
      </c>
      <c r="C57" s="16" t="str">
        <f t="shared" si="4"/>
        <v>ОК</v>
      </c>
    </row>
    <row r="58" spans="1:12" x14ac:dyDescent="0.4">
      <c r="A58" s="7" t="s">
        <v>28</v>
      </c>
      <c r="B58" s="16">
        <v>2215.6</v>
      </c>
      <c r="C58" s="16" t="str">
        <f t="shared" si="4"/>
        <v>ОК</v>
      </c>
    </row>
    <row r="59" spans="1:12" x14ac:dyDescent="0.4">
      <c r="A59" s="7" t="s">
        <v>105</v>
      </c>
      <c r="B59" s="16">
        <v>2215</v>
      </c>
      <c r="C59" s="16" t="str">
        <f t="shared" si="4"/>
        <v>ОК</v>
      </c>
    </row>
    <row r="60" spans="1:12" x14ac:dyDescent="0.4">
      <c r="A60" s="7" t="s">
        <v>16</v>
      </c>
      <c r="B60" s="16">
        <v>2211.1999999999998</v>
      </c>
      <c r="C60" s="16" t="str">
        <f t="shared" si="4"/>
        <v>ОК</v>
      </c>
    </row>
    <row r="61" spans="1:12" x14ac:dyDescent="0.4">
      <c r="A61" s="7" t="s">
        <v>37</v>
      </c>
      <c r="B61" s="16">
        <v>2209.3000000000002</v>
      </c>
      <c r="C61" s="16" t="str">
        <f t="shared" si="4"/>
        <v>ОК</v>
      </c>
      <c r="D61" s="5" t="s">
        <v>155</v>
      </c>
      <c r="E61" s="5">
        <f>E12+1</f>
        <v>10</v>
      </c>
      <c r="G61" t="s">
        <v>159</v>
      </c>
    </row>
    <row r="62" spans="1:12" x14ac:dyDescent="0.4">
      <c r="A62" s="7" t="s">
        <v>98</v>
      </c>
      <c r="B62" s="16">
        <v>2198.6999999999998</v>
      </c>
      <c r="C62" s="16" t="str">
        <f t="shared" si="4"/>
        <v>ОК</v>
      </c>
      <c r="D62" s="5" t="s">
        <v>156</v>
      </c>
      <c r="E62" s="5">
        <f>MIN(Таблица2[2025])</f>
        <v>1751.3</v>
      </c>
      <c r="G62" s="9" t="s">
        <v>160</v>
      </c>
      <c r="H62" s="13" t="s">
        <v>161</v>
      </c>
      <c r="I62" s="13" t="s">
        <v>162</v>
      </c>
      <c r="J62" s="13" t="s">
        <v>163</v>
      </c>
      <c r="K62" s="10" t="s">
        <v>164</v>
      </c>
      <c r="L62" s="13" t="s">
        <v>165</v>
      </c>
    </row>
    <row r="63" spans="1:12" x14ac:dyDescent="0.4">
      <c r="A63" s="7" t="s">
        <v>127</v>
      </c>
      <c r="B63" s="16">
        <v>2187.1999999999998</v>
      </c>
      <c r="C63" s="16" t="str">
        <f t="shared" si="4"/>
        <v>ОК</v>
      </c>
      <c r="D63" s="5" t="s">
        <v>157</v>
      </c>
      <c r="E63" s="5">
        <f>MAX(Таблица2[2025])</f>
        <v>3460.8</v>
      </c>
      <c r="G63" s="7">
        <v>1</v>
      </c>
      <c r="H63" s="5">
        <f>E62</f>
        <v>1751.3</v>
      </c>
      <c r="I63" s="5">
        <f t="shared" ref="I63:I72" si="6">H63+$E$64</f>
        <v>1922.25</v>
      </c>
      <c r="J63" s="5">
        <f>ROUND((Таблица356[[#This Row],[Ниж. Гран]] + Таблица356[[#This Row],[Верх. Гран.]]) / 2, 2)</f>
        <v>1836.78</v>
      </c>
      <c r="K63" s="8">
        <f>IF(Таблица356[[#This Row],[Интервал]] = MAX(Таблица356[Интервал]), COUNTIFS(Таблица2[2025], "&gt;=" &amp; Таблица356[[#This Row],[Ниж. Гран]], Таблица2[2025], "&lt;=" &amp; Таблица356[[#This Row],[Верх. Гран.]]), COUNTIFS(Таблица2[2025], "&gt;=" &amp; Таблица356[[#This Row],[Ниж. Гран]], Таблица2[2025], "&lt;" &amp; Таблица356[[#This Row],[Верх. Гран.]]))</f>
        <v>14</v>
      </c>
      <c r="L63" s="13">
        <f>Таблица356[[#This Row],[Частота]] / $E$2</f>
        <v>0.10852713178294573</v>
      </c>
    </row>
    <row r="64" spans="1:12" x14ac:dyDescent="0.4">
      <c r="A64" s="7" t="s">
        <v>87</v>
      </c>
      <c r="B64" s="16">
        <v>2182.8000000000002</v>
      </c>
      <c r="C64" s="16" t="str">
        <f t="shared" si="4"/>
        <v>ОК</v>
      </c>
      <c r="D64" s="5" t="s">
        <v>158</v>
      </c>
      <c r="E64" s="5">
        <f>(E63-E62)/E61</f>
        <v>170.95000000000002</v>
      </c>
      <c r="G64" s="7">
        <v>2</v>
      </c>
      <c r="H64" s="5">
        <f>I63</f>
        <v>1922.25</v>
      </c>
      <c r="I64" s="5">
        <f t="shared" si="6"/>
        <v>2093.1999999999998</v>
      </c>
      <c r="J64" s="5">
        <f>ROUND((Таблица356[[#This Row],[Ниж. Гран]] + Таблица356[[#This Row],[Верх. Гран.]]) / 2, 2)</f>
        <v>2007.73</v>
      </c>
      <c r="K64" s="8">
        <f>IF(Таблица356[[#This Row],[Интервал]] = MAX(Таблица356[Интервал]), COUNTIFS(Таблица2[2025], "&gt;=" &amp; Таблица356[[#This Row],[Ниж. Гран]], Таблица2[2025], "&lt;=" &amp; Таблица356[[#This Row],[Верх. Гран.]]), COUNTIFS(Таблица2[2025], "&gt;=" &amp; Таблица356[[#This Row],[Ниж. Гран]], Таблица2[2025], "&lt;" &amp; Таблица356[[#This Row],[Верх. Гран.]]))</f>
        <v>31</v>
      </c>
      <c r="L64" s="5">
        <f>Таблица356[[#This Row],[Частота]] / $E$2</f>
        <v>0.24031007751937986</v>
      </c>
    </row>
    <row r="65" spans="1:12" x14ac:dyDescent="0.4">
      <c r="A65" s="7" t="s">
        <v>118</v>
      </c>
      <c r="B65" s="16">
        <v>2173.5</v>
      </c>
      <c r="C65" s="16" t="str">
        <f t="shared" si="4"/>
        <v>ОК</v>
      </c>
      <c r="G65" s="7">
        <v>3</v>
      </c>
      <c r="H65" s="5">
        <f t="shared" ref="H65:H72" si="7">I64</f>
        <v>2093.1999999999998</v>
      </c>
      <c r="I65" s="5">
        <f t="shared" si="6"/>
        <v>2264.1499999999996</v>
      </c>
      <c r="J65" s="5">
        <f>ROUND((Таблица356[[#This Row],[Ниж. Гран]] + Таблица356[[#This Row],[Верх. Гран.]]) / 2, 2)</f>
        <v>2178.6799999999998</v>
      </c>
      <c r="K65" s="8">
        <f>IF(Таблица356[[#This Row],[Интервал]] = MAX(Таблица356[Интервал]), COUNTIFS(Таблица2[2025], "&gt;=" &amp; Таблица356[[#This Row],[Ниж. Гран]], Таблица2[2025], "&lt;=" &amp; Таблица356[[#This Row],[Верх. Гран.]]), COUNTIFS(Таблица2[2025], "&gt;=" &amp; Таблица356[[#This Row],[Ниж. Гран]], Таблица2[2025], "&lt;" &amp; Таблица356[[#This Row],[Верх. Гран.]]))</f>
        <v>39</v>
      </c>
      <c r="L65" s="5">
        <f>Таблица356[[#This Row],[Частота]] / $E$2</f>
        <v>0.30232558139534882</v>
      </c>
    </row>
    <row r="66" spans="1:12" x14ac:dyDescent="0.4">
      <c r="A66" s="7" t="s">
        <v>77</v>
      </c>
      <c r="B66" s="16">
        <v>2152.6</v>
      </c>
      <c r="C66" s="16" t="str">
        <f t="shared" si="4"/>
        <v>ОК</v>
      </c>
      <c r="G66" s="7">
        <v>4</v>
      </c>
      <c r="H66" s="5">
        <f t="shared" si="7"/>
        <v>2264.1499999999996</v>
      </c>
      <c r="I66" s="5">
        <f t="shared" si="6"/>
        <v>2435.0999999999995</v>
      </c>
      <c r="J66" s="5">
        <f>ROUND((Таблица356[[#This Row],[Ниж. Гран]] + Таблица356[[#This Row],[Верх. Гран.]]) / 2, 2)</f>
        <v>2349.63</v>
      </c>
      <c r="K66" s="8">
        <f>IF(Таблица356[[#This Row],[Интервал]] = MAX(Таблица356[Интервал]), COUNTIFS(Таблица2[2025], "&gt;=" &amp; Таблица356[[#This Row],[Ниж. Гран]], Таблица2[2025], "&lt;=" &amp; Таблица356[[#This Row],[Верх. Гран.]]), COUNTIFS(Таблица2[2025], "&gt;=" &amp; Таблица356[[#This Row],[Ниж. Гран]], Таблица2[2025], "&lt;" &amp; Таблица356[[#This Row],[Верх. Гран.]]))</f>
        <v>22</v>
      </c>
      <c r="L66" s="5">
        <f>Таблица356[[#This Row],[Частота]] / $E$2</f>
        <v>0.17054263565891473</v>
      </c>
    </row>
    <row r="67" spans="1:12" x14ac:dyDescent="0.4">
      <c r="A67" s="7" t="s">
        <v>34</v>
      </c>
      <c r="B67" s="16">
        <v>2151.4</v>
      </c>
      <c r="C67" s="16" t="str">
        <f t="shared" ref="C67:C98" si="8">IF(OR(B67 &gt; 3*$E$4, B67 &lt; $E$4/3), "ВЫБРОС", "ОК")</f>
        <v>ОК</v>
      </c>
      <c r="D67" t="s">
        <v>141</v>
      </c>
      <c r="E67" t="s">
        <v>142</v>
      </c>
      <c r="G67" s="7">
        <v>5</v>
      </c>
      <c r="H67" s="5">
        <f t="shared" si="7"/>
        <v>2435.0999999999995</v>
      </c>
      <c r="I67" s="5">
        <f t="shared" si="6"/>
        <v>2606.0499999999993</v>
      </c>
      <c r="J67" s="5">
        <f>ROUND((Таблица356[[#This Row],[Ниж. Гран]] + Таблица356[[#This Row],[Верх. Гран.]]) / 2, 2)</f>
        <v>2520.58</v>
      </c>
      <c r="K67" s="8">
        <f>IF(Таблица356[[#This Row],[Интервал]] = MAX(Таблица356[Интервал]), COUNTIFS(Таблица2[2025], "&gt;=" &amp; Таблица356[[#This Row],[Ниж. Гран]], Таблица2[2025], "&lt;=" &amp; Таблица356[[#This Row],[Верх. Гран.]]), COUNTIFS(Таблица2[2025], "&gt;=" &amp; Таблица356[[#This Row],[Ниж. Гран]], Таблица2[2025], "&lt;" &amp; Таблица356[[#This Row],[Верх. Гран.]]))</f>
        <v>12</v>
      </c>
      <c r="L67" s="5">
        <f>Таблица356[[#This Row],[Частота]] / $E$2</f>
        <v>9.3023255813953487E-2</v>
      </c>
    </row>
    <row r="68" spans="1:12" x14ac:dyDescent="0.4">
      <c r="A68" s="7" t="s">
        <v>95</v>
      </c>
      <c r="B68" s="16">
        <v>2149.9</v>
      </c>
      <c r="C68" s="16" t="str">
        <f t="shared" si="8"/>
        <v>ОК</v>
      </c>
      <c r="G68" s="7">
        <v>6</v>
      </c>
      <c r="H68" s="5">
        <f t="shared" si="7"/>
        <v>2606.0499999999993</v>
      </c>
      <c r="I68" s="5">
        <f t="shared" si="6"/>
        <v>2776.9999999999991</v>
      </c>
      <c r="J68" s="5">
        <f>ROUND((Таблица356[[#This Row],[Ниж. Гран]] + Таблица356[[#This Row],[Верх. Гран.]]) / 2, 2)</f>
        <v>2691.53</v>
      </c>
      <c r="K68" s="8">
        <f>IF(Таблица356[[#This Row],[Интервал]] = MAX(Таблица356[Интервал]), COUNTIFS(Таблица2[2025], "&gt;=" &amp; Таблица356[[#This Row],[Ниж. Гран]], Таблица2[2025], "&lt;=" &amp; Таблица356[[#This Row],[Верх. Гран.]]), COUNTIFS(Таблица2[2025], "&gt;=" &amp; Таблица356[[#This Row],[Ниж. Гран]], Таблица2[2025], "&lt;" &amp; Таблица356[[#This Row],[Верх. Гран.]]))</f>
        <v>4</v>
      </c>
      <c r="L68" s="5">
        <f>Таблица356[[#This Row],[Частота]] / $E$2</f>
        <v>3.1007751937984496E-2</v>
      </c>
    </row>
    <row r="69" spans="1:12" x14ac:dyDescent="0.4">
      <c r="A69" s="7" t="s">
        <v>140</v>
      </c>
      <c r="B69" s="16">
        <v>2149.6999999999998</v>
      </c>
      <c r="C69" s="16" t="str">
        <f t="shared" si="8"/>
        <v>ОК</v>
      </c>
      <c r="G69" s="7">
        <v>7</v>
      </c>
      <c r="H69" s="5">
        <f t="shared" si="7"/>
        <v>2776.9999999999991</v>
      </c>
      <c r="I69" s="5">
        <f t="shared" si="6"/>
        <v>2947.9499999999989</v>
      </c>
      <c r="J69" s="5">
        <f>ROUND((Таблица356[[#This Row],[Ниж. Гран]] + Таблица356[[#This Row],[Верх. Гран.]]) / 2, 2)</f>
        <v>2862.48</v>
      </c>
      <c r="K69" s="8">
        <f>IF(Таблица356[[#This Row],[Интервал]] = MAX(Таблица356[Интервал]), COUNTIFS(Таблица2[2025], "&gt;=" &amp; Таблица356[[#This Row],[Ниж. Гран]], Таблица2[2025], "&lt;=" &amp; Таблица356[[#This Row],[Верх. Гран.]]), COUNTIFS(Таблица2[2025], "&gt;=" &amp; Таблица356[[#This Row],[Ниж. Гран]], Таблица2[2025], "&lt;" &amp; Таблица356[[#This Row],[Верх. Гран.]]))</f>
        <v>2</v>
      </c>
      <c r="L69" s="5">
        <f>Таблица356[[#This Row],[Частота]] / $E$2</f>
        <v>1.5503875968992248E-2</v>
      </c>
    </row>
    <row r="70" spans="1:12" x14ac:dyDescent="0.4">
      <c r="A70" s="7" t="s">
        <v>58</v>
      </c>
      <c r="B70" s="16">
        <v>2147.4</v>
      </c>
      <c r="C70" s="16" t="str">
        <f t="shared" si="8"/>
        <v>ОК</v>
      </c>
      <c r="G70" s="7">
        <v>8</v>
      </c>
      <c r="H70" s="5">
        <f t="shared" si="7"/>
        <v>2947.9499999999989</v>
      </c>
      <c r="I70" s="5">
        <f t="shared" si="6"/>
        <v>3118.8999999999987</v>
      </c>
      <c r="J70" s="5">
        <f>ROUND((Таблица356[[#This Row],[Ниж. Гран]] + Таблица356[[#This Row],[Верх. Гран.]]) / 2, 2)</f>
        <v>3033.43</v>
      </c>
      <c r="K70" s="8">
        <f>IF(Таблица356[[#This Row],[Интервал]] = MAX(Таблица356[Интервал]), COUNTIFS(Таблица2[2025], "&gt;=" &amp; Таблица356[[#This Row],[Ниж. Гран]], Таблица2[2025], "&lt;=" &amp; Таблица356[[#This Row],[Верх. Гран.]]), COUNTIFS(Таблица2[2025], "&gt;=" &amp; Таблица356[[#This Row],[Ниж. Гран]], Таблица2[2025], "&lt;" &amp; Таблица356[[#This Row],[Верх. Гран.]]))</f>
        <v>1</v>
      </c>
      <c r="L70" s="5">
        <f>Таблица356[[#This Row],[Частота]] / $E$2</f>
        <v>7.7519379844961239E-3</v>
      </c>
    </row>
    <row r="71" spans="1:12" x14ac:dyDescent="0.4">
      <c r="A71" s="7" t="s">
        <v>18</v>
      </c>
      <c r="B71" s="16">
        <v>2137.5</v>
      </c>
      <c r="C71" s="16" t="str">
        <f t="shared" si="8"/>
        <v>ОК</v>
      </c>
      <c r="G71" s="7">
        <v>9</v>
      </c>
      <c r="H71" s="5">
        <f t="shared" si="7"/>
        <v>3118.8999999999987</v>
      </c>
      <c r="I71" s="21">
        <f t="shared" si="6"/>
        <v>3289.8499999999985</v>
      </c>
      <c r="J71" s="21">
        <f>ROUND((Таблица356[[#This Row],[Ниж. Гран]] + Таблица356[[#This Row],[Верх. Гран.]]) / 2, 2)</f>
        <v>3204.38</v>
      </c>
      <c r="K71" s="22">
        <f>IF(Таблица356[[#This Row],[Интервал]] = MAX(Таблица356[Интервал]), COUNTIFS(Таблица2[2025], "&gt;=" &amp; Таблица356[[#This Row],[Ниж. Гран]], Таблица2[2025], "&lt;=" &amp; Таблица356[[#This Row],[Верх. Гран.]]), COUNTIFS(Таблица2[2025], "&gt;=" &amp; Таблица356[[#This Row],[Ниж. Гран]], Таблица2[2025], "&lt;" &amp; Таблица356[[#This Row],[Верх. Гран.]]))</f>
        <v>2</v>
      </c>
      <c r="L71" s="21">
        <f>Таблица356[[#This Row],[Частота]] / $E$2</f>
        <v>1.5503875968992248E-2</v>
      </c>
    </row>
    <row r="72" spans="1:12" x14ac:dyDescent="0.4">
      <c r="A72" s="7" t="s">
        <v>10</v>
      </c>
      <c r="B72" s="16">
        <v>2132.1</v>
      </c>
      <c r="C72" s="16" t="str">
        <f t="shared" si="8"/>
        <v>ОК</v>
      </c>
      <c r="G72" s="7">
        <v>10</v>
      </c>
      <c r="H72" s="5">
        <f t="shared" si="7"/>
        <v>3289.8499999999985</v>
      </c>
      <c r="I72" s="21">
        <f t="shared" si="6"/>
        <v>3460.7999999999984</v>
      </c>
      <c r="J72" s="21">
        <f>ROUND((Таблица356[[#This Row],[Ниж. Гран]] + Таблица356[[#This Row],[Верх. Гран.]]) / 2, 2)</f>
        <v>3375.33</v>
      </c>
      <c r="K72" s="22">
        <f>IF(Таблица356[[#This Row],[Интервал]] = MAX(Таблица356[Интервал]), COUNTIFS(Таблица2[2025], "&gt;=" &amp; Таблица356[[#This Row],[Ниж. Гран]], Таблица2[2025], "&lt;=" &amp; Таблица356[[#This Row],[Верх. Гран.]]), COUNTIFS(Таблица2[2025], "&gt;=" &amp; Таблица356[[#This Row],[Ниж. Гран]], Таблица2[2025], "&lt;" &amp; Таблица356[[#This Row],[Верх. Гран.]]))</f>
        <v>2</v>
      </c>
      <c r="L72" s="21">
        <f>Таблица356[[#This Row],[Частота]] / $E$2</f>
        <v>1.5503875968992248E-2</v>
      </c>
    </row>
    <row r="73" spans="1:12" x14ac:dyDescent="0.4">
      <c r="A73" s="7" t="s">
        <v>83</v>
      </c>
      <c r="B73" s="16">
        <v>2131.4</v>
      </c>
      <c r="C73" s="16" t="str">
        <f t="shared" si="8"/>
        <v>ОК</v>
      </c>
      <c r="G73" s="11" t="s">
        <v>166</v>
      </c>
      <c r="H73" s="6">
        <f>SUBTOTAL(109,Таблица356[Ниж. Гран])</f>
        <v>25205.749999999996</v>
      </c>
      <c r="I73" s="6">
        <f>SUBTOTAL(109,Таблица356[Верх. Гран.])</f>
        <v>26915.249999999993</v>
      </c>
      <c r="J73" s="6">
        <f>SUBTOTAL(109,Таблица356[Середина])</f>
        <v>26060.550000000003</v>
      </c>
      <c r="K73" s="6">
        <f>SUBTOTAL(109,Таблица356[Частота])</f>
        <v>129</v>
      </c>
      <c r="L73" s="6">
        <f>SUBTOTAL(109,Таблица356[Отн. Частота])</f>
        <v>1.0000000000000002</v>
      </c>
    </row>
    <row r="74" spans="1:12" x14ac:dyDescent="0.4">
      <c r="A74" s="7" t="s">
        <v>17</v>
      </c>
      <c r="B74" s="16">
        <v>2128.6999999999998</v>
      </c>
      <c r="C74" s="16" t="str">
        <f t="shared" si="8"/>
        <v>ОК</v>
      </c>
    </row>
    <row r="75" spans="1:12" x14ac:dyDescent="0.4">
      <c r="A75" s="7" t="s">
        <v>93</v>
      </c>
      <c r="B75" s="16">
        <v>2127.3000000000002</v>
      </c>
      <c r="C75" s="16" t="str">
        <f t="shared" si="8"/>
        <v>ОК</v>
      </c>
    </row>
    <row r="76" spans="1:12" x14ac:dyDescent="0.4">
      <c r="A76" s="7" t="s">
        <v>86</v>
      </c>
      <c r="B76" s="16">
        <v>2125.1999999999998</v>
      </c>
      <c r="C76" s="16" t="str">
        <f t="shared" si="8"/>
        <v>ОК</v>
      </c>
    </row>
    <row r="77" spans="1:12" x14ac:dyDescent="0.4">
      <c r="A77" s="7" t="s">
        <v>129</v>
      </c>
      <c r="B77" s="16">
        <v>2123.1999999999998</v>
      </c>
      <c r="C77" s="16" t="str">
        <f t="shared" si="8"/>
        <v>ОК</v>
      </c>
    </row>
    <row r="78" spans="1:12" x14ac:dyDescent="0.4">
      <c r="A78" s="7" t="s">
        <v>33</v>
      </c>
      <c r="B78" s="16">
        <v>2122</v>
      </c>
      <c r="C78" s="16" t="str">
        <f t="shared" si="8"/>
        <v>ОК</v>
      </c>
    </row>
    <row r="79" spans="1:12" x14ac:dyDescent="0.4">
      <c r="A79" s="7" t="s">
        <v>53</v>
      </c>
      <c r="B79" s="16">
        <v>2116.6</v>
      </c>
      <c r="C79" s="16" t="str">
        <f t="shared" si="8"/>
        <v>ОК</v>
      </c>
    </row>
    <row r="80" spans="1:12" x14ac:dyDescent="0.4">
      <c r="A80" s="7" t="s">
        <v>56</v>
      </c>
      <c r="B80" s="16">
        <v>2115</v>
      </c>
      <c r="C80" s="16" t="str">
        <f t="shared" si="8"/>
        <v>ОК</v>
      </c>
    </row>
    <row r="81" spans="1:3" x14ac:dyDescent="0.4">
      <c r="A81" s="7" t="s">
        <v>13</v>
      </c>
      <c r="B81" s="16">
        <v>2114.6</v>
      </c>
      <c r="C81" s="16" t="str">
        <f t="shared" si="8"/>
        <v>ОК</v>
      </c>
    </row>
    <row r="82" spans="1:3" x14ac:dyDescent="0.4">
      <c r="A82" s="7" t="s">
        <v>78</v>
      </c>
      <c r="B82" s="16">
        <v>2110.1999999999998</v>
      </c>
      <c r="C82" s="16" t="str">
        <f t="shared" si="8"/>
        <v>ОК</v>
      </c>
    </row>
    <row r="83" spans="1:3" x14ac:dyDescent="0.4">
      <c r="A83" s="7" t="s">
        <v>85</v>
      </c>
      <c r="B83" s="16">
        <v>2105.9</v>
      </c>
      <c r="C83" s="16" t="str">
        <f t="shared" si="8"/>
        <v>ОК</v>
      </c>
    </row>
    <row r="84" spans="1:3" x14ac:dyDescent="0.4">
      <c r="A84" s="7" t="s">
        <v>122</v>
      </c>
      <c r="B84" s="16">
        <v>2102.5</v>
      </c>
      <c r="C84" s="16" t="str">
        <f t="shared" si="8"/>
        <v>ОК</v>
      </c>
    </row>
    <row r="85" spans="1:3" x14ac:dyDescent="0.4">
      <c r="A85" s="7" t="s">
        <v>30</v>
      </c>
      <c r="B85" s="16">
        <v>2101.1</v>
      </c>
      <c r="C85" s="16" t="str">
        <f t="shared" si="8"/>
        <v>ОК</v>
      </c>
    </row>
    <row r="86" spans="1:3" x14ac:dyDescent="0.4">
      <c r="A86" s="7" t="s">
        <v>80</v>
      </c>
      <c r="B86" s="16">
        <v>2097.6</v>
      </c>
      <c r="C86" s="16" t="str">
        <f t="shared" si="8"/>
        <v>ОК</v>
      </c>
    </row>
    <row r="87" spans="1:3" x14ac:dyDescent="0.4">
      <c r="A87" s="7" t="s">
        <v>67</v>
      </c>
      <c r="B87" s="16">
        <v>2080.1</v>
      </c>
      <c r="C87" s="16" t="str">
        <f t="shared" si="8"/>
        <v>ОК</v>
      </c>
    </row>
    <row r="88" spans="1:3" x14ac:dyDescent="0.4">
      <c r="A88" s="7" t="s">
        <v>39</v>
      </c>
      <c r="B88" s="16">
        <v>2075.8000000000002</v>
      </c>
      <c r="C88" s="16" t="str">
        <f t="shared" si="8"/>
        <v>ОК</v>
      </c>
    </row>
    <row r="89" spans="1:3" x14ac:dyDescent="0.4">
      <c r="A89" s="7" t="s">
        <v>51</v>
      </c>
      <c r="B89" s="16">
        <v>2066.6999999999998</v>
      </c>
      <c r="C89" s="16" t="str">
        <f t="shared" si="8"/>
        <v>ОК</v>
      </c>
    </row>
    <row r="90" spans="1:3" x14ac:dyDescent="0.4">
      <c r="A90" s="7" t="s">
        <v>120</v>
      </c>
      <c r="B90" s="16">
        <v>2066</v>
      </c>
      <c r="C90" s="16" t="str">
        <f t="shared" si="8"/>
        <v>ОК</v>
      </c>
    </row>
    <row r="91" spans="1:3" x14ac:dyDescent="0.4">
      <c r="A91" s="7" t="s">
        <v>32</v>
      </c>
      <c r="B91" s="16">
        <v>2060.6999999999998</v>
      </c>
      <c r="C91" s="16" t="str">
        <f t="shared" si="8"/>
        <v>ОК</v>
      </c>
    </row>
    <row r="92" spans="1:3" x14ac:dyDescent="0.4">
      <c r="A92" s="7" t="s">
        <v>126</v>
      </c>
      <c r="B92" s="16">
        <v>2060</v>
      </c>
      <c r="C92" s="16" t="str">
        <f t="shared" si="8"/>
        <v>ОК</v>
      </c>
    </row>
    <row r="93" spans="1:3" x14ac:dyDescent="0.4">
      <c r="A93" s="7" t="s">
        <v>70</v>
      </c>
      <c r="B93" s="16">
        <v>2039</v>
      </c>
      <c r="C93" s="16" t="str">
        <f t="shared" si="8"/>
        <v>ОК</v>
      </c>
    </row>
    <row r="94" spans="1:3" x14ac:dyDescent="0.4">
      <c r="A94" s="7" t="s">
        <v>42</v>
      </c>
      <c r="B94" s="16">
        <v>2038.7</v>
      </c>
      <c r="C94" s="16" t="str">
        <f t="shared" si="8"/>
        <v>ОК</v>
      </c>
    </row>
    <row r="95" spans="1:3" x14ac:dyDescent="0.4">
      <c r="A95" s="7" t="s">
        <v>82</v>
      </c>
      <c r="B95" s="16">
        <v>2034.8</v>
      </c>
      <c r="C95" s="16" t="str">
        <f t="shared" si="8"/>
        <v>ОК</v>
      </c>
    </row>
    <row r="96" spans="1:3" x14ac:dyDescent="0.4">
      <c r="A96" s="7" t="s">
        <v>75</v>
      </c>
      <c r="B96" s="16">
        <v>2020.3</v>
      </c>
      <c r="C96" s="16" t="str">
        <f t="shared" si="8"/>
        <v>ОК</v>
      </c>
    </row>
    <row r="97" spans="1:3" x14ac:dyDescent="0.4">
      <c r="A97" s="7" t="s">
        <v>124</v>
      </c>
      <c r="B97" s="16">
        <v>2018.8</v>
      </c>
      <c r="C97" s="16" t="str">
        <f t="shared" si="8"/>
        <v>ОК</v>
      </c>
    </row>
    <row r="98" spans="1:3" x14ac:dyDescent="0.4">
      <c r="A98" s="7" t="s">
        <v>54</v>
      </c>
      <c r="B98" s="16">
        <v>2008.5</v>
      </c>
      <c r="C98" s="16" t="str">
        <f t="shared" si="8"/>
        <v>ОК</v>
      </c>
    </row>
    <row r="99" spans="1:3" x14ac:dyDescent="0.4">
      <c r="A99" s="7" t="s">
        <v>55</v>
      </c>
      <c r="B99" s="16">
        <v>2005.2</v>
      </c>
      <c r="C99" s="16" t="str">
        <f t="shared" ref="C99:C130" si="9">IF(OR(B99 &gt; 3*$E$4, B99 &lt; $E$4/3), "ВЫБРОС", "ОК")</f>
        <v>ОК</v>
      </c>
    </row>
    <row r="100" spans="1:3" x14ac:dyDescent="0.4">
      <c r="A100" s="7" t="s">
        <v>21</v>
      </c>
      <c r="B100" s="16">
        <v>2002.9</v>
      </c>
      <c r="C100" s="16" t="str">
        <f t="shared" si="9"/>
        <v>ОК</v>
      </c>
    </row>
    <row r="101" spans="1:3" x14ac:dyDescent="0.4">
      <c r="A101" s="7" t="s">
        <v>41</v>
      </c>
      <c r="B101" s="16">
        <v>2002.5</v>
      </c>
      <c r="C101" s="16" t="str">
        <f t="shared" si="9"/>
        <v>ОК</v>
      </c>
    </row>
    <row r="102" spans="1:3" x14ac:dyDescent="0.4">
      <c r="A102" s="7" t="s">
        <v>119</v>
      </c>
      <c r="B102" s="16">
        <v>1998.5</v>
      </c>
      <c r="C102" s="16" t="str">
        <f t="shared" si="9"/>
        <v>ОК</v>
      </c>
    </row>
    <row r="103" spans="1:3" x14ac:dyDescent="0.4">
      <c r="A103" s="7" t="s">
        <v>35</v>
      </c>
      <c r="B103" s="16">
        <v>1987.8</v>
      </c>
      <c r="C103" s="16" t="str">
        <f t="shared" si="9"/>
        <v>ОК</v>
      </c>
    </row>
    <row r="104" spans="1:3" x14ac:dyDescent="0.4">
      <c r="A104" s="7" t="s">
        <v>63</v>
      </c>
      <c r="B104" s="16">
        <v>1982.9</v>
      </c>
      <c r="C104" s="16" t="str">
        <f t="shared" si="9"/>
        <v>ОК</v>
      </c>
    </row>
    <row r="105" spans="1:3" x14ac:dyDescent="0.4">
      <c r="A105" s="7" t="s">
        <v>26</v>
      </c>
      <c r="B105" s="16">
        <v>1979.1</v>
      </c>
      <c r="C105" s="16" t="str">
        <f t="shared" si="9"/>
        <v>ОК</v>
      </c>
    </row>
    <row r="106" spans="1:3" x14ac:dyDescent="0.4">
      <c r="A106" s="7" t="s">
        <v>9</v>
      </c>
      <c r="B106" s="16">
        <v>1971.8</v>
      </c>
      <c r="C106" s="16" t="str">
        <f t="shared" si="9"/>
        <v>ОК</v>
      </c>
    </row>
    <row r="107" spans="1:3" x14ac:dyDescent="0.4">
      <c r="A107" s="7" t="s">
        <v>52</v>
      </c>
      <c r="B107" s="16">
        <v>1961.6</v>
      </c>
      <c r="C107" s="16" t="str">
        <f t="shared" si="9"/>
        <v>ОК</v>
      </c>
    </row>
    <row r="108" spans="1:3" x14ac:dyDescent="0.4">
      <c r="A108" s="7" t="s">
        <v>125</v>
      </c>
      <c r="B108" s="16">
        <v>1953.3</v>
      </c>
      <c r="C108" s="16" t="str">
        <f t="shared" si="9"/>
        <v>ОК</v>
      </c>
    </row>
    <row r="109" spans="1:3" x14ac:dyDescent="0.4">
      <c r="A109" s="7" t="s">
        <v>121</v>
      </c>
      <c r="B109" s="16">
        <v>1952.4</v>
      </c>
      <c r="C109" s="16" t="str">
        <f t="shared" si="9"/>
        <v>ОК</v>
      </c>
    </row>
    <row r="110" spans="1:3" x14ac:dyDescent="0.4">
      <c r="A110" s="7" t="s">
        <v>61</v>
      </c>
      <c r="B110" s="16">
        <v>1948.2</v>
      </c>
      <c r="C110" s="16" t="str">
        <f t="shared" si="9"/>
        <v>ОК</v>
      </c>
    </row>
    <row r="111" spans="1:3" x14ac:dyDescent="0.4">
      <c r="A111" s="7" t="s">
        <v>79</v>
      </c>
      <c r="B111" s="16">
        <v>1940.9</v>
      </c>
      <c r="C111" s="16" t="str">
        <f t="shared" si="9"/>
        <v>ОК</v>
      </c>
    </row>
    <row r="112" spans="1:3" x14ac:dyDescent="0.4">
      <c r="A112" s="7" t="s">
        <v>130</v>
      </c>
      <c r="B112" s="16">
        <v>1940.3</v>
      </c>
      <c r="C112" s="16" t="str">
        <f t="shared" si="9"/>
        <v>ОК</v>
      </c>
    </row>
    <row r="113" spans="1:3" x14ac:dyDescent="0.4">
      <c r="A113" s="7" t="s">
        <v>31</v>
      </c>
      <c r="B113" s="16">
        <v>1930.8</v>
      </c>
      <c r="C113" s="16" t="str">
        <f t="shared" si="9"/>
        <v>ОК</v>
      </c>
    </row>
    <row r="114" spans="1:3" x14ac:dyDescent="0.4">
      <c r="A114" s="7" t="s">
        <v>69</v>
      </c>
      <c r="B114" s="16">
        <v>1927.9</v>
      </c>
      <c r="C114" s="16" t="str">
        <f t="shared" si="9"/>
        <v>ОК</v>
      </c>
    </row>
    <row r="115" spans="1:3" x14ac:dyDescent="0.4">
      <c r="A115" s="7" t="s">
        <v>46</v>
      </c>
      <c r="B115" s="16">
        <v>1927</v>
      </c>
      <c r="C115" s="16" t="str">
        <f t="shared" si="9"/>
        <v>ОК</v>
      </c>
    </row>
    <row r="116" spans="1:3" x14ac:dyDescent="0.4">
      <c r="A116" s="7" t="s">
        <v>137</v>
      </c>
      <c r="B116" s="16">
        <v>1924.4</v>
      </c>
      <c r="C116" s="16" t="str">
        <f t="shared" si="9"/>
        <v>ОК</v>
      </c>
    </row>
    <row r="117" spans="1:3" x14ac:dyDescent="0.4">
      <c r="A117" s="7" t="s">
        <v>136</v>
      </c>
      <c r="B117" s="16">
        <v>1924.3</v>
      </c>
      <c r="C117" s="16" t="str">
        <f t="shared" si="9"/>
        <v>ОК</v>
      </c>
    </row>
    <row r="118" spans="1:3" x14ac:dyDescent="0.4">
      <c r="A118" s="7" t="s">
        <v>132</v>
      </c>
      <c r="B118" s="16">
        <v>1913.1</v>
      </c>
      <c r="C118" s="16" t="str">
        <f t="shared" si="9"/>
        <v>ОК</v>
      </c>
    </row>
    <row r="119" spans="1:3" x14ac:dyDescent="0.4">
      <c r="A119" s="7" t="s">
        <v>60</v>
      </c>
      <c r="B119" s="16">
        <v>1905.6</v>
      </c>
      <c r="C119" s="16" t="str">
        <f t="shared" si="9"/>
        <v>ОК</v>
      </c>
    </row>
    <row r="120" spans="1:3" x14ac:dyDescent="0.4">
      <c r="A120" s="7" t="s">
        <v>27</v>
      </c>
      <c r="B120" s="16">
        <v>1898.7</v>
      </c>
      <c r="C120" s="16" t="str">
        <f t="shared" si="9"/>
        <v>ОК</v>
      </c>
    </row>
    <row r="121" spans="1:3" x14ac:dyDescent="0.4">
      <c r="A121" s="7" t="s">
        <v>50</v>
      </c>
      <c r="B121" s="16">
        <v>1896.1</v>
      </c>
      <c r="C121" s="16" t="str">
        <f t="shared" si="9"/>
        <v>ОК</v>
      </c>
    </row>
    <row r="122" spans="1:3" x14ac:dyDescent="0.4">
      <c r="A122" s="7" t="s">
        <v>135</v>
      </c>
      <c r="B122" s="16">
        <v>1895.3</v>
      </c>
      <c r="C122" s="16" t="str">
        <f t="shared" si="9"/>
        <v>ОК</v>
      </c>
    </row>
    <row r="123" spans="1:3" x14ac:dyDescent="0.4">
      <c r="A123" s="7" t="s">
        <v>123</v>
      </c>
      <c r="B123" s="16">
        <v>1891.5</v>
      </c>
      <c r="C123" s="16" t="str">
        <f t="shared" si="9"/>
        <v>ОК</v>
      </c>
    </row>
    <row r="124" spans="1:3" x14ac:dyDescent="0.4">
      <c r="A124" s="7" t="s">
        <v>64</v>
      </c>
      <c r="B124" s="16">
        <v>1875.4</v>
      </c>
      <c r="C124" s="16" t="str">
        <f t="shared" si="9"/>
        <v>ОК</v>
      </c>
    </row>
    <row r="125" spans="1:3" x14ac:dyDescent="0.4">
      <c r="A125" s="7" t="s">
        <v>36</v>
      </c>
      <c r="B125" s="16">
        <v>1869.8</v>
      </c>
      <c r="C125" s="16" t="str">
        <f t="shared" si="9"/>
        <v>ОК</v>
      </c>
    </row>
    <row r="126" spans="1:3" x14ac:dyDescent="0.4">
      <c r="A126" s="7" t="s">
        <v>134</v>
      </c>
      <c r="B126" s="16">
        <v>1862.2</v>
      </c>
      <c r="C126" s="16" t="str">
        <f t="shared" si="9"/>
        <v>ОК</v>
      </c>
    </row>
    <row r="127" spans="1:3" x14ac:dyDescent="0.4">
      <c r="A127" s="7" t="s">
        <v>43</v>
      </c>
      <c r="B127" s="16">
        <v>1852.9</v>
      </c>
      <c r="C127" s="16" t="str">
        <f t="shared" si="9"/>
        <v>ОК</v>
      </c>
    </row>
    <row r="128" spans="1:3" x14ac:dyDescent="0.4">
      <c r="A128" s="7" t="s">
        <v>128</v>
      </c>
      <c r="B128" s="16">
        <v>1844.8</v>
      </c>
      <c r="C128" s="16" t="str">
        <f t="shared" si="9"/>
        <v>ОК</v>
      </c>
    </row>
    <row r="129" spans="1:3" x14ac:dyDescent="0.4">
      <c r="A129" s="7" t="s">
        <v>59</v>
      </c>
      <c r="B129" s="16">
        <v>1842.6</v>
      </c>
      <c r="C129" s="16" t="str">
        <f t="shared" si="9"/>
        <v>ОК</v>
      </c>
    </row>
    <row r="130" spans="1:3" x14ac:dyDescent="0.4">
      <c r="A130" s="7" t="s">
        <v>40</v>
      </c>
      <c r="B130" s="16">
        <v>1830</v>
      </c>
      <c r="C130" s="16" t="str">
        <f t="shared" si="9"/>
        <v>ОК</v>
      </c>
    </row>
    <row r="131" spans="1:3" x14ac:dyDescent="0.4">
      <c r="A131" s="11" t="s">
        <v>45</v>
      </c>
      <c r="B131" s="16">
        <v>1751.3</v>
      </c>
      <c r="C131" s="16" t="str">
        <f t="shared" ref="C131" si="10">IF(OR(B131 &gt; 3*$E$4, B131 &lt; $E$4/3), "ВЫБРОС", "ОК")</f>
        <v>ОК</v>
      </c>
    </row>
  </sheetData>
  <sortState xmlns:xlrd2="http://schemas.microsoft.com/office/spreadsheetml/2017/richdata2" ref="A3:B131">
    <sortCondition descending="1" ref="B3:B131"/>
  </sortState>
  <phoneticPr fontId="5" type="noConversion"/>
  <pageMargins left="0.7" right="0.7" top="0.75" bottom="0.75" header="0.3" footer="0.3"/>
  <drawing r:id="rId1"/>
  <tableParts count="4">
    <tablePart r:id="rId2"/>
    <tablePart r:id="rId3"/>
    <tablePart r:id="rId4"/>
    <tablePart r:id="rId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RowHeight="14.6" x14ac:dyDescent="0.4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10218000003</vt:lpstr>
      <vt:lpstr>Лист2</vt:lpstr>
      <vt:lpstr>Лист3</vt:lpstr>
    </vt:vector>
  </TitlesOfParts>
  <Company>SPecialiST RePack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SM</dc:creator>
  <cp:lastModifiedBy>maxx chaos</cp:lastModifiedBy>
  <cp:lastPrinted>2024-04-26T08:33:26Z</cp:lastPrinted>
  <dcterms:created xsi:type="dcterms:W3CDTF">2024-04-26T08:31:07Z</dcterms:created>
  <dcterms:modified xsi:type="dcterms:W3CDTF">2026-09-18T22:05:18Z</dcterms:modified>
</cp:coreProperties>
</file>