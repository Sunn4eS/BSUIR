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3\"/>
    </mc:Choice>
  </mc:AlternateContent>
  <xr:revisionPtr revIDLastSave="0" documentId="13_ncr:1_{E4382D7F-8E1F-4A35-8312-0FA60BAB6406}" xr6:coauthVersionLast="47" xr6:coauthVersionMax="47" xr10:uidLastSave="{00000000-0000-0000-0000-000000000000}"/>
  <bookViews>
    <workbookView xWindow="5050" yWindow="4200" windowWidth="19200" windowHeight="11170" activeTab="1" xr2:uid="{00000000-000D-0000-FFFF-FFFF00000000}"/>
  </bookViews>
  <sheets>
    <sheet name="Отчет о результатах 1" sheetId="8" r:id="rId1"/>
    <sheet name="Задание 1" sheetId="1" r:id="rId2"/>
    <sheet name="Задание 2" sheetId="7" r:id="rId3"/>
  </sheets>
  <definedNames>
    <definedName name="solver_adj" localSheetId="1" hidden="1">'Задание 1'!$H$340:$K$344</definedName>
    <definedName name="solver_adj" localSheetId="2" hidden="1">'Задание 2'!$B$42:$G$46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'Задание 1'!$A$340:$A$344</definedName>
    <definedName name="solver_lhs1" localSheetId="2" hidden="1">'Задание 2'!$B$47:$G$47</definedName>
    <definedName name="solver_lhs2" localSheetId="1" hidden="1">'Задание 1'!$B$339:$E$339</definedName>
    <definedName name="solver_lhs2" localSheetId="2" hidden="1">'Задание 2'!$H$42:$H$46</definedName>
    <definedName name="solver_lhs3" localSheetId="1" hidden="1">'Задание 1'!$H$340:$K$344</definedName>
    <definedName name="solver_lhs4" localSheetId="1" hidden="1">'Задание 1'!$H$340:$K$344</definedName>
    <definedName name="solver_lhs5" localSheetId="1" hidden="1">'Задание 1'!$K$588</definedName>
    <definedName name="solver_lhs6" localSheetId="1" hidden="1">'Задание 1'!$K$588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4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'Задание 1'!$H$346</definedName>
    <definedName name="solver_opt" localSheetId="2" hidden="1">'Задание 2'!$I$48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el2" localSheetId="1" hidden="1">2</definedName>
    <definedName name="solver_rel2" localSheetId="2" hidden="1">2</definedName>
    <definedName name="solver_rel3" localSheetId="1" hidden="1">4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hs1" localSheetId="1" hidden="1">'Задание 1'!$G$340:$G$344</definedName>
    <definedName name="solver_rhs1" localSheetId="2" hidden="1">'Задание 2'!$B$48:$G$48</definedName>
    <definedName name="solver_rhs2" localSheetId="1" hidden="1">'Задание 1'!$H$339:$K$339</definedName>
    <definedName name="solver_rhs2" localSheetId="2" hidden="1">'Задание 2'!$I$42:$I$46</definedName>
    <definedName name="solver_rhs3" localSheetId="1" hidden="1">"целое"</definedName>
    <definedName name="solver_rhs4" localSheetId="1" hidden="1">0</definedName>
    <definedName name="solver_rhs5" localSheetId="1" hidden="1">20</definedName>
    <definedName name="solver_rhs6" localSheetId="1" hidden="1">20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16000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1" i="1" l="1"/>
  <c r="G342" i="1"/>
  <c r="G343" i="1"/>
  <c r="G344" i="1"/>
  <c r="G340" i="1"/>
  <c r="I339" i="1"/>
  <c r="J339" i="1"/>
  <c r="K339" i="1"/>
  <c r="H339" i="1"/>
  <c r="H346" i="1" l="1"/>
  <c r="I48" i="7" l="1"/>
  <c r="A48" i="7"/>
  <c r="I41" i="7"/>
  <c r="C47" i="7"/>
  <c r="D47" i="7"/>
  <c r="E47" i="7"/>
  <c r="F47" i="7"/>
  <c r="G47" i="7"/>
  <c r="B47" i="7"/>
  <c r="H43" i="7"/>
  <c r="H44" i="7"/>
  <c r="H45" i="7"/>
  <c r="H46" i="7"/>
  <c r="H42" i="7"/>
  <c r="H592" i="1"/>
  <c r="G590" i="1"/>
  <c r="G589" i="1"/>
  <c r="G588" i="1"/>
  <c r="G587" i="1"/>
  <c r="G586" i="1"/>
  <c r="K585" i="1"/>
  <c r="J585" i="1"/>
  <c r="I585" i="1"/>
  <c r="H585" i="1"/>
</calcChain>
</file>

<file path=xl/sharedStrings.xml><?xml version="1.0" encoding="utf-8"?>
<sst xmlns="http://schemas.openxmlformats.org/spreadsheetml/2006/main" count="916" uniqueCount="407">
  <si>
    <t>Вариант 17</t>
  </si>
  <si>
    <t>1. Составить математическую модель транспортной задачи</t>
  </si>
  <si>
    <t>2. Решить транспортную задачу без учета дополнительных ограничений на перевозки</t>
  </si>
  <si>
    <t>а) вручную</t>
  </si>
  <si>
    <t>ai \ bi</t>
  </si>
  <si>
    <t>Результирующая таблица:</t>
  </si>
  <si>
    <t>m + n - 1 = 5 + 4 - 1 = 8 =&gt; опорный план является невырожденным</t>
  </si>
  <si>
    <t>Улучшение опорного плана</t>
  </si>
  <si>
    <t>u1 + v1 = 1; 0 + v1 = 1; v1 = 1</t>
  </si>
  <si>
    <t>v1=1</t>
  </si>
  <si>
    <t>v2=3</t>
  </si>
  <si>
    <t>v3=3</t>
  </si>
  <si>
    <t>v4=1</t>
  </si>
  <si>
    <t>u1=0</t>
  </si>
  <si>
    <t>u2=-1</t>
  </si>
  <si>
    <t>u3=4</t>
  </si>
  <si>
    <t>u5=-3</t>
  </si>
  <si>
    <t>∆=1</t>
  </si>
  <si>
    <t>∆=5</t>
  </si>
  <si>
    <t>0 [+]</t>
  </si>
  <si>
    <t>40 [-]</t>
  </si>
  <si>
    <t>10 [+]</t>
  </si>
  <si>
    <t>Новый опорный план</t>
  </si>
  <si>
    <t>0 [-]</t>
  </si>
  <si>
    <t>40 [+]</t>
  </si>
  <si>
    <t>10 [-]</t>
  </si>
  <si>
    <t>v1=-1</t>
  </si>
  <si>
    <t>u2=-6</t>
  </si>
  <si>
    <t>u4=5</t>
  </si>
  <si>
    <t>u5=-8</t>
  </si>
  <si>
    <t>u4 + v1 = 4; 5 + v1 = 4; v1 = -1</t>
  </si>
  <si>
    <t>Опорный план не является оптимальным, так как существуют оценки свободных клеток, для которых ui + vj &gt; cij (3;4)</t>
  </si>
  <si>
    <t>u1 + v2 = 2; 0 + v2 = 2; v2 = 2</t>
  </si>
  <si>
    <t>u2 + v2 = 2; 2 + u2 = 2; u2 = 0</t>
  </si>
  <si>
    <t>u2 + v3 = 2; 0 + v3 = 2; v3 = 2</t>
  </si>
  <si>
    <t>u5 + v3 = 0; 2 + u5 = 0; u5 = -2</t>
  </si>
  <si>
    <t>u3 + v2 = 7; 2 + u3 = 7; u3 = 5</t>
  </si>
  <si>
    <t>v2=2</t>
  </si>
  <si>
    <t>v3=2</t>
  </si>
  <si>
    <t>u2=0</t>
  </si>
  <si>
    <t>u3=5</t>
  </si>
  <si>
    <t>u5=-2</t>
  </si>
  <si>
    <t>∆=1 [+]</t>
  </si>
  <si>
    <t>u3 + v4 = 5; 5 + v4 = 5; v4 = 0</t>
  </si>
  <si>
    <t>v4=0</t>
  </si>
  <si>
    <t>Отрицательных оценок нет. План оптимален.</t>
  </si>
  <si>
    <t>z = 2*40 + 2*10 + 2*40 + 7*10 + 5*40 + 4*40 + 0*10 = 610</t>
  </si>
  <si>
    <t>Потребность 3-го магазина остается неудовлетворенной на 10 ед.</t>
  </si>
  <si>
    <t>Анализ оптимального плана.</t>
  </si>
  <si>
    <t>Оптимальный план является вырожденным, так как базисная переменная x53=0.</t>
  </si>
  <si>
    <t>2-й поставщик - груз направить в 2-й магазин (10 ед.), в 3-й магазин (40 ед.)</t>
  </si>
  <si>
    <t>4-й поставщик - весь груз направить в 1-й магазин.</t>
  </si>
  <si>
    <t>б) на компьютере</t>
  </si>
  <si>
    <t>z =</t>
  </si>
  <si>
    <t>3. Решить транспортную задачу с дополнительными ограничениями на перевозки</t>
  </si>
  <si>
    <t>M</t>
  </si>
  <si>
    <t>v4=-2</t>
  </si>
  <si>
    <t>v5=3</t>
  </si>
  <si>
    <t>u3=7</t>
  </si>
  <si>
    <t>u4=3</t>
  </si>
  <si>
    <t>u4 + v1 = 4; 1 + u4 = 4; u4 = 3</t>
  </si>
  <si>
    <t>u4 + v5 = 6; 3 + v5 = 6; v5 = 3</t>
  </si>
  <si>
    <t>∆=2</t>
  </si>
  <si>
    <t>∆=3</t>
  </si>
  <si>
    <t>∆=4</t>
  </si>
  <si>
    <t>20 [-]</t>
  </si>
  <si>
    <t>30 [+]</t>
  </si>
  <si>
    <t>20 [+]</t>
  </si>
  <si>
    <t>m + n - 1 = 9 =&gt; опорный план является невырожденным</t>
  </si>
  <si>
    <t>z = 1*20 + 2*40 + 2*10 + 10*30 + 5*20 + 4*20 + 6*20 + 0*10 = 720</t>
  </si>
  <si>
    <t>∆=3 [+]</t>
  </si>
  <si>
    <t>30 [-]</t>
  </si>
  <si>
    <t>(3,1 → 3,3 → 5,3 → 5,5 → 4,5 → 4,1)</t>
  </si>
  <si>
    <t>u3 + v1 = 5; 1 + u3 = 5; u3 = 4</t>
  </si>
  <si>
    <t>u3 + v3 = 10; 4 + v3 = 10; v3 = 6</t>
  </si>
  <si>
    <t>u2 + v3 = 2; 6 + u2 = 2; u2 = -4</t>
  </si>
  <si>
    <t>u2 + v2 = 2; -4 + v2 = 2; v2 = 6</t>
  </si>
  <si>
    <t>u5 + v3 = 0; 6 + u5 = 0; u5 = -6</t>
  </si>
  <si>
    <t>u3 + v4 = 5; 4 + v4 = 5; v4 = 1</t>
  </si>
  <si>
    <t>v2=6</t>
  </si>
  <si>
    <t>v3=6</t>
  </si>
  <si>
    <t>u2=-4</t>
  </si>
  <si>
    <t>u5=-6</t>
  </si>
  <si>
    <t>Опорный план не является оптимальным, так как существуют оценки свободных клеток, для которых ui + vj &gt; cij (1;2) (1;3) (1;5) (3;2)</t>
  </si>
  <si>
    <t>∆=4 [+]</t>
  </si>
  <si>
    <t>(1,2 → 1,1 → 3,1 → 3,3 → 2,3 → 2,2)</t>
  </si>
  <si>
    <t>u3 + v3 = 10; 2 + u3 = 10; u3 = 8</t>
  </si>
  <si>
    <t>u3 + v1 = 5; 8 + v1 = 5; v1 = -3</t>
  </si>
  <si>
    <t>u4 + v1 = 4; -3 + u4 = 4; u4 = 7</t>
  </si>
  <si>
    <t>u4 + v5 = 6; 7 + v5 = 6; v5 = -1</t>
  </si>
  <si>
    <t>u3 + v4 = 5; 8 + v4 = 5; v4 = -3</t>
  </si>
  <si>
    <t>v1=-3</t>
  </si>
  <si>
    <t>v4=-3</t>
  </si>
  <si>
    <t>v5=-1</t>
  </si>
  <si>
    <t>u3=8</t>
  </si>
  <si>
    <t>u4=7</t>
  </si>
  <si>
    <t>Опорный план не является оптимальным, так как существуют оценки свободных клеток, для которых ui + vj &gt; cij (3;2)</t>
  </si>
  <si>
    <t>(3,2 → 3,3 → 2,3 → 2,2)</t>
  </si>
  <si>
    <t>v1=0</t>
  </si>
  <si>
    <t>v5=2</t>
  </si>
  <si>
    <t>u4=4</t>
  </si>
  <si>
    <t>Опорный план не является оптимальным, так как существуют оценки свободных клеток, для которых ui + vj &gt; cij (1;5)</t>
  </si>
  <si>
    <t>u3 + v1 = 5; 5 + v1 = 5; v1 = 0</t>
  </si>
  <si>
    <t>u4 + v1 = 4; 0 + u4 = 4; u4 = 4</t>
  </si>
  <si>
    <t>u4 + v5 = 6; 4 + v5 = 6; v5 = 2</t>
  </si>
  <si>
    <t>(1,5 → 1,2 → 3,2 → 3,1 → 4,1 → 4,5)</t>
  </si>
  <si>
    <t>v2=1</t>
  </si>
  <si>
    <t>v3=1</t>
  </si>
  <si>
    <t>v4=-1</t>
  </si>
  <si>
    <t>v5=1</t>
  </si>
  <si>
    <t>u2=1</t>
  </si>
  <si>
    <t>u3=6</t>
  </si>
  <si>
    <t>u5=-1</t>
  </si>
  <si>
    <t>u1 + v5 = 1; 0 + v5 = 1; v5 = 1</t>
  </si>
  <si>
    <t>u4 + v5 = 6; 1 + u4 = 6; u4 = 5</t>
  </si>
  <si>
    <t>u3 + v1 = 5; -1 + u3 = 5; u3 = 6</t>
  </si>
  <si>
    <t>u3 + v2 = 7; 6 + v2 = 7; v2 = 1</t>
  </si>
  <si>
    <t>u2 + v2 = 2; 1 + u2 = 2; u2 = 1</t>
  </si>
  <si>
    <t>u2 + v3 = 2; 1 + v3 = 2; v3 = 1</t>
  </si>
  <si>
    <t>u5 + v3 = 0; 1 + u5 = 0; u5 = -1</t>
  </si>
  <si>
    <t>u3 + v4 = 5; 6 + v4 = 5; v4 = -1</t>
  </si>
  <si>
    <t>z = 1*20 + 2*10 + 2*40 + 7*30 + 5*20 + 4*40 + 0*10 = 590</t>
  </si>
  <si>
    <t>1-й поставщик - весь груз направить в 5-й магазин.</t>
  </si>
  <si>
    <t>3-й поставщик - груз направить в 2-й магазин (30 ед.), в 4-й магазин (20 ед.)</t>
  </si>
  <si>
    <t>Задача имеет множество оптимальных планов, поскольку оценка для (3;1), (4;5) равна 0.</t>
  </si>
  <si>
    <t>С учетом граничений (x12&gt;=20, x34&lt;=20)</t>
  </si>
  <si>
    <t>z = 2*20 + 1*20 + 2*10 + 2*40 + 7*30 + 5*20 + 4*40 = 630</t>
  </si>
  <si>
    <t>1. Определить оптимальную схему прикрепления потребителей к перевалочным базам и перевалочных баз к поставщикам на основе решения двухэтапной транспортной задачи</t>
  </si>
  <si>
    <t>z = 14*x11 + 18*x12 + 16*x21 + 12*x22 + 10*x31 + 14*x32 + 8*x11 + 6*x12 + 4*x13 + 2*x14 + 10*x21 + 8*x22 + 6*x23 + 3*x24 -&gt; min</t>
  </si>
  <si>
    <t>m=3</t>
  </si>
  <si>
    <t>p=2</t>
  </si>
  <si>
    <t>n=4</t>
  </si>
  <si>
    <t>А1</t>
  </si>
  <si>
    <t>А2</t>
  </si>
  <si>
    <t>Д1</t>
  </si>
  <si>
    <t>Д2</t>
  </si>
  <si>
    <t>А3</t>
  </si>
  <si>
    <t>В1</t>
  </si>
  <si>
    <t>В2</t>
  </si>
  <si>
    <t>В3</t>
  </si>
  <si>
    <t>В4</t>
  </si>
  <si>
    <t>Матрица тарифов</t>
  </si>
  <si>
    <t>Поставщики-промежуточные базы (тарифы)</t>
  </si>
  <si>
    <t>Базы-потребители (тарифы)</t>
  </si>
  <si>
    <t>x11 + x21 + x31 &lt;= 350</t>
  </si>
  <si>
    <t>x12 + x22 + x32 &lt;= 450</t>
  </si>
  <si>
    <t>Решение на компьютере</t>
  </si>
  <si>
    <t>2. Сравнить полученное решение с решением путем раздельного прикрепления потребителей к базам и баз к поставщикам</t>
  </si>
  <si>
    <t>m + n - 1 = 5 =&gt; опорный план является невырожденным</t>
  </si>
  <si>
    <t>z = 14*250 + 18*90 + 12*150 + 10*100 + 0*210 = 7920</t>
  </si>
  <si>
    <t>u1 + v1 = 14; 0 + v1 = 14; v1 = 14</t>
  </si>
  <si>
    <t>u3 + v1 = 10; 14 + u3 = 10; u3 = -4</t>
  </si>
  <si>
    <t>u1 + v2 = 18; 0 + v2 = 18; v2 = 18</t>
  </si>
  <si>
    <t>u2 + v2 = 12; 18 + u2 = 12; u2 = -6</t>
  </si>
  <si>
    <t>u4 + v2 = 0; 18 + u4 = 0; u4 = -18</t>
  </si>
  <si>
    <t>v1=14</t>
  </si>
  <si>
    <t>v2=18</t>
  </si>
  <si>
    <t>u3=-4</t>
  </si>
  <si>
    <t>u4=-18</t>
  </si>
  <si>
    <t>Опорный план является оптимальным, так все оценки свободных клеток удовлетворяют условию ui + vj ≤ cij.</t>
  </si>
  <si>
    <t>Потребность 2-й базы остается неудовлетворенной на 210 ед.</t>
  </si>
  <si>
    <t>2-й поставщик - весь груз направить в 2-ую базу.</t>
  </si>
  <si>
    <t>3-й поставщик - весь груз направить в 1-ую базу.</t>
  </si>
  <si>
    <t>m + n - 1 = 6 =&gt; опорный план является невырожденным</t>
  </si>
  <si>
    <t>z = 6*120 + 4*130 + 2*100 + 10*200 + 8*40 + 0*210 = 3760</t>
  </si>
  <si>
    <t>u1 + v2 = 6; 0 + v2 = 6; v2 = 6</t>
  </si>
  <si>
    <t>u2 + v2 = 8; 6 + u2 = 8; u2 = 2</t>
  </si>
  <si>
    <t>u2 + v1 = 10; 2 + v1 = 10; v1 = 8</t>
  </si>
  <si>
    <t>u2 + v5 = 0; 2 + v5 = 0; v5 = -2</t>
  </si>
  <si>
    <t>u1 + v3 = 4; 0 + v3 = 4; v3 = 4</t>
  </si>
  <si>
    <t>u1 + v4 = 2; 0 + v4 = 2; v4 = 2</t>
  </si>
  <si>
    <t>v1=8</t>
  </si>
  <si>
    <t>v3=4</t>
  </si>
  <si>
    <t>v5=-2</t>
  </si>
  <si>
    <t>u2=2</t>
  </si>
  <si>
    <t>v4=2</t>
  </si>
  <si>
    <t>Опорный план не является оптимальным, так как существуют оценки свободных клеток, для которых ui + vj &gt; cij (2;4)</t>
  </si>
  <si>
    <t>100 [-]</t>
  </si>
  <si>
    <t>120 [+]</t>
  </si>
  <si>
    <t>(2,4 → 2,2 → 1,2 → 1,4)</t>
  </si>
  <si>
    <t>u2 + v4 = 3; 2 + u2 = 3; u2 = 1</t>
  </si>
  <si>
    <t>u2 + v1 = 10; 1 + v1 = 10; v1 = 9</t>
  </si>
  <si>
    <t>u2 + v5 = 0; 1 + v5 = 0; v5 = -1</t>
  </si>
  <si>
    <t>v1=9</t>
  </si>
  <si>
    <t>Опорный план не является оптимальным, так как существуют оценки свободных клеток, для которых ui + vj &gt; cij (1;1)</t>
  </si>
  <si>
    <t>60 [-]</t>
  </si>
  <si>
    <t>200 [-]</t>
  </si>
  <si>
    <t>(1,1 → 1,4 → 2,4 → 2,1)</t>
  </si>
  <si>
    <t>u1 + v1 = 8; 0 + v1 = 8; v1 = 8</t>
  </si>
  <si>
    <t>u2 + v1 = 10; 8 + u2 = 10; u2 = 2</t>
  </si>
  <si>
    <t>u2 + v4 = 3; 2 + v4 = 3; v4 = 1</t>
  </si>
  <si>
    <t>z = 8*60 + 6*160 + 4*130 + 10*140 + 3*100 + 0*210 = 3660</t>
  </si>
  <si>
    <t>1-й поставщик - 250 ед. груза направить в 1-ую базу, в 2-ую базу - 90 ед.</t>
  </si>
  <si>
    <t>1-я база - 60 ед. груза направить 1-му потребителю, 2-му потребителю - 160 ед., 3-му потребителю - 130 ед.</t>
  </si>
  <si>
    <t>2-я база - 140 ед. груза направить 1-му потребителю, 4-му потребителю - 100 ед.</t>
  </si>
  <si>
    <t>Полученное решение на основе двухэтапной транспортной задачи с применением надстройки "Поиск решения" совпадает с решением путем раздельного прикрепления потребителей к базам и баз к поставщикам, как в оптимальном плане, так и в значении целевой функции</t>
  </si>
  <si>
    <t>x11 + x12 = 340</t>
  </si>
  <si>
    <t>x21 + x22 = 150</t>
  </si>
  <si>
    <t>x31 + x32 = 100</t>
  </si>
  <si>
    <t>x11 + x21 = 200</t>
  </si>
  <si>
    <t>x12 + x22 = 160</t>
  </si>
  <si>
    <t>x13 + x23 = 130</t>
  </si>
  <si>
    <t>x14 + x24 = 100</t>
  </si>
  <si>
    <t>z = 5*x11 + 6*x12 + 3*x13 + 8*x14 + 1*x21 + 1*x22 + 2*x23 + 3*x24 + 2*x31 + 5*x32 + 4*x33 + 4*x34 + 6*x41 + 3*x42 + 5*x43 + 9*x44 -&gt; min</t>
  </si>
  <si>
    <t>x11 + x12 + x13 + x14 = 500</t>
  </si>
  <si>
    <t>x21 + x22 + x23 + x24 = 1000</t>
  </si>
  <si>
    <t>x31 + x32 + x33 + x34 = 1500</t>
  </si>
  <si>
    <t>x41 + x42 + x43 + x44 = 2000</t>
  </si>
  <si>
    <t>x11 + x21 + x31 + x41 &lt;= 1000</t>
  </si>
  <si>
    <t>x12 + x22 + x32 + x42 &lt;= 1000</t>
  </si>
  <si>
    <t>x13 + x23 + x33 + x43 &lt;= 2000</t>
  </si>
  <si>
    <t>x14 + x24 + x34 + x44 &lt;= 2000</t>
  </si>
  <si>
    <t>Спрос превышает возможные поставки на 1000 единиц, введем фиктивную базу с запасом груза равным 1000. Тарифы перевозки единицы груза из базы полагаем равны нулю.</t>
  </si>
  <si>
    <t>∆=</t>
  </si>
  <si>
    <t>u1 + v4 = 8; 0 + v4 = 8; v4 = 8</t>
  </si>
  <si>
    <t>v4=8</t>
  </si>
  <si>
    <t>Cij - (Ui + Vj)</t>
  </si>
  <si>
    <t>1000 [-]</t>
  </si>
  <si>
    <t>u1 + v3 = 3; 0 + v3 = 3; v3 = 3</t>
  </si>
  <si>
    <t>u3 + v3 = 4; 3 + u3 = 4; u3 = 1</t>
  </si>
  <si>
    <t>u3=1</t>
  </si>
  <si>
    <t>z = 0*1000 + 1*1000 + 3*500 + 4*1500 + 3*500 + 9*2000 = 28000</t>
  </si>
  <si>
    <t>u4 + v4 = 9; 8 + u4 = 9; u4 = 1</t>
  </si>
  <si>
    <t>u4=1</t>
  </si>
  <si>
    <t>u5 + v4 = 0; 8 + u5 = 0; u5 = -8</t>
  </si>
  <si>
    <t>u5 + v1 = 0; -8 + v1 = 0; v1 = 8</t>
  </si>
  <si>
    <t>v1=-8</t>
  </si>
  <si>
    <t>u2 + v1 = 1; -8 + u2 = 1; u2 = 9</t>
  </si>
  <si>
    <t>u2=9</t>
  </si>
  <si>
    <t>u2 + v2 = 1; 9 + v2 = 1; v2 = -8</t>
  </si>
  <si>
    <t>v2=-8</t>
  </si>
  <si>
    <t>∆=13</t>
  </si>
  <si>
    <t>∆=14</t>
  </si>
  <si>
    <t>∆=-10</t>
  </si>
  <si>
    <t>∆=-14</t>
  </si>
  <si>
    <t>∆=9</t>
  </si>
  <si>
    <t>∆=12</t>
  </si>
  <si>
    <t>∆=-5</t>
  </si>
  <si>
    <t>∆=10</t>
  </si>
  <si>
    <t>∆=16</t>
  </si>
  <si>
    <t>Опорный план не является оптимальным, так как существуют оценки свободных клеток, для которых ui + vj &gt; cij (2;3) (2;4) (3;4)</t>
  </si>
  <si>
    <t>∆=-14 [+]</t>
  </si>
  <si>
    <t>u2 + v4 = 3; 8 + u2 = 3; u2 = -5</t>
  </si>
  <si>
    <t>u2=-5</t>
  </si>
  <si>
    <t>u2 + v2 = 1; -5 + v2 = 1; v2 = 6</t>
  </si>
  <si>
    <t>u3 + v1 = 2; 1 + v1 = 2; v1 = 1</t>
  </si>
  <si>
    <t>u2 + v4 = 3; 0 + v4 = 3; v4 = 3</t>
  </si>
  <si>
    <t>v4=3</t>
  </si>
  <si>
    <t>u5 + v4 = 0; 3 + u5 = 0; u5 = -3</t>
  </si>
  <si>
    <t>1000 [+]</t>
  </si>
  <si>
    <t>1500 [-]</t>
  </si>
  <si>
    <t>(2,4 → 2,1 → 5,1 → 5,4)</t>
  </si>
  <si>
    <t>u5 + v1 = 0; -8 + v1 = 0; v1 = -8</t>
  </si>
  <si>
    <t>Опорный план не является оптимальным, так как существуют оценки свободных клеток, для которых ui + vj &gt; cij (1;1) (2;1) (3;1) (3;2) (3;4) (4;1) (4;2)</t>
  </si>
  <si>
    <t>d=-7 [+]</t>
  </si>
  <si>
    <t>500 [+]</t>
  </si>
  <si>
    <t>(3,1 → 4,1 → 4,4 → 1,4 → 1,3 → 3,3)</t>
  </si>
  <si>
    <t>v1=</t>
  </si>
  <si>
    <t>v2=</t>
  </si>
  <si>
    <t>v4=</t>
  </si>
  <si>
    <t>u2=</t>
  </si>
  <si>
    <t>u3=</t>
  </si>
  <si>
    <t>u4=</t>
  </si>
  <si>
    <t>u5=</t>
  </si>
  <si>
    <t>u5 + v1 = 0; 1 + u5 = 0; u5 = -1</t>
  </si>
  <si>
    <t>u5 + v4 = 0; -1 + v4 = 0; v4 = 1</t>
  </si>
  <si>
    <t>u2 + v4 = 3; 1 + u2 = 3; u2 = 2</t>
  </si>
  <si>
    <t>v2=-1</t>
  </si>
  <si>
    <t>u2 + v2 = 1; 2 + v2 = 1; v2 = -1</t>
  </si>
  <si>
    <t>u4=8</t>
  </si>
  <si>
    <t>u4 + v4 = 9; 1 + u4 = 9; u4 = 8</t>
  </si>
  <si>
    <t>Опорный план не является оптимальным, так как существуют оценки свободных клеток, для которых ui + vj &gt; cij (2;1) (2;3) (4;1) (4;2) (4;3) (5;3)</t>
  </si>
  <si>
    <t>d=-6 [+]</t>
  </si>
  <si>
    <t>(4,3 → 4,4 → 5,4 → 5,1 → 3,1 → 3,3)</t>
  </si>
  <si>
    <t>u4 + v3 = 5; 3 + u4 = 5; u4 = 2</t>
  </si>
  <si>
    <t>u4=2</t>
  </si>
  <si>
    <t>v4=7</t>
  </si>
  <si>
    <t>u4 + v4 = 9; 2 + v4 = 9; v4 = 7</t>
  </si>
  <si>
    <t>u5=-7</t>
  </si>
  <si>
    <t>u5 + v4 = 0; 7 + u5 = 0; u5 = -7</t>
  </si>
  <si>
    <t>u2 + v4 = 3; 7 + u2 = 3; u2 = -4</t>
  </si>
  <si>
    <t>u2 + v2 = 1; -4 + v2 = 1; v2 = 5</t>
  </si>
  <si>
    <t>v2=5</t>
  </si>
  <si>
    <t>Опорный план не является оптимальным, так как существуют оценки свободных клеток, для которых ui + vj &gt; cij (3;2) (3;4) (4;2)</t>
  </si>
  <si>
    <t>d=-4</t>
  </si>
  <si>
    <t>d=-4 [+]</t>
  </si>
  <si>
    <t>u4 + v2 = 3; 2 + v2 = 3; v2 = 1</t>
  </si>
  <si>
    <t>u2 + v2 = 1; 1 + u2 = 1; u2 = 0</t>
  </si>
  <si>
    <t>Опорный план не является оптимальным, так как существуют оценки свободных клеток, для которых ui + vj &gt; cij (3;3)</t>
  </si>
  <si>
    <t>d=-1 [+]</t>
  </si>
  <si>
    <t>u3 + v1 = 2; 1 + u3 = 2; u3 = 1</t>
  </si>
  <si>
    <t>u2 + v3 = 2; 3 + u2 = 2; u2 = -1</t>
  </si>
  <si>
    <t>u2 + v4 = 3; -1 + v4 = 3; v4 = 4</t>
  </si>
  <si>
    <t>v4=4</t>
  </si>
  <si>
    <t>u4 + v3 = 5; 3 + u4 = 3; u4 = 2</t>
  </si>
  <si>
    <t>u5=-4</t>
  </si>
  <si>
    <t>u5 + v4 = 0; 4 + u5 = 0; u5 = -4</t>
  </si>
  <si>
    <t>u4 + v2 = 3; 2 + v2 = 1; v2 = 1</t>
  </si>
  <si>
    <t>(4,2 → 4,4 → 2,4 → 2,2)</t>
  </si>
  <si>
    <t>(2,3 → 2,2 → 4,2 → 4,3)</t>
  </si>
  <si>
    <t>d=-1</t>
  </si>
  <si>
    <t>d=-1[+]</t>
  </si>
  <si>
    <t>500 [-]</t>
  </si>
  <si>
    <t>2000 [-]</t>
  </si>
  <si>
    <t>u3 + v4 = 4; 4 + u3 = 4; u3 = 0</t>
  </si>
  <si>
    <t>u3=0</t>
  </si>
  <si>
    <t>u3 + v1 = 2; 0 + v1 = 2; v1 = 2</t>
  </si>
  <si>
    <t>v1=2</t>
  </si>
  <si>
    <t>(3,4 → 3,3 → 2,3 → 2,4)</t>
  </si>
  <si>
    <t>z = 2*1000 + 3*1000 + 5*1000 + 2*500 + 3*500 + 3*500 + 4*500 + 0 * 1000 = 16000</t>
  </si>
  <si>
    <t>1-й поставщик - весь груз направить в 3-й магазин.</t>
  </si>
  <si>
    <t>2-й поставщик - груз направить в 3-й магазин (500 ед.), в 4-й магазин (500 ед.)</t>
  </si>
  <si>
    <t>3-й поставщик - груз направить в 1-й магазин (1000 ед.), в 4-й магазин (500 ед.)</t>
  </si>
  <si>
    <t>4-й поставщик - груз направить в 2-й магазин (1000 ед.), в 3-й магазин (1000 ед.)</t>
  </si>
  <si>
    <t>Потребность 4-го магазина остается неудовлетворенной на 1000 ед.</t>
  </si>
  <si>
    <t>Оптимальный план является вырожденным, так как базисная переменная x54=0.</t>
  </si>
  <si>
    <t>Microsoft Excel 16.0 Отчет о результатах</t>
  </si>
  <si>
    <t>Лист: [ЛР3 В3 Бражалович 351004.xlsx]Задание 1</t>
  </si>
  <si>
    <t>Отчет создан: 05.11.2025 1:40:25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</si>
  <si>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</si>
  <si>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</si>
  <si>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нелинейных задач методом ОПГ</t>
  </si>
  <si>
    <t>Время решения: 0,032 секунд.</t>
  </si>
  <si>
    <t>Число итераций: 0 Число подзадач: 0</t>
  </si>
  <si>
    <t>Параметры поиска решения</t>
  </si>
  <si>
    <t>Максимальное время Без пределов,  Число итераций Без пределов, Precision 0,000001</t>
  </si>
  <si>
    <t xml:space="preserve"> Сходимость 0,0001, Размер совокупности 0, Случайное начальное значение 0, Правые производные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</si>
  <si>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</si>
  <si>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</si>
  <si>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</si>
  <si>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</si>
  <si>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</si>
  <si>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</si>
  <si>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</si>
  <si>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</si>
  <si>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</si>
  <si>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</si>
  <si>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</si>
  <si>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</si>
  <si>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</si>
  <si>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$H$346</t>
  </si>
  <si>
    <t>$H$340</t>
  </si>
  <si>
    <t>$I$340</t>
  </si>
  <si>
    <t>$J$340</t>
  </si>
  <si>
    <t>$K$340</t>
  </si>
  <si>
    <t>$H$341</t>
  </si>
  <si>
    <t>$I$341</t>
  </si>
  <si>
    <t>$J$341</t>
  </si>
  <si>
    <t>$K$341</t>
  </si>
  <si>
    <t>$H$342</t>
  </si>
  <si>
    <t>$I$342</t>
  </si>
  <si>
    <t>$J$342</t>
  </si>
  <si>
    <t>$K$342</t>
  </si>
  <si>
    <t>$H$343</t>
  </si>
  <si>
    <t>$I$343</t>
  </si>
  <si>
    <t>$J$343</t>
  </si>
  <si>
    <t>$K$343</t>
  </si>
  <si>
    <t>$H$344</t>
  </si>
  <si>
    <t>$I$344</t>
  </si>
  <si>
    <t>$J$344</t>
  </si>
  <si>
    <t>$K$344</t>
  </si>
  <si>
    <t>$A$340</t>
  </si>
  <si>
    <t>$A$340=$G$340</t>
  </si>
  <si>
    <t>Привязка</t>
  </si>
  <si>
    <t>$A$341</t>
  </si>
  <si>
    <t>$A$341=$G$341</t>
  </si>
  <si>
    <t>$A$342</t>
  </si>
  <si>
    <t>$A$342=$G$342</t>
  </si>
  <si>
    <t>$A$343</t>
  </si>
  <si>
    <t>$A$343=$G$343</t>
  </si>
  <si>
    <t>$A$344</t>
  </si>
  <si>
    <t>$A$344=$G$344</t>
  </si>
  <si>
    <t>$B$339</t>
  </si>
  <si>
    <t>ai \ bi v1=2</t>
  </si>
  <si>
    <t>$B$339=$H$339</t>
  </si>
  <si>
    <t>$C$339</t>
  </si>
  <si>
    <t>ai \ bi v2=1</t>
  </si>
  <si>
    <t>$C$339=$I$339</t>
  </si>
  <si>
    <t>$D$339</t>
  </si>
  <si>
    <t>ai \ bi v3=3</t>
  </si>
  <si>
    <t>$D$339=$J$339</t>
  </si>
  <si>
    <t>$E$339</t>
  </si>
  <si>
    <t>ai \ bi v4=4</t>
  </si>
  <si>
    <t>$E$339=$K$339</t>
  </si>
  <si>
    <t>$H$340&gt;=0</t>
  </si>
  <si>
    <t>$I$340&gt;=0</t>
  </si>
  <si>
    <t>$J$340&gt;=0</t>
  </si>
  <si>
    <t>$K$340&gt;=0</t>
  </si>
  <si>
    <t>$H$341&gt;=0</t>
  </si>
  <si>
    <t>$I$341&gt;=0</t>
  </si>
  <si>
    <t>$J$341&gt;=0</t>
  </si>
  <si>
    <t>$K$341&gt;=0</t>
  </si>
  <si>
    <t>$H$342&gt;=0</t>
  </si>
  <si>
    <t>$I$342&gt;=0</t>
  </si>
  <si>
    <t>$J$342&gt;=0</t>
  </si>
  <si>
    <t>$K$342&gt;=0</t>
  </si>
  <si>
    <t>$H$343&gt;=0</t>
  </si>
  <si>
    <t>$I$343&gt;=0</t>
  </si>
  <si>
    <t>$J$343&gt;=0</t>
  </si>
  <si>
    <t>$K$343&gt;=0</t>
  </si>
  <si>
    <t>$H$344&gt;=0</t>
  </si>
  <si>
    <t>$I$344&gt;=0</t>
  </si>
  <si>
    <t>$J$344&gt;=0</t>
  </si>
  <si>
    <t>$K$344&gt;=0</t>
  </si>
  <si>
    <t>$H$340:$K$344=Целочисленное</t>
  </si>
  <si>
    <t>x21&lt;=500</t>
  </si>
  <si>
    <t>x44&gt;=1000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</si>
</sst>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color theme="1"/>
      <name val="Calibri"/>
      <family val="2"/>
      <charset val="204"/>
      <scheme val="minor"/>
    </font>
    <font>
      <sz val="10"/>
      <color rgb="FF000000"/>
      <name val="Arial Black"/>
      <family val="2"/>
    </font>
    <font>
      <sz val="8"/>
      <color rgb="FF333333"/>
      <name val="Arial"/>
      <family val="2"/>
    </font>
    <font>
      <sz val="10"/>
      <color rgb="FF333333"/>
      <name val="Arial Black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0" fontId="2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1" applyFont="1"/>
    <xf numFmtId="0" fontId="1" fillId="0" borderId="7" xfId="1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1" applyFont="1" applyBorder="1" applyAlignment="1">
      <alignment wrapText="1"/>
    </xf>
    <xf numFmtId="0" fontId="1" fillId="0" borderId="11" xfId="0" applyFont="1" applyBorder="1"/>
    <xf numFmtId="0" fontId="1" fillId="0" borderId="11" xfId="1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3" borderId="6" xfId="1" applyFont="1" applyFill="1" applyBorder="1" applyAlignment="1">
      <alignment wrapText="1"/>
    </xf>
    <xf numFmtId="0" fontId="1" fillId="3" borderId="3" xfId="0" applyFont="1" applyFill="1" applyBorder="1" applyAlignment="1">
      <alignment horizontal="left"/>
    </xf>
    <xf numFmtId="0" fontId="1" fillId="4" borderId="6" xfId="1" applyFont="1" applyFill="1" applyBorder="1" applyAlignment="1">
      <alignment wrapText="1"/>
    </xf>
    <xf numFmtId="0" fontId="1" fillId="4" borderId="3" xfId="0" applyFont="1" applyFill="1" applyBorder="1" applyAlignment="1">
      <alignment horizontal="left"/>
    </xf>
    <xf numFmtId="0" fontId="1" fillId="4" borderId="11" xfId="1" applyFont="1" applyFill="1" applyBorder="1" applyAlignment="1">
      <alignment wrapText="1"/>
    </xf>
    <xf numFmtId="0" fontId="1" fillId="3" borderId="11" xfId="1" applyFont="1" applyFill="1" applyBorder="1" applyAlignment="1">
      <alignment wrapText="1"/>
    </xf>
    <xf numFmtId="0" fontId="1" fillId="0" borderId="6" xfId="1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1" fillId="0" borderId="11" xfId="1" applyFont="1" applyFill="1" applyBorder="1" applyAlignment="1">
      <alignment wrapText="1"/>
    </xf>
    <xf numFmtId="0" fontId="3" fillId="5" borderId="1" xfId="1" applyFont="1" applyFill="1" applyBorder="1" applyAlignment="1">
      <alignment wrapText="1"/>
    </xf>
    <xf numFmtId="0" fontId="3" fillId="5" borderId="9" xfId="1" applyFont="1" applyFill="1" applyBorder="1" applyAlignment="1">
      <alignment wrapText="1"/>
    </xf>
    <xf numFmtId="0" fontId="1" fillId="0" borderId="10" xfId="0" applyFont="1" applyBorder="1"/>
    <xf numFmtId="0" fontId="1" fillId="0" borderId="9" xfId="0" applyFont="1" applyBorder="1"/>
    <xf numFmtId="0" fontId="1" fillId="0" borderId="6" xfId="0" applyFont="1" applyBorder="1"/>
    <xf numFmtId="0" fontId="3" fillId="0" borderId="0" xfId="1" applyFont="1" applyFill="1" applyBorder="1" applyAlignment="1">
      <alignment wrapText="1"/>
    </xf>
    <xf numFmtId="0" fontId="3" fillId="5" borderId="6" xfId="1" applyFont="1" applyFill="1" applyBorder="1" applyAlignment="1">
      <alignment wrapText="1"/>
    </xf>
    <xf numFmtId="0" fontId="1" fillId="3" borderId="3" xfId="0" applyFont="1" applyFill="1" applyBorder="1"/>
    <xf numFmtId="0" fontId="1" fillId="3" borderId="11" xfId="0" applyFont="1" applyFill="1" applyBorder="1"/>
    <xf numFmtId="0" fontId="1" fillId="3" borderId="6" xfId="0" applyFont="1" applyFill="1" applyBorder="1"/>
    <xf numFmtId="0" fontId="1" fillId="4" borderId="11" xfId="0" applyFont="1" applyFill="1" applyBorder="1"/>
    <xf numFmtId="0" fontId="1" fillId="4" borderId="6" xfId="0" applyFont="1" applyFill="1" applyBorder="1"/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1" xfId="1" applyFont="1" applyBorder="1" applyAlignment="1">
      <alignment wrapText="1"/>
    </xf>
    <xf numFmtId="0" fontId="1" fillId="6" borderId="1" xfId="0" applyFont="1" applyFill="1" applyBorder="1" applyAlignme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6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3" borderId="7" xfId="1" applyFont="1" applyFill="1" applyBorder="1" applyAlignment="1">
      <alignment wrapText="1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/>
    <xf numFmtId="0" fontId="1" fillId="3" borderId="4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10" xfId="0" applyFont="1" applyFill="1" applyBorder="1"/>
    <xf numFmtId="0" fontId="1" fillId="0" borderId="4" xfId="0" applyFont="1" applyFill="1" applyBorder="1"/>
    <xf numFmtId="0" fontId="1" fillId="3" borderId="9" xfId="0" applyFont="1" applyFill="1" applyBorder="1"/>
    <xf numFmtId="0" fontId="1" fillId="3" borderId="5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4" xfId="0" applyFont="1" applyFill="1" applyBorder="1" applyAlignment="1">
      <alignment horizontal="left"/>
    </xf>
    <xf numFmtId="0" fontId="1" fillId="4" borderId="9" xfId="0" applyFont="1" applyFill="1" applyBorder="1"/>
    <xf numFmtId="0" fontId="1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0" xfId="0" applyFont="1" applyFill="1"/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0" borderId="0" xfId="0" applyFont="1" applyFill="1" applyAlignment="1"/>
    <xf numFmtId="0" fontId="1" fillId="0" borderId="0" xfId="1" applyFont="1" applyFill="1" applyBorder="1" applyAlignment="1">
      <alignment wrapText="1"/>
    </xf>
    <xf numFmtId="0" fontId="1" fillId="7" borderId="6" xfId="0" applyNumberFormat="1" applyFont="1" applyFill="1" applyBorder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1" fillId="7" borderId="6" xfId="0" applyNumberFormat="1" applyFont="1" applyFill="1" applyBorder="1" applyAlignment="1">
      <alignment horizontal="right"/>
    </xf>
    <xf numFmtId="0" fontId="1" fillId="0" borderId="6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right"/>
    </xf>
    <xf numFmtId="0" fontId="1" fillId="3" borderId="6" xfId="0" applyNumberFormat="1" applyFont="1" applyFill="1" applyBorder="1" applyAlignment="1">
      <alignment horizontal="right"/>
    </xf>
    <xf numFmtId="0" fontId="1" fillId="3" borderId="3" xfId="0" applyNumberFormat="1" applyFont="1" applyFill="1" applyBorder="1" applyAlignment="1">
      <alignment horizontal="left"/>
    </xf>
    <xf numFmtId="0" fontId="1" fillId="4" borderId="11" xfId="0" applyNumberFormat="1" applyFont="1" applyFill="1" applyBorder="1" applyAlignment="1">
      <alignment horizontal="right"/>
    </xf>
    <xf numFmtId="0" fontId="1" fillId="4" borderId="3" xfId="0" applyNumberFormat="1" applyFont="1" applyFill="1" applyBorder="1" applyAlignment="1">
      <alignment horizontal="left"/>
    </xf>
    <xf numFmtId="0" fontId="3" fillId="0" borderId="0" xfId="1" applyFont="1" applyFill="1" applyBorder="1" applyAlignment="1"/>
    <xf numFmtId="0" fontId="1" fillId="0" borderId="0" xfId="0" applyFont="1" applyAlignment="1">
      <alignment vertical="top" wrapText="1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3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6" fillId="0" borderId="0" xfId="0" applyFont="1"/>
    <xf numFmtId="0" fontId="0" fillId="0" borderId="38" xfId="0" applyFill="1" applyBorder="1" applyAlignment="1"/>
    <xf numFmtId="0" fontId="7" fillId="0" borderId="37" xfId="0" applyFont="1" applyFill="1" applyBorder="1" applyAlignment="1">
      <alignment horizontal="center"/>
    </xf>
    <xf numFmtId="0" fontId="0" fillId="0" borderId="39" xfId="0" applyFill="1" applyBorder="1" applyAlignment="1"/>
    <xf numFmtId="0" fontId="0" fillId="0" borderId="38" xfId="0" applyNumberFormat="1" applyFill="1" applyBorder="1" applyAlignment="1"/>
    <xf numFmtId="0" fontId="0" fillId="0" borderId="39" xfId="0" applyNumberFormat="1" applyFill="1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0" xfId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2">
    <cellStyle name="Normal 2" xfId="1" xr:uid="{466E1C6A-CFDD-494A-8068-6F4078A7D8F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10</xdr:row>
      <xdr:rowOff>44174</xdr:rowOff>
    </xdr:from>
    <xdr:to>
      <xdr:col>3</xdr:col>
      <xdr:colOff>519431</xdr:colOff>
      <xdr:row>14</xdr:row>
      <xdr:rowOff>45444</xdr:rowOff>
    </xdr:to>
    <xdr:pic>
      <xdr:nvPicPr>
        <xdr:cNvPr id="3" name="Рисунок 3">
          <a:extLst>
            <a:ext uri="{FF2B5EF4-FFF2-40B4-BE49-F238E27FC236}">
              <a16:creationId xmlns:a16="http://schemas.microsoft.com/office/drawing/2014/main" id="{33C3E354-65BD-4B46-BD79-B680AFEAAE5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142435"/>
          <a:ext cx="2341604" cy="840574"/>
        </a:xfrm>
        <a:prstGeom prst="rect">
          <a:avLst/>
        </a:prstGeom>
      </xdr:spPr>
    </xdr:pic>
    <xdr:clientData/>
  </xdr:twoCellAnchor>
  <xdr:twoCellAnchor>
    <xdr:from>
      <xdr:col>50</xdr:col>
      <xdr:colOff>324787</xdr:colOff>
      <xdr:row>362</xdr:row>
      <xdr:rowOff>124918</xdr:rowOff>
    </xdr:from>
    <xdr:to>
      <xdr:col>51</xdr:col>
      <xdr:colOff>362263</xdr:colOff>
      <xdr:row>365</xdr:row>
      <xdr:rowOff>24984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47D4176-5464-4F4B-8492-26A17B93214E}"/>
            </a:ext>
          </a:extLst>
        </xdr:cNvPr>
        <xdr:cNvCxnSpPr/>
      </xdr:nvCxnSpPr>
      <xdr:spPr>
        <a:xfrm>
          <a:off x="30992164" y="54888984"/>
          <a:ext cx="649574" cy="499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499673</xdr:colOff>
      <xdr:row>364</xdr:row>
      <xdr:rowOff>137410</xdr:rowOff>
    </xdr:from>
    <xdr:to>
      <xdr:col>52</xdr:col>
      <xdr:colOff>312295</xdr:colOff>
      <xdr:row>365</xdr:row>
      <xdr:rowOff>37476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AAEABD8-E3DF-4A84-ADF6-20EC535D57A6}"/>
            </a:ext>
          </a:extLst>
        </xdr:cNvPr>
        <xdr:cNvCxnSpPr/>
      </xdr:nvCxnSpPr>
      <xdr:spPr>
        <a:xfrm flipV="1">
          <a:off x="31779148" y="55301213"/>
          <a:ext cx="424721" cy="999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362262</xdr:colOff>
      <xdr:row>364</xdr:row>
      <xdr:rowOff>174886</xdr:rowOff>
    </xdr:from>
    <xdr:to>
      <xdr:col>52</xdr:col>
      <xdr:colOff>462196</xdr:colOff>
      <xdr:row>368</xdr:row>
      <xdr:rowOff>124918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E255201-F048-45A0-84B2-1927CD2D805B}"/>
            </a:ext>
          </a:extLst>
        </xdr:cNvPr>
        <xdr:cNvCxnSpPr/>
      </xdr:nvCxnSpPr>
      <xdr:spPr>
        <a:xfrm flipH="1">
          <a:off x="31029639" y="55338689"/>
          <a:ext cx="1324131" cy="7495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387246</xdr:colOff>
      <xdr:row>366</xdr:row>
      <xdr:rowOff>187377</xdr:rowOff>
    </xdr:from>
    <xdr:to>
      <xdr:col>53</xdr:col>
      <xdr:colOff>387246</xdr:colOff>
      <xdr:row>369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68A7760-A3B1-4451-9395-0A5542BE373E}"/>
            </a:ext>
          </a:extLst>
        </xdr:cNvPr>
        <xdr:cNvCxnSpPr/>
      </xdr:nvCxnSpPr>
      <xdr:spPr>
        <a:xfrm flipV="1">
          <a:off x="31054623" y="55750918"/>
          <a:ext cx="1836295" cy="412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537148</xdr:colOff>
      <xdr:row>367</xdr:row>
      <xdr:rowOff>74951</xdr:rowOff>
    </xdr:from>
    <xdr:to>
      <xdr:col>54</xdr:col>
      <xdr:colOff>362263</xdr:colOff>
      <xdr:row>368</xdr:row>
      <xdr:rowOff>174885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4931EDA-71D7-4165-95E4-0E13A4BBD531}"/>
            </a:ext>
          </a:extLst>
        </xdr:cNvPr>
        <xdr:cNvCxnSpPr/>
      </xdr:nvCxnSpPr>
      <xdr:spPr>
        <a:xfrm>
          <a:off x="33040820" y="55838361"/>
          <a:ext cx="437213" cy="2998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387246</xdr:colOff>
      <xdr:row>366</xdr:row>
      <xdr:rowOff>174885</xdr:rowOff>
    </xdr:from>
    <xdr:to>
      <xdr:col>54</xdr:col>
      <xdr:colOff>287312</xdr:colOff>
      <xdr:row>369</xdr:row>
      <xdr:rowOff>124918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5A45E67-81E4-41A1-AE29-10322DB3EBFC}"/>
            </a:ext>
          </a:extLst>
        </xdr:cNvPr>
        <xdr:cNvCxnSpPr/>
      </xdr:nvCxnSpPr>
      <xdr:spPr>
        <a:xfrm flipH="1" flipV="1">
          <a:off x="32278820" y="55738426"/>
          <a:ext cx="1124262" cy="549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212360</xdr:colOff>
      <xdr:row>366</xdr:row>
      <xdr:rowOff>124918</xdr:rowOff>
    </xdr:from>
    <xdr:to>
      <xdr:col>52</xdr:col>
      <xdr:colOff>337278</xdr:colOff>
      <xdr:row>371</xdr:row>
      <xdr:rowOff>24984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207B1EB-82B2-47FA-94AA-053956D905BA}"/>
            </a:ext>
          </a:extLst>
        </xdr:cNvPr>
        <xdr:cNvCxnSpPr/>
      </xdr:nvCxnSpPr>
      <xdr:spPr>
        <a:xfrm>
          <a:off x="32103934" y="55688459"/>
          <a:ext cx="124918" cy="899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</xdr:colOff>
      <xdr:row>0</xdr:row>
      <xdr:rowOff>179294</xdr:rowOff>
    </xdr:from>
    <xdr:to>
      <xdr:col>4</xdr:col>
      <xdr:colOff>7472</xdr:colOff>
      <xdr:row>9</xdr:row>
      <xdr:rowOff>2695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838DF69-DF86-40B3-945F-8DEAD70F3B5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79294"/>
          <a:ext cx="2487706" cy="1571519"/>
        </a:xfrm>
        <a:prstGeom prst="rect">
          <a:avLst/>
        </a:prstGeom>
      </xdr:spPr>
    </xdr:pic>
    <xdr:clientData/>
  </xdr:twoCellAnchor>
  <xdr:twoCellAnchor>
    <xdr:from>
      <xdr:col>31</xdr:col>
      <xdr:colOff>425450</xdr:colOff>
      <xdr:row>28</xdr:row>
      <xdr:rowOff>158750</xdr:rowOff>
    </xdr:from>
    <xdr:to>
      <xdr:col>32</xdr:col>
      <xdr:colOff>317500</xdr:colOff>
      <xdr:row>34</xdr:row>
      <xdr:rowOff>146050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C31B79EC-796C-46F9-908E-F80E54497586}"/>
            </a:ext>
          </a:extLst>
        </xdr:cNvPr>
        <xdr:cNvCxnSpPr/>
      </xdr:nvCxnSpPr>
      <xdr:spPr>
        <a:xfrm flipV="1">
          <a:off x="19780250" y="5670550"/>
          <a:ext cx="514350" cy="116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520700</xdr:colOff>
      <xdr:row>27</xdr:row>
      <xdr:rowOff>31750</xdr:rowOff>
    </xdr:from>
    <xdr:to>
      <xdr:col>33</xdr:col>
      <xdr:colOff>323850</xdr:colOff>
      <xdr:row>28</xdr:row>
      <xdr:rowOff>165100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DB640D7A-2928-4E3F-9B8E-85E60837D4FE}"/>
            </a:ext>
          </a:extLst>
        </xdr:cNvPr>
        <xdr:cNvCxnSpPr/>
      </xdr:nvCxnSpPr>
      <xdr:spPr>
        <a:xfrm flipV="1">
          <a:off x="20497800" y="5346700"/>
          <a:ext cx="42545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406400</xdr:colOff>
      <xdr:row>27</xdr:row>
      <xdr:rowOff>82550</xdr:rowOff>
    </xdr:from>
    <xdr:to>
      <xdr:col>33</xdr:col>
      <xdr:colOff>508000</xdr:colOff>
      <xdr:row>30</xdr:row>
      <xdr:rowOff>171450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5240091A-6F97-4C5B-BC23-89CC36D08B69}"/>
            </a:ext>
          </a:extLst>
        </xdr:cNvPr>
        <xdr:cNvCxnSpPr/>
      </xdr:nvCxnSpPr>
      <xdr:spPr>
        <a:xfrm flipH="1">
          <a:off x="21005800" y="5397500"/>
          <a:ext cx="101600" cy="679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508000</xdr:colOff>
      <xdr:row>31</xdr:row>
      <xdr:rowOff>69850</xdr:rowOff>
    </xdr:from>
    <xdr:to>
      <xdr:col>34</xdr:col>
      <xdr:colOff>273050</xdr:colOff>
      <xdr:row>32</xdr:row>
      <xdr:rowOff>139700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A00439EB-B7D0-4CA0-8D2E-45CDB0D9E1FC}"/>
            </a:ext>
          </a:extLst>
        </xdr:cNvPr>
        <xdr:cNvCxnSpPr/>
      </xdr:nvCxnSpPr>
      <xdr:spPr>
        <a:xfrm>
          <a:off x="21107400" y="6172200"/>
          <a:ext cx="38735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26505</xdr:colOff>
      <xdr:row>7</xdr:row>
      <xdr:rowOff>46381</xdr:rowOff>
    </xdr:from>
    <xdr:to>
      <xdr:col>14</xdr:col>
      <xdr:colOff>53009</xdr:colOff>
      <xdr:row>11</xdr:row>
      <xdr:rowOff>14437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CEB43-A4AA-4821-AD8B-3D50A87B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5" y="1484242"/>
          <a:ext cx="8560904" cy="789691"/>
        </a:xfrm>
        <a:prstGeom prst="rect">
          <a:avLst/>
        </a:prstGeom>
      </xdr:spPr>
    </xdr:pic>
    <xdr:clientData/>
  </xdr:twoCellAnchor>
  <xdr:twoCellAnchor editAs="oneCell">
    <xdr:from>
      <xdr:col>0</xdr:col>
      <xdr:colOff>211178</xdr:colOff>
      <xdr:row>14</xdr:row>
      <xdr:rowOff>46439</xdr:rowOff>
    </xdr:from>
    <xdr:to>
      <xdr:col>2</xdr:col>
      <xdr:colOff>418997</xdr:colOff>
      <xdr:row>20</xdr:row>
      <xdr:rowOff>51596</xdr:rowOff>
    </xdr:to>
    <xdr:pic>
      <xdr:nvPicPr>
        <xdr:cNvPr id="3" name="Рисунок 12">
          <a:extLst>
            <a:ext uri="{FF2B5EF4-FFF2-40B4-BE49-F238E27FC236}">
              <a16:creationId xmlns:a16="http://schemas.microsoft.com/office/drawing/2014/main" id="{2B4D9402-1CE6-432A-B2D9-80E536C2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178" y="2933074"/>
          <a:ext cx="1427019" cy="1242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26504</xdr:rowOff>
    </xdr:from>
    <xdr:to>
      <xdr:col>14</xdr:col>
      <xdr:colOff>58349</xdr:colOff>
      <xdr:row>7</xdr:row>
      <xdr:rowOff>13422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BC3C49-0ED1-4C7A-B67F-85A2ECE1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1913"/>
          <a:ext cx="8592749" cy="1219370"/>
        </a:xfrm>
        <a:prstGeom prst="rect">
          <a:avLst/>
        </a:prstGeom>
      </xdr:spPr>
    </xdr:pic>
    <xdr:clientData/>
  </xdr:twoCellAnchor>
  <xdr:twoCellAnchor>
    <xdr:from>
      <xdr:col>21</xdr:col>
      <xdr:colOff>457200</xdr:colOff>
      <xdr:row>55</xdr:row>
      <xdr:rowOff>43543</xdr:rowOff>
    </xdr:from>
    <xdr:to>
      <xdr:col>22</xdr:col>
      <xdr:colOff>468086</xdr:colOff>
      <xdr:row>57</xdr:row>
      <xdr:rowOff>54429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1EE62B9-4AC9-4586-935A-9ED3E1812A6B}"/>
            </a:ext>
          </a:extLst>
        </xdr:cNvPr>
        <xdr:cNvCxnSpPr/>
      </xdr:nvCxnSpPr>
      <xdr:spPr>
        <a:xfrm flipV="1">
          <a:off x="13258800" y="11582400"/>
          <a:ext cx="620486" cy="4245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391886</xdr:colOff>
      <xdr:row>53</xdr:row>
      <xdr:rowOff>0</xdr:rowOff>
    </xdr:from>
    <xdr:to>
      <xdr:col>22</xdr:col>
      <xdr:colOff>293914</xdr:colOff>
      <xdr:row>54</xdr:row>
      <xdr:rowOff>97971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79CEAB2-632D-4353-8937-6825CD47EF4C}"/>
            </a:ext>
          </a:extLst>
        </xdr:cNvPr>
        <xdr:cNvCxnSpPr/>
      </xdr:nvCxnSpPr>
      <xdr:spPr>
        <a:xfrm flipH="1" flipV="1">
          <a:off x="13193486" y="11125200"/>
          <a:ext cx="511628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195943</xdr:colOff>
      <xdr:row>52</xdr:row>
      <xdr:rowOff>108858</xdr:rowOff>
    </xdr:from>
    <xdr:to>
      <xdr:col>22</xdr:col>
      <xdr:colOff>337457</xdr:colOff>
      <xdr:row>52</xdr:row>
      <xdr:rowOff>130629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EE0520E-3DE4-416C-B268-5D83242257B1}"/>
            </a:ext>
          </a:extLst>
        </xdr:cNvPr>
        <xdr:cNvCxnSpPr/>
      </xdr:nvCxnSpPr>
      <xdr:spPr>
        <a:xfrm flipV="1">
          <a:off x="12997543" y="11027229"/>
          <a:ext cx="7511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337457</xdr:colOff>
      <xdr:row>53</xdr:row>
      <xdr:rowOff>21771</xdr:rowOff>
    </xdr:from>
    <xdr:to>
      <xdr:col>22</xdr:col>
      <xdr:colOff>446314</xdr:colOff>
      <xdr:row>59</xdr:row>
      <xdr:rowOff>119743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A2AED9E-54D7-4477-92D4-FB397353A4B9}"/>
            </a:ext>
          </a:extLst>
        </xdr:cNvPr>
        <xdr:cNvCxnSpPr/>
      </xdr:nvCxnSpPr>
      <xdr:spPr>
        <a:xfrm>
          <a:off x="13748657" y="11146971"/>
          <a:ext cx="108857" cy="1338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435429</xdr:colOff>
      <xdr:row>96</xdr:row>
      <xdr:rowOff>195942</xdr:rowOff>
    </xdr:from>
    <xdr:to>
      <xdr:col>46</xdr:col>
      <xdr:colOff>348343</xdr:colOff>
      <xdr:row>96</xdr:row>
      <xdr:rowOff>195942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89DFB65-5E7A-4546-A920-BF90C2E4C036}"/>
            </a:ext>
          </a:extLst>
        </xdr:cNvPr>
        <xdr:cNvCxnSpPr/>
      </xdr:nvCxnSpPr>
      <xdr:spPr>
        <a:xfrm flipH="1">
          <a:off x="27867429" y="20214771"/>
          <a:ext cx="5225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337457</xdr:colOff>
      <xdr:row>97</xdr:row>
      <xdr:rowOff>0</xdr:rowOff>
    </xdr:from>
    <xdr:to>
      <xdr:col>45</xdr:col>
      <xdr:colOff>283029</xdr:colOff>
      <xdr:row>97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E71F150-33AB-4E0C-9F00-421ED9F14BFC}"/>
            </a:ext>
          </a:extLst>
        </xdr:cNvPr>
        <xdr:cNvCxnSpPr/>
      </xdr:nvCxnSpPr>
      <xdr:spPr>
        <a:xfrm flipH="1">
          <a:off x="27159857" y="20225657"/>
          <a:ext cx="55517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97</xdr:row>
      <xdr:rowOff>10886</xdr:rowOff>
    </xdr:from>
    <xdr:to>
      <xdr:col>44</xdr:col>
      <xdr:colOff>402771</xdr:colOff>
      <xdr:row>98</xdr:row>
      <xdr:rowOff>163285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3BB3376-516B-4194-A45F-56882C8E6DEC}"/>
            </a:ext>
          </a:extLst>
        </xdr:cNvPr>
        <xdr:cNvCxnSpPr/>
      </xdr:nvCxnSpPr>
      <xdr:spPr>
        <a:xfrm>
          <a:off x="26974800" y="20236543"/>
          <a:ext cx="250371" cy="359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195943</xdr:colOff>
      <xdr:row>98</xdr:row>
      <xdr:rowOff>108857</xdr:rowOff>
    </xdr:from>
    <xdr:to>
      <xdr:col>44</xdr:col>
      <xdr:colOff>261257</xdr:colOff>
      <xdr:row>98</xdr:row>
      <xdr:rowOff>130628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4D0EB3D-D16D-4B2E-A96E-0CFD34F20349}"/>
            </a:ext>
          </a:extLst>
        </xdr:cNvPr>
        <xdr:cNvCxnSpPr/>
      </xdr:nvCxnSpPr>
      <xdr:spPr>
        <a:xfrm flipH="1">
          <a:off x="26408743" y="20541343"/>
          <a:ext cx="6749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424543</xdr:colOff>
      <xdr:row>98</xdr:row>
      <xdr:rowOff>152400</xdr:rowOff>
    </xdr:from>
    <xdr:to>
      <xdr:col>47</xdr:col>
      <xdr:colOff>337457</xdr:colOff>
      <xdr:row>99</xdr:row>
      <xdr:rowOff>97972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938E2C9-0A81-4EA5-A654-92F4671EC031}"/>
            </a:ext>
          </a:extLst>
        </xdr:cNvPr>
        <xdr:cNvCxnSpPr/>
      </xdr:nvCxnSpPr>
      <xdr:spPr>
        <a:xfrm flipV="1">
          <a:off x="26637343" y="20584886"/>
          <a:ext cx="2351314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7A19-2849-44B4-817C-BAEA5216CFCF}">
  <dimension ref="A1:G74"/>
  <sheetViews>
    <sheetView showGridLines="0" workbookViewId="0"/>
  </sheetViews>
  <sheetFormatPr defaultRowHeight="14.5" x14ac:dyDescent="0.35"/>
  <cols>
    <col min="1" max="1" width="2.1796875" customWidth="1"/>
    <col min="2" max="2" width="28.453125" bestFit="1" customWidth="1"/>
    <col min="3" max="3" width="9.90625" bestFit="1" customWidth="1"/>
    <col min="4" max="4" width="18" bestFit="1" customWidth="1"/>
    <col min="5" max="5" width="23.26953125" bestFit="1" customWidth="1"/>
    <col min="6" max="6" width="14.6328125" bestFit="1" customWidth="1"/>
    <col min="7" max="7" width="7.08984375" bestFit="1" customWidth="1"/>
  </cols>
  <sheetData>
    <row r="1" spans="1:5" x14ac:dyDescent="0.35">
      <c r="A1" s="122" t="s">
        <v>316</v>
      </c>
    </row>
    <row r="2" spans="1:5" x14ac:dyDescent="0.35">
      <c r="A2" s="122" t="s">
        <v>317</v>
      </c>
    </row>
    <row r="3" spans="1:5" x14ac:dyDescent="0.35">
      <c r="A3" s="122" t="s">
        <v>318</v>
      </c>
    </row>
    <row r="4" spans="1:5" x14ac:dyDescent="0.35">
      <c r="A4" s="122" t="s">
        <v>319</v>
      </c>
    </row>
    <row r="5" spans="1:5" x14ac:dyDescent="0.35">
      <c r="A5" s="122" t="s">
        <v>320</v>
      </c>
    </row>
    <row r="6" spans="1:5" x14ac:dyDescent="0.35">
      <c r="A6" s="122"/>
      <c r="B6" t="s">
        <v>321</v>
      </c>
    </row>
    <row r="7" spans="1:5" x14ac:dyDescent="0.35">
      <c r="A7" s="122"/>
      <c r="B7" t="s">
        <v>322</v>
      </c>
    </row>
    <row r="8" spans="1:5" x14ac:dyDescent="0.35">
      <c r="A8" s="122"/>
      <c r="B8" t="s">
        <v>323</v>
      </c>
    </row>
    <row r="9" spans="1:5" x14ac:dyDescent="0.35">
      <c r="A9" s="122" t="s">
        <v>324</v>
      </c>
    </row>
    <row r="10" spans="1:5" x14ac:dyDescent="0.35">
      <c r="B10" t="s">
        <v>325</v>
      </c>
    </row>
    <row r="11" spans="1:5" x14ac:dyDescent="0.35">
      <c r="B11" t="s">
        <v>326</v>
      </c>
    </row>
    <row r="12" spans="1:5" x14ac:dyDescent="0.35">
      <c r="B12" t="s">
        <v>327</v>
      </c>
    </row>
    <row r="14" spans="1:5" ht="15" thickBot="1" x14ac:dyDescent="0.4">
      <c r="A14" t="s">
        <v>328</v>
      </c>
    </row>
    <row r="15" spans="1:5" ht="15" thickBot="1" x14ac:dyDescent="0.4">
      <c r="B15" s="124" t="s">
        <v>329</v>
      </c>
      <c r="C15" s="124" t="s">
        <v>330</v>
      </c>
      <c r="D15" s="124" t="s">
        <v>331</v>
      </c>
      <c r="E15" s="124" t="s">
        <v>332</v>
      </c>
    </row>
    <row r="16" spans="1:5" ht="15" thickBot="1" x14ac:dyDescent="0.4">
      <c r="B16" s="123" t="s">
        <v>340</v>
      </c>
      <c r="C16" s="123" t="s">
        <v>53</v>
      </c>
      <c r="D16" s="126">
        <v>0</v>
      </c>
      <c r="E16" s="126">
        <v>0</v>
      </c>
    </row>
    <row r="19" spans="1:6" ht="15" thickBot="1" x14ac:dyDescent="0.4">
      <c r="A19" t="s">
        <v>333</v>
      </c>
    </row>
    <row r="20" spans="1:6" ht="15" thickBot="1" x14ac:dyDescent="0.4">
      <c r="B20" s="124" t="s">
        <v>329</v>
      </c>
      <c r="C20" s="124" t="s">
        <v>330</v>
      </c>
      <c r="D20" s="124" t="s">
        <v>331</v>
      </c>
      <c r="E20" s="124" t="s">
        <v>332</v>
      </c>
      <c r="F20" s="124" t="s">
        <v>334</v>
      </c>
    </row>
    <row r="21" spans="1:6" x14ac:dyDescent="0.35">
      <c r="B21" s="125" t="s">
        <v>341</v>
      </c>
      <c r="C21" s="125"/>
      <c r="D21" s="127">
        <v>0</v>
      </c>
      <c r="E21" s="127">
        <v>0</v>
      </c>
      <c r="F21" s="125" t="s">
        <v>334</v>
      </c>
    </row>
    <row r="22" spans="1:6" x14ac:dyDescent="0.35">
      <c r="B22" s="125" t="s">
        <v>342</v>
      </c>
      <c r="C22" s="125"/>
      <c r="D22" s="127">
        <v>0</v>
      </c>
      <c r="E22" s="127">
        <v>0</v>
      </c>
      <c r="F22" s="125" t="s">
        <v>334</v>
      </c>
    </row>
    <row r="23" spans="1:6" x14ac:dyDescent="0.35">
      <c r="B23" s="125" t="s">
        <v>343</v>
      </c>
      <c r="C23" s="125" t="s">
        <v>213</v>
      </c>
      <c r="D23" s="127">
        <v>0</v>
      </c>
      <c r="E23" s="127">
        <v>0</v>
      </c>
      <c r="F23" s="125" t="s">
        <v>334</v>
      </c>
    </row>
    <row r="24" spans="1:6" x14ac:dyDescent="0.35">
      <c r="B24" s="125" t="s">
        <v>344</v>
      </c>
      <c r="C24" s="125"/>
      <c r="D24" s="127">
        <v>0</v>
      </c>
      <c r="E24" s="127">
        <v>0</v>
      </c>
      <c r="F24" s="125" t="s">
        <v>334</v>
      </c>
    </row>
    <row r="25" spans="1:6" x14ac:dyDescent="0.35">
      <c r="B25" s="125" t="s">
        <v>345</v>
      </c>
      <c r="C25" s="125"/>
      <c r="D25" s="127">
        <v>0</v>
      </c>
      <c r="E25" s="127">
        <v>0</v>
      </c>
      <c r="F25" s="125" t="s">
        <v>334</v>
      </c>
    </row>
    <row r="26" spans="1:6" x14ac:dyDescent="0.35">
      <c r="B26" s="125" t="s">
        <v>346</v>
      </c>
      <c r="C26" s="125"/>
      <c r="D26" s="127">
        <v>0</v>
      </c>
      <c r="E26" s="127">
        <v>0</v>
      </c>
      <c r="F26" s="125" t="s">
        <v>334</v>
      </c>
    </row>
    <row r="27" spans="1:6" x14ac:dyDescent="0.35">
      <c r="B27" s="125" t="s">
        <v>347</v>
      </c>
      <c r="C27" s="125" t="s">
        <v>213</v>
      </c>
      <c r="D27" s="127">
        <v>0</v>
      </c>
      <c r="E27" s="127">
        <v>0</v>
      </c>
      <c r="F27" s="125" t="s">
        <v>334</v>
      </c>
    </row>
    <row r="28" spans="1:6" x14ac:dyDescent="0.35">
      <c r="B28" s="125" t="s">
        <v>348</v>
      </c>
      <c r="C28" s="125"/>
      <c r="D28" s="127">
        <v>0</v>
      </c>
      <c r="E28" s="127">
        <v>0</v>
      </c>
      <c r="F28" s="125" t="s">
        <v>334</v>
      </c>
    </row>
    <row r="29" spans="1:6" x14ac:dyDescent="0.35">
      <c r="B29" s="125" t="s">
        <v>349</v>
      </c>
      <c r="C29" s="125"/>
      <c r="D29" s="127">
        <v>0</v>
      </c>
      <c r="E29" s="127">
        <v>0</v>
      </c>
      <c r="F29" s="125" t="s">
        <v>334</v>
      </c>
    </row>
    <row r="30" spans="1:6" x14ac:dyDescent="0.35">
      <c r="B30" s="125" t="s">
        <v>350</v>
      </c>
      <c r="C30" s="125"/>
      <c r="D30" s="127">
        <v>0</v>
      </c>
      <c r="E30" s="127">
        <v>0</v>
      </c>
      <c r="F30" s="125" t="s">
        <v>334</v>
      </c>
    </row>
    <row r="31" spans="1:6" x14ac:dyDescent="0.35">
      <c r="B31" s="125" t="s">
        <v>351</v>
      </c>
      <c r="C31" s="125" t="s">
        <v>213</v>
      </c>
      <c r="D31" s="127">
        <v>0</v>
      </c>
      <c r="E31" s="127">
        <v>0</v>
      </c>
      <c r="F31" s="125" t="s">
        <v>334</v>
      </c>
    </row>
    <row r="32" spans="1:6" x14ac:dyDescent="0.35">
      <c r="B32" s="125" t="s">
        <v>352</v>
      </c>
      <c r="C32" s="125"/>
      <c r="D32" s="127">
        <v>0</v>
      </c>
      <c r="E32" s="127">
        <v>0</v>
      </c>
      <c r="F32" s="125" t="s">
        <v>334</v>
      </c>
    </row>
    <row r="33" spans="1:7" x14ac:dyDescent="0.35">
      <c r="B33" s="125" t="s">
        <v>353</v>
      </c>
      <c r="C33" s="125"/>
      <c r="D33" s="127">
        <v>0</v>
      </c>
      <c r="E33" s="127">
        <v>0</v>
      </c>
      <c r="F33" s="125" t="s">
        <v>334</v>
      </c>
    </row>
    <row r="34" spans="1:7" x14ac:dyDescent="0.35">
      <c r="B34" s="125" t="s">
        <v>354</v>
      </c>
      <c r="C34" s="125"/>
      <c r="D34" s="127">
        <v>0</v>
      </c>
      <c r="E34" s="127">
        <v>0</v>
      </c>
      <c r="F34" s="125" t="s">
        <v>334</v>
      </c>
    </row>
    <row r="35" spans="1:7" x14ac:dyDescent="0.35">
      <c r="B35" s="125" t="s">
        <v>355</v>
      </c>
      <c r="C35" s="125" t="s">
        <v>213</v>
      </c>
      <c r="D35" s="127">
        <v>0</v>
      </c>
      <c r="E35" s="127">
        <v>0</v>
      </c>
      <c r="F35" s="125" t="s">
        <v>334</v>
      </c>
    </row>
    <row r="36" spans="1:7" x14ac:dyDescent="0.35">
      <c r="B36" s="125" t="s">
        <v>356</v>
      </c>
      <c r="C36" s="125"/>
      <c r="D36" s="127">
        <v>0</v>
      </c>
      <c r="E36" s="127">
        <v>0</v>
      </c>
      <c r="F36" s="125" t="s">
        <v>334</v>
      </c>
    </row>
    <row r="37" spans="1:7" x14ac:dyDescent="0.35">
      <c r="B37" s="125" t="s">
        <v>357</v>
      </c>
      <c r="C37" s="125"/>
      <c r="D37" s="127">
        <v>0</v>
      </c>
      <c r="E37" s="127">
        <v>0</v>
      </c>
      <c r="F37" s="125" t="s">
        <v>334</v>
      </c>
    </row>
    <row r="38" spans="1:7" x14ac:dyDescent="0.35">
      <c r="B38" s="125" t="s">
        <v>358</v>
      </c>
      <c r="C38" s="125"/>
      <c r="D38" s="127">
        <v>0</v>
      </c>
      <c r="E38" s="127">
        <v>0</v>
      </c>
      <c r="F38" s="125" t="s">
        <v>334</v>
      </c>
    </row>
    <row r="39" spans="1:7" x14ac:dyDescent="0.35">
      <c r="B39" s="125" t="s">
        <v>359</v>
      </c>
      <c r="C39" s="125" t="s">
        <v>213</v>
      </c>
      <c r="D39" s="127">
        <v>0</v>
      </c>
      <c r="E39" s="127">
        <v>0</v>
      </c>
      <c r="F39" s="125" t="s">
        <v>334</v>
      </c>
    </row>
    <row r="40" spans="1:7" ht="15" thickBot="1" x14ac:dyDescent="0.4">
      <c r="B40" s="123" t="s">
        <v>360</v>
      </c>
      <c r="C40" s="123"/>
      <c r="D40" s="126">
        <v>0</v>
      </c>
      <c r="E40" s="126">
        <v>0</v>
      </c>
      <c r="F40" s="123" t="s">
        <v>334</v>
      </c>
    </row>
    <row r="43" spans="1:7" ht="15" thickBot="1" x14ac:dyDescent="0.4">
      <c r="A43" t="s">
        <v>335</v>
      </c>
    </row>
    <row r="44" spans="1:7" ht="15" thickBot="1" x14ac:dyDescent="0.4">
      <c r="B44" s="124" t="s">
        <v>329</v>
      </c>
      <c r="C44" s="124" t="s">
        <v>330</v>
      </c>
      <c r="D44" s="124" t="s">
        <v>336</v>
      </c>
      <c r="E44" s="124" t="s">
        <v>337</v>
      </c>
      <c r="F44" s="124" t="s">
        <v>338</v>
      </c>
      <c r="G44" s="124" t="s">
        <v>339</v>
      </c>
    </row>
    <row r="45" spans="1:7" x14ac:dyDescent="0.35">
      <c r="B45" s="125" t="s">
        <v>361</v>
      </c>
      <c r="C45" s="125" t="s">
        <v>4</v>
      </c>
      <c r="D45" s="127">
        <v>500</v>
      </c>
      <c r="E45" s="125" t="s">
        <v>362</v>
      </c>
      <c r="F45" s="125" t="s">
        <v>363</v>
      </c>
      <c r="G45" s="125">
        <v>0</v>
      </c>
    </row>
    <row r="46" spans="1:7" x14ac:dyDescent="0.35">
      <c r="B46" s="125" t="s">
        <v>364</v>
      </c>
      <c r="C46" s="125" t="s">
        <v>4</v>
      </c>
      <c r="D46" s="127">
        <v>1000</v>
      </c>
      <c r="E46" s="125" t="s">
        <v>365</v>
      </c>
      <c r="F46" s="125" t="s">
        <v>363</v>
      </c>
      <c r="G46" s="125">
        <v>0</v>
      </c>
    </row>
    <row r="47" spans="1:7" x14ac:dyDescent="0.35">
      <c r="B47" s="125" t="s">
        <v>366</v>
      </c>
      <c r="C47" s="125" t="s">
        <v>4</v>
      </c>
      <c r="D47" s="127">
        <v>1500</v>
      </c>
      <c r="E47" s="125" t="s">
        <v>367</v>
      </c>
      <c r="F47" s="125" t="s">
        <v>363</v>
      </c>
      <c r="G47" s="125">
        <v>0</v>
      </c>
    </row>
    <row r="48" spans="1:7" x14ac:dyDescent="0.35">
      <c r="B48" s="125" t="s">
        <v>368</v>
      </c>
      <c r="C48" s="125" t="s">
        <v>4</v>
      </c>
      <c r="D48" s="127">
        <v>2000</v>
      </c>
      <c r="E48" s="125" t="s">
        <v>369</v>
      </c>
      <c r="F48" s="125" t="s">
        <v>363</v>
      </c>
      <c r="G48" s="125">
        <v>0</v>
      </c>
    </row>
    <row r="49" spans="2:7" x14ac:dyDescent="0.35">
      <c r="B49" s="125" t="s">
        <v>370</v>
      </c>
      <c r="C49" s="125" t="s">
        <v>4</v>
      </c>
      <c r="D49" s="127">
        <v>1000</v>
      </c>
      <c r="E49" s="125" t="s">
        <v>371</v>
      </c>
      <c r="F49" s="125" t="s">
        <v>363</v>
      </c>
      <c r="G49" s="125">
        <v>0</v>
      </c>
    </row>
    <row r="50" spans="2:7" x14ac:dyDescent="0.35">
      <c r="B50" s="125" t="s">
        <v>372</v>
      </c>
      <c r="C50" s="125" t="s">
        <v>373</v>
      </c>
      <c r="D50" s="127">
        <v>1000</v>
      </c>
      <c r="E50" s="125" t="s">
        <v>374</v>
      </c>
      <c r="F50" s="125" t="s">
        <v>363</v>
      </c>
      <c r="G50" s="125">
        <v>0</v>
      </c>
    </row>
    <row r="51" spans="2:7" x14ac:dyDescent="0.35">
      <c r="B51" s="125" t="s">
        <v>375</v>
      </c>
      <c r="C51" s="125" t="s">
        <v>376</v>
      </c>
      <c r="D51" s="127">
        <v>1000</v>
      </c>
      <c r="E51" s="125" t="s">
        <v>377</v>
      </c>
      <c r="F51" s="125" t="s">
        <v>363</v>
      </c>
      <c r="G51" s="125">
        <v>0</v>
      </c>
    </row>
    <row r="52" spans="2:7" x14ac:dyDescent="0.35">
      <c r="B52" s="125" t="s">
        <v>378</v>
      </c>
      <c r="C52" s="125" t="s">
        <v>379</v>
      </c>
      <c r="D52" s="127">
        <v>2000</v>
      </c>
      <c r="E52" s="125" t="s">
        <v>380</v>
      </c>
      <c r="F52" s="125" t="s">
        <v>363</v>
      </c>
      <c r="G52" s="125">
        <v>0</v>
      </c>
    </row>
    <row r="53" spans="2:7" x14ac:dyDescent="0.35">
      <c r="B53" s="125" t="s">
        <v>381</v>
      </c>
      <c r="C53" s="125" t="s">
        <v>382</v>
      </c>
      <c r="D53" s="127">
        <v>2000</v>
      </c>
      <c r="E53" s="125" t="s">
        <v>383</v>
      </c>
      <c r="F53" s="125" t="s">
        <v>363</v>
      </c>
      <c r="G53" s="125">
        <v>0</v>
      </c>
    </row>
    <row r="54" spans="2:7" x14ac:dyDescent="0.35">
      <c r="B54" s="125" t="s">
        <v>341</v>
      </c>
      <c r="C54" s="125"/>
      <c r="D54" s="127">
        <v>0</v>
      </c>
      <c r="E54" s="125" t="s">
        <v>384</v>
      </c>
      <c r="F54" s="125" t="s">
        <v>363</v>
      </c>
      <c r="G54" s="127">
        <v>0</v>
      </c>
    </row>
    <row r="55" spans="2:7" x14ac:dyDescent="0.35">
      <c r="B55" s="125" t="s">
        <v>342</v>
      </c>
      <c r="C55" s="125"/>
      <c r="D55" s="127">
        <v>0</v>
      </c>
      <c r="E55" s="125" t="s">
        <v>385</v>
      </c>
      <c r="F55" s="125" t="s">
        <v>363</v>
      </c>
      <c r="G55" s="127">
        <v>0</v>
      </c>
    </row>
    <row r="56" spans="2:7" x14ac:dyDescent="0.35">
      <c r="B56" s="125" t="s">
        <v>343</v>
      </c>
      <c r="C56" s="125" t="s">
        <v>213</v>
      </c>
      <c r="D56" s="127">
        <v>0</v>
      </c>
      <c r="E56" s="125" t="s">
        <v>386</v>
      </c>
      <c r="F56" s="125" t="s">
        <v>363</v>
      </c>
      <c r="G56" s="127">
        <v>0</v>
      </c>
    </row>
    <row r="57" spans="2:7" x14ac:dyDescent="0.35">
      <c r="B57" s="125" t="s">
        <v>344</v>
      </c>
      <c r="C57" s="125"/>
      <c r="D57" s="127">
        <v>0</v>
      </c>
      <c r="E57" s="125" t="s">
        <v>387</v>
      </c>
      <c r="F57" s="125" t="s">
        <v>363</v>
      </c>
      <c r="G57" s="127">
        <v>0</v>
      </c>
    </row>
    <row r="58" spans="2:7" x14ac:dyDescent="0.35">
      <c r="B58" s="125" t="s">
        <v>345</v>
      </c>
      <c r="C58" s="125"/>
      <c r="D58" s="127">
        <v>0</v>
      </c>
      <c r="E58" s="125" t="s">
        <v>388</v>
      </c>
      <c r="F58" s="125" t="s">
        <v>363</v>
      </c>
      <c r="G58" s="127">
        <v>0</v>
      </c>
    </row>
    <row r="59" spans="2:7" x14ac:dyDescent="0.35">
      <c r="B59" s="125" t="s">
        <v>346</v>
      </c>
      <c r="C59" s="125"/>
      <c r="D59" s="127">
        <v>0</v>
      </c>
      <c r="E59" s="125" t="s">
        <v>389</v>
      </c>
      <c r="F59" s="125" t="s">
        <v>363</v>
      </c>
      <c r="G59" s="127">
        <v>0</v>
      </c>
    </row>
    <row r="60" spans="2:7" x14ac:dyDescent="0.35">
      <c r="B60" s="125" t="s">
        <v>347</v>
      </c>
      <c r="C60" s="125" t="s">
        <v>213</v>
      </c>
      <c r="D60" s="127">
        <v>0</v>
      </c>
      <c r="E60" s="125" t="s">
        <v>390</v>
      </c>
      <c r="F60" s="125" t="s">
        <v>363</v>
      </c>
      <c r="G60" s="127">
        <v>0</v>
      </c>
    </row>
    <row r="61" spans="2:7" x14ac:dyDescent="0.35">
      <c r="B61" s="125" t="s">
        <v>348</v>
      </c>
      <c r="C61" s="125"/>
      <c r="D61" s="127">
        <v>0</v>
      </c>
      <c r="E61" s="125" t="s">
        <v>391</v>
      </c>
      <c r="F61" s="125" t="s">
        <v>363</v>
      </c>
      <c r="G61" s="127">
        <v>0</v>
      </c>
    </row>
    <row r="62" spans="2:7" x14ac:dyDescent="0.35">
      <c r="B62" s="125" t="s">
        <v>349</v>
      </c>
      <c r="C62" s="125"/>
      <c r="D62" s="127">
        <v>0</v>
      </c>
      <c r="E62" s="125" t="s">
        <v>392</v>
      </c>
      <c r="F62" s="125" t="s">
        <v>363</v>
      </c>
      <c r="G62" s="127">
        <v>0</v>
      </c>
    </row>
    <row r="63" spans="2:7" x14ac:dyDescent="0.35">
      <c r="B63" s="125" t="s">
        <v>350</v>
      </c>
      <c r="C63" s="125"/>
      <c r="D63" s="127">
        <v>0</v>
      </c>
      <c r="E63" s="125" t="s">
        <v>393</v>
      </c>
      <c r="F63" s="125" t="s">
        <v>363</v>
      </c>
      <c r="G63" s="127">
        <v>0</v>
      </c>
    </row>
    <row r="64" spans="2:7" x14ac:dyDescent="0.35">
      <c r="B64" s="125" t="s">
        <v>351</v>
      </c>
      <c r="C64" s="125" t="s">
        <v>213</v>
      </c>
      <c r="D64" s="127">
        <v>0</v>
      </c>
      <c r="E64" s="125" t="s">
        <v>394</v>
      </c>
      <c r="F64" s="125" t="s">
        <v>363</v>
      </c>
      <c r="G64" s="127">
        <v>0</v>
      </c>
    </row>
    <row r="65" spans="2:7" x14ac:dyDescent="0.35">
      <c r="B65" s="125" t="s">
        <v>352</v>
      </c>
      <c r="C65" s="125"/>
      <c r="D65" s="127">
        <v>0</v>
      </c>
      <c r="E65" s="125" t="s">
        <v>395</v>
      </c>
      <c r="F65" s="125" t="s">
        <v>363</v>
      </c>
      <c r="G65" s="127">
        <v>0</v>
      </c>
    </row>
    <row r="66" spans="2:7" x14ac:dyDescent="0.35">
      <c r="B66" s="125" t="s">
        <v>353</v>
      </c>
      <c r="C66" s="125"/>
      <c r="D66" s="127">
        <v>0</v>
      </c>
      <c r="E66" s="125" t="s">
        <v>396</v>
      </c>
      <c r="F66" s="125" t="s">
        <v>363</v>
      </c>
      <c r="G66" s="127">
        <v>0</v>
      </c>
    </row>
    <row r="67" spans="2:7" x14ac:dyDescent="0.35">
      <c r="B67" s="125" t="s">
        <v>354</v>
      </c>
      <c r="C67" s="125"/>
      <c r="D67" s="127">
        <v>0</v>
      </c>
      <c r="E67" s="125" t="s">
        <v>397</v>
      </c>
      <c r="F67" s="125" t="s">
        <v>363</v>
      </c>
      <c r="G67" s="127">
        <v>0</v>
      </c>
    </row>
    <row r="68" spans="2:7" x14ac:dyDescent="0.35">
      <c r="B68" s="125" t="s">
        <v>355</v>
      </c>
      <c r="C68" s="125" t="s">
        <v>213</v>
      </c>
      <c r="D68" s="127">
        <v>0</v>
      </c>
      <c r="E68" s="125" t="s">
        <v>398</v>
      </c>
      <c r="F68" s="125" t="s">
        <v>363</v>
      </c>
      <c r="G68" s="127">
        <v>0</v>
      </c>
    </row>
    <row r="69" spans="2:7" x14ac:dyDescent="0.35">
      <c r="B69" s="125" t="s">
        <v>356</v>
      </c>
      <c r="C69" s="125"/>
      <c r="D69" s="127">
        <v>0</v>
      </c>
      <c r="E69" s="125" t="s">
        <v>399</v>
      </c>
      <c r="F69" s="125" t="s">
        <v>363</v>
      </c>
      <c r="G69" s="127">
        <v>0</v>
      </c>
    </row>
    <row r="70" spans="2:7" x14ac:dyDescent="0.35">
      <c r="B70" s="125" t="s">
        <v>357</v>
      </c>
      <c r="C70" s="125"/>
      <c r="D70" s="127">
        <v>0</v>
      </c>
      <c r="E70" s="125" t="s">
        <v>400</v>
      </c>
      <c r="F70" s="125" t="s">
        <v>363</v>
      </c>
      <c r="G70" s="127">
        <v>0</v>
      </c>
    </row>
    <row r="71" spans="2:7" x14ac:dyDescent="0.35">
      <c r="B71" s="125" t="s">
        <v>358</v>
      </c>
      <c r="C71" s="125"/>
      <c r="D71" s="127">
        <v>0</v>
      </c>
      <c r="E71" s="125" t="s">
        <v>401</v>
      </c>
      <c r="F71" s="125" t="s">
        <v>363</v>
      </c>
      <c r="G71" s="127">
        <v>0</v>
      </c>
    </row>
    <row r="72" spans="2:7" x14ac:dyDescent="0.35">
      <c r="B72" s="125" t="s">
        <v>359</v>
      </c>
      <c r="C72" s="125" t="s">
        <v>213</v>
      </c>
      <c r="D72" s="127">
        <v>0</v>
      </c>
      <c r="E72" s="125" t="s">
        <v>402</v>
      </c>
      <c r="F72" s="125" t="s">
        <v>363</v>
      </c>
      <c r="G72" s="127">
        <v>0</v>
      </c>
    </row>
    <row r="73" spans="2:7" x14ac:dyDescent="0.35">
      <c r="B73" s="125" t="s">
        <v>360</v>
      </c>
      <c r="C73" s="125"/>
      <c r="D73" s="127">
        <v>0</v>
      </c>
      <c r="E73" s="125" t="s">
        <v>403</v>
      </c>
      <c r="F73" s="125" t="s">
        <v>363</v>
      </c>
      <c r="G73" s="127">
        <v>0</v>
      </c>
    </row>
    <row r="74" spans="2:7" ht="15" thickBot="1" x14ac:dyDescent="0.4">
      <c r="B74" s="123" t="s">
        <v>404</v>
      </c>
      <c r="C74" s="123"/>
      <c r="D74" s="123"/>
      <c r="E74" s="123"/>
      <c r="F74" s="123"/>
      <c r="G7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2"/>
  <sheetViews>
    <sheetView tabSelected="1" topLeftCell="A338" zoomScale="92" zoomScaleNormal="100" workbookViewId="0">
      <selection activeCell="H352" sqref="H352"/>
    </sheetView>
  </sheetViews>
  <sheetFormatPr defaultColWidth="8.90625" defaultRowHeight="15.5" x14ac:dyDescent="0.45"/>
  <cols>
    <col min="1" max="7" width="8.90625" style="1"/>
    <col min="8" max="8" width="9.81640625" style="1" bestFit="1" customWidth="1"/>
    <col min="9" max="16384" width="8.90625" style="1"/>
  </cols>
  <sheetData>
    <row r="1" spans="1:18" s="130" customFormat="1" x14ac:dyDescent="0.45">
      <c r="A1" s="130" t="s">
        <v>0</v>
      </c>
    </row>
    <row r="3" spans="1:18" x14ac:dyDescent="0.45">
      <c r="H3" s="131"/>
      <c r="I3" s="131"/>
      <c r="J3" s="131"/>
    </row>
    <row r="4" spans="1:18" x14ac:dyDescent="0.45">
      <c r="H4" s="131"/>
      <c r="I4" s="131"/>
      <c r="J4" s="131"/>
    </row>
    <row r="5" spans="1:18" x14ac:dyDescent="0.45">
      <c r="H5" s="131"/>
      <c r="I5" s="131"/>
      <c r="J5" s="131"/>
    </row>
    <row r="10" spans="1:18" s="130" customFormat="1" x14ac:dyDescent="0.45">
      <c r="A10" s="130" t="s">
        <v>1</v>
      </c>
    </row>
    <row r="15" spans="1:18" x14ac:dyDescent="0.45">
      <c r="A15" s="129" t="s">
        <v>203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</row>
    <row r="16" spans="1:18" x14ac:dyDescent="0.45">
      <c r="A16" s="128" t="s">
        <v>204</v>
      </c>
      <c r="B16" s="128"/>
      <c r="C16" s="128"/>
      <c r="D16" s="128"/>
      <c r="E16" s="128" t="s">
        <v>208</v>
      </c>
      <c r="F16" s="128"/>
      <c r="G16" s="128"/>
      <c r="H16" s="128"/>
    </row>
    <row r="17" spans="1:48" x14ac:dyDescent="0.45">
      <c r="A17" s="128" t="s">
        <v>205</v>
      </c>
      <c r="B17" s="128"/>
      <c r="C17" s="128"/>
      <c r="D17" s="128"/>
      <c r="E17" s="128" t="s">
        <v>209</v>
      </c>
      <c r="F17" s="128"/>
      <c r="G17" s="128"/>
      <c r="H17" s="128"/>
    </row>
    <row r="18" spans="1:48" x14ac:dyDescent="0.45">
      <c r="A18" s="128" t="s">
        <v>206</v>
      </c>
      <c r="B18" s="128"/>
      <c r="C18" s="128"/>
      <c r="D18" s="128"/>
      <c r="E18" s="128" t="s">
        <v>210</v>
      </c>
      <c r="F18" s="128"/>
      <c r="G18" s="128"/>
      <c r="H18" s="128"/>
    </row>
    <row r="19" spans="1:48" x14ac:dyDescent="0.45">
      <c r="A19" s="128" t="s">
        <v>207</v>
      </c>
      <c r="B19" s="128"/>
      <c r="C19" s="128"/>
      <c r="D19" s="128"/>
      <c r="E19" s="128" t="s">
        <v>211</v>
      </c>
      <c r="F19" s="128"/>
      <c r="G19" s="128"/>
      <c r="H19" s="128"/>
    </row>
    <row r="20" spans="1:48" s="130" customFormat="1" x14ac:dyDescent="0.45">
      <c r="A20" s="130" t="s">
        <v>2</v>
      </c>
    </row>
    <row r="22" spans="1:48" x14ac:dyDescent="0.45">
      <c r="A22" s="2" t="s">
        <v>212</v>
      </c>
      <c r="B22" s="2"/>
      <c r="C22" s="2"/>
      <c r="D22" s="2"/>
      <c r="E22" s="2"/>
      <c r="F22" s="2"/>
      <c r="G22" s="2"/>
      <c r="H22" s="2"/>
      <c r="I22" s="2"/>
      <c r="J22" s="2"/>
    </row>
    <row r="23" spans="1:48" x14ac:dyDescent="0.45">
      <c r="G23" s="2"/>
      <c r="H23" s="2"/>
      <c r="I23" s="2"/>
      <c r="J23" s="2"/>
    </row>
    <row r="24" spans="1:48" x14ac:dyDescent="0.45">
      <c r="A24" s="2" t="s">
        <v>3</v>
      </c>
      <c r="B24" s="2"/>
      <c r="C24" s="2"/>
      <c r="D24" s="2"/>
      <c r="E24" s="2"/>
      <c r="F24" s="2"/>
    </row>
    <row r="25" spans="1:48" x14ac:dyDescent="0.45">
      <c r="G25" s="2"/>
      <c r="H25" s="2"/>
      <c r="I25" s="2"/>
      <c r="J25" s="2"/>
    </row>
    <row r="26" spans="1:48" x14ac:dyDescent="0.45">
      <c r="A26" s="20" t="s">
        <v>4</v>
      </c>
      <c r="B26" s="21">
        <v>1000</v>
      </c>
      <c r="C26" s="21">
        <v>1000</v>
      </c>
      <c r="D26" s="21">
        <v>2000</v>
      </c>
      <c r="E26" s="26">
        <v>2000</v>
      </c>
      <c r="F26" s="116"/>
      <c r="G26" s="20" t="s">
        <v>4</v>
      </c>
      <c r="H26" s="21">
        <v>0</v>
      </c>
      <c r="I26" s="21">
        <v>1000</v>
      </c>
      <c r="J26" s="21">
        <v>2000</v>
      </c>
      <c r="K26" s="26">
        <v>2000</v>
      </c>
      <c r="M26" s="20" t="s">
        <v>4</v>
      </c>
      <c r="N26" s="21">
        <v>0</v>
      </c>
      <c r="O26" s="21">
        <v>0</v>
      </c>
      <c r="P26" s="21">
        <v>2000</v>
      </c>
      <c r="Q26" s="26">
        <v>2000</v>
      </c>
      <c r="S26" s="20" t="s">
        <v>4</v>
      </c>
      <c r="T26" s="21">
        <v>0</v>
      </c>
      <c r="U26" s="21">
        <v>0</v>
      </c>
      <c r="V26" s="21">
        <v>1500</v>
      </c>
      <c r="W26" s="26">
        <v>2000</v>
      </c>
      <c r="Y26" s="20" t="s">
        <v>4</v>
      </c>
      <c r="Z26" s="21">
        <v>0</v>
      </c>
      <c r="AA26" s="21">
        <v>0</v>
      </c>
      <c r="AB26" s="21">
        <v>0</v>
      </c>
      <c r="AC26" s="26">
        <v>2000</v>
      </c>
      <c r="AE26" s="20" t="s">
        <v>4</v>
      </c>
      <c r="AF26" s="21">
        <v>0</v>
      </c>
      <c r="AG26" s="21">
        <v>0</v>
      </c>
      <c r="AH26" s="21">
        <v>0</v>
      </c>
      <c r="AI26" s="26">
        <v>0</v>
      </c>
      <c r="AK26" s="25"/>
      <c r="AL26" s="25"/>
      <c r="AM26" s="25"/>
      <c r="AN26" s="25"/>
      <c r="AO26" s="25"/>
      <c r="AQ26" s="25"/>
      <c r="AR26" s="25"/>
      <c r="AS26" s="25"/>
      <c r="AT26" s="25"/>
      <c r="AU26" s="25"/>
      <c r="AV26" s="25"/>
    </row>
    <row r="27" spans="1:48" x14ac:dyDescent="0.45">
      <c r="A27" s="134">
        <v>500</v>
      </c>
      <c r="B27" s="6">
        <v>5</v>
      </c>
      <c r="C27" s="6">
        <v>6</v>
      </c>
      <c r="D27" s="6">
        <v>3</v>
      </c>
      <c r="E27" s="6">
        <v>8</v>
      </c>
      <c r="F27" s="117"/>
      <c r="G27" s="134">
        <v>500</v>
      </c>
      <c r="H27" s="11">
        <v>5</v>
      </c>
      <c r="I27" s="6">
        <v>6</v>
      </c>
      <c r="J27" s="6">
        <v>3</v>
      </c>
      <c r="K27" s="6">
        <v>8</v>
      </c>
      <c r="M27" s="134">
        <v>500</v>
      </c>
      <c r="N27" s="11">
        <v>5</v>
      </c>
      <c r="O27" s="11">
        <v>6</v>
      </c>
      <c r="P27" s="6">
        <v>3</v>
      </c>
      <c r="Q27" s="6">
        <v>8</v>
      </c>
      <c r="S27" s="134">
        <v>0</v>
      </c>
      <c r="T27" s="11">
        <v>5</v>
      </c>
      <c r="U27" s="11">
        <v>6</v>
      </c>
      <c r="V27" s="13">
        <v>3</v>
      </c>
      <c r="W27" s="11">
        <v>8</v>
      </c>
      <c r="Y27" s="134">
        <v>0</v>
      </c>
      <c r="Z27" s="11">
        <v>5</v>
      </c>
      <c r="AA27" s="11">
        <v>6</v>
      </c>
      <c r="AB27" s="13">
        <v>3</v>
      </c>
      <c r="AC27" s="11">
        <v>8</v>
      </c>
      <c r="AE27" s="134">
        <v>0</v>
      </c>
      <c r="AF27" s="11">
        <v>5</v>
      </c>
      <c r="AG27" s="11">
        <v>6</v>
      </c>
      <c r="AH27" s="13">
        <v>3</v>
      </c>
      <c r="AI27" s="11">
        <v>8</v>
      </c>
      <c r="AK27" s="132"/>
      <c r="AL27" s="100"/>
      <c r="AM27" s="100"/>
      <c r="AN27" s="100"/>
      <c r="AO27" s="100"/>
      <c r="AQ27" s="132"/>
      <c r="AR27" s="100"/>
      <c r="AS27" s="100"/>
      <c r="AT27" s="100"/>
      <c r="AU27" s="100"/>
      <c r="AV27" s="100"/>
    </row>
    <row r="28" spans="1:48" x14ac:dyDescent="0.45">
      <c r="A28" s="135"/>
      <c r="B28" s="10"/>
      <c r="C28" s="10"/>
      <c r="D28" s="10"/>
      <c r="E28" s="10"/>
      <c r="G28" s="135"/>
      <c r="H28" s="12"/>
      <c r="I28" s="10"/>
      <c r="J28" s="10"/>
      <c r="K28" s="10"/>
      <c r="M28" s="135"/>
      <c r="N28" s="12"/>
      <c r="O28" s="12"/>
      <c r="P28" s="10"/>
      <c r="Q28" s="10"/>
      <c r="S28" s="135"/>
      <c r="T28" s="12"/>
      <c r="U28" s="12"/>
      <c r="V28" s="14">
        <v>500</v>
      </c>
      <c r="W28" s="12"/>
      <c r="Y28" s="135"/>
      <c r="Z28" s="12"/>
      <c r="AA28" s="12"/>
      <c r="AB28" s="14">
        <v>500</v>
      </c>
      <c r="AC28" s="12"/>
      <c r="AE28" s="135"/>
      <c r="AF28" s="12"/>
      <c r="AG28" s="12"/>
      <c r="AH28" s="14">
        <v>500</v>
      </c>
      <c r="AI28" s="12"/>
      <c r="AK28" s="132"/>
      <c r="AL28" s="47"/>
      <c r="AM28" s="47"/>
      <c r="AN28" s="47"/>
      <c r="AO28" s="47"/>
      <c r="AQ28" s="132"/>
      <c r="AR28" s="47"/>
      <c r="AS28" s="47"/>
      <c r="AT28" s="47"/>
      <c r="AU28" s="47"/>
      <c r="AV28" s="46"/>
    </row>
    <row r="29" spans="1:48" x14ac:dyDescent="0.45">
      <c r="A29" s="134">
        <v>1000</v>
      </c>
      <c r="B29" s="6">
        <v>1</v>
      </c>
      <c r="C29" s="6">
        <v>1</v>
      </c>
      <c r="D29" s="6">
        <v>2</v>
      </c>
      <c r="E29" s="6">
        <v>3</v>
      </c>
      <c r="F29" s="117"/>
      <c r="G29" s="134">
        <v>1000</v>
      </c>
      <c r="H29" s="11">
        <v>1</v>
      </c>
      <c r="I29" s="6">
        <v>1</v>
      </c>
      <c r="J29" s="6">
        <v>2</v>
      </c>
      <c r="K29" s="6">
        <v>3</v>
      </c>
      <c r="L29" s="2"/>
      <c r="M29" s="134">
        <v>0</v>
      </c>
      <c r="N29" s="11">
        <v>1</v>
      </c>
      <c r="O29" s="13">
        <v>1</v>
      </c>
      <c r="P29" s="11">
        <v>2</v>
      </c>
      <c r="Q29" s="11">
        <v>3</v>
      </c>
      <c r="S29" s="134">
        <v>0</v>
      </c>
      <c r="T29" s="11">
        <v>1</v>
      </c>
      <c r="U29" s="13">
        <v>1</v>
      </c>
      <c r="V29" s="11">
        <v>2</v>
      </c>
      <c r="W29" s="11">
        <v>3</v>
      </c>
      <c r="Y29" s="134">
        <v>0</v>
      </c>
      <c r="Z29" s="11">
        <v>1</v>
      </c>
      <c r="AA29" s="13">
        <v>1</v>
      </c>
      <c r="AB29" s="11">
        <v>2</v>
      </c>
      <c r="AC29" s="11">
        <v>3</v>
      </c>
      <c r="AE29" s="134">
        <v>0</v>
      </c>
      <c r="AF29" s="11">
        <v>1</v>
      </c>
      <c r="AG29" s="13">
        <v>1</v>
      </c>
      <c r="AH29" s="11">
        <v>2</v>
      </c>
      <c r="AI29" s="11">
        <v>3</v>
      </c>
      <c r="AK29" s="132"/>
      <c r="AL29" s="100"/>
      <c r="AM29" s="100"/>
      <c r="AN29" s="100"/>
      <c r="AO29" s="100"/>
      <c r="AQ29" s="132"/>
      <c r="AR29" s="100"/>
      <c r="AS29" s="100"/>
      <c r="AT29" s="100"/>
      <c r="AU29" s="100"/>
      <c r="AV29" s="100"/>
    </row>
    <row r="30" spans="1:48" x14ac:dyDescent="0.45">
      <c r="A30" s="135"/>
      <c r="B30" s="10"/>
      <c r="C30" s="10"/>
      <c r="D30" s="10"/>
      <c r="E30" s="10"/>
      <c r="G30" s="135"/>
      <c r="H30" s="12"/>
      <c r="I30" s="10"/>
      <c r="J30" s="10"/>
      <c r="K30" s="10"/>
      <c r="L30" s="2"/>
      <c r="M30" s="135"/>
      <c r="N30" s="12"/>
      <c r="O30" s="14">
        <v>1000</v>
      </c>
      <c r="P30" s="12"/>
      <c r="Q30" s="12"/>
      <c r="S30" s="135"/>
      <c r="T30" s="12"/>
      <c r="U30" s="14">
        <v>1000</v>
      </c>
      <c r="V30" s="12"/>
      <c r="W30" s="12"/>
      <c r="Y30" s="135"/>
      <c r="Z30" s="12"/>
      <c r="AA30" s="14">
        <v>1000</v>
      </c>
      <c r="AB30" s="12"/>
      <c r="AC30" s="12"/>
      <c r="AE30" s="135"/>
      <c r="AF30" s="12"/>
      <c r="AG30" s="14">
        <v>1000</v>
      </c>
      <c r="AH30" s="12"/>
      <c r="AI30" s="12"/>
      <c r="AK30" s="132"/>
      <c r="AL30" s="47"/>
      <c r="AM30" s="47"/>
      <c r="AN30" s="47"/>
      <c r="AO30" s="47"/>
      <c r="AQ30" s="132"/>
      <c r="AR30" s="47"/>
      <c r="AS30" s="47"/>
      <c r="AT30" s="47"/>
      <c r="AU30" s="47"/>
      <c r="AV30" s="46"/>
    </row>
    <row r="31" spans="1:48" x14ac:dyDescent="0.45">
      <c r="A31" s="134">
        <v>1500</v>
      </c>
      <c r="B31" s="8">
        <v>2</v>
      </c>
      <c r="C31" s="8">
        <v>5</v>
      </c>
      <c r="D31" s="8">
        <v>4</v>
      </c>
      <c r="E31" s="8">
        <v>4</v>
      </c>
      <c r="F31" s="117"/>
      <c r="G31" s="134">
        <v>1500</v>
      </c>
      <c r="H31" s="16">
        <v>2</v>
      </c>
      <c r="I31" s="8">
        <v>5</v>
      </c>
      <c r="J31" s="8">
        <v>4</v>
      </c>
      <c r="K31" s="8">
        <v>4</v>
      </c>
      <c r="M31" s="134">
        <v>1500</v>
      </c>
      <c r="N31" s="16">
        <v>2</v>
      </c>
      <c r="O31" s="16">
        <v>5</v>
      </c>
      <c r="P31" s="8">
        <v>4</v>
      </c>
      <c r="Q31" s="8">
        <v>4</v>
      </c>
      <c r="S31" s="134">
        <v>1500</v>
      </c>
      <c r="T31" s="16">
        <v>2</v>
      </c>
      <c r="U31" s="16">
        <v>5</v>
      </c>
      <c r="V31" s="8">
        <v>4</v>
      </c>
      <c r="W31" s="8">
        <v>4</v>
      </c>
      <c r="Y31" s="134">
        <v>0</v>
      </c>
      <c r="Z31" s="16">
        <v>2</v>
      </c>
      <c r="AA31" s="16">
        <v>5</v>
      </c>
      <c r="AB31" s="15">
        <v>4</v>
      </c>
      <c r="AC31" s="16">
        <v>4</v>
      </c>
      <c r="AE31" s="134">
        <v>0</v>
      </c>
      <c r="AF31" s="16">
        <v>2</v>
      </c>
      <c r="AG31" s="16">
        <v>5</v>
      </c>
      <c r="AH31" s="15">
        <v>4</v>
      </c>
      <c r="AI31" s="16">
        <v>4</v>
      </c>
      <c r="AK31" s="132"/>
      <c r="AL31" s="100"/>
      <c r="AM31" s="100"/>
      <c r="AN31" s="100"/>
      <c r="AO31" s="100"/>
      <c r="AQ31" s="132"/>
      <c r="AR31" s="100"/>
      <c r="AS31" s="100"/>
      <c r="AT31" s="100"/>
      <c r="AU31" s="100"/>
      <c r="AV31" s="100"/>
    </row>
    <row r="32" spans="1:48" x14ac:dyDescent="0.45">
      <c r="A32" s="135"/>
      <c r="B32" s="36"/>
      <c r="C32" s="36"/>
      <c r="D32" s="36"/>
      <c r="E32" s="36"/>
      <c r="G32" s="135"/>
      <c r="H32" s="37"/>
      <c r="I32" s="36"/>
      <c r="J32" s="36"/>
      <c r="K32" s="36"/>
      <c r="M32" s="135"/>
      <c r="N32" s="37"/>
      <c r="O32" s="37"/>
      <c r="P32" s="36"/>
      <c r="Q32" s="36"/>
      <c r="S32" s="135"/>
      <c r="T32" s="37"/>
      <c r="U32" s="37"/>
      <c r="V32" s="36"/>
      <c r="W32" s="36"/>
      <c r="Y32" s="135"/>
      <c r="Z32" s="37"/>
      <c r="AA32" s="37"/>
      <c r="AB32" s="38">
        <v>1500</v>
      </c>
      <c r="AC32" s="37"/>
      <c r="AE32" s="135"/>
      <c r="AF32" s="37"/>
      <c r="AG32" s="37"/>
      <c r="AH32" s="38">
        <v>1500</v>
      </c>
      <c r="AI32" s="37"/>
      <c r="AK32" s="132"/>
      <c r="AL32" s="47"/>
      <c r="AM32" s="47"/>
      <c r="AN32" s="47"/>
      <c r="AO32" s="47"/>
      <c r="AQ32" s="132"/>
      <c r="AR32" s="47"/>
      <c r="AS32" s="47"/>
      <c r="AT32" s="47"/>
      <c r="AU32" s="47"/>
      <c r="AV32" s="46"/>
    </row>
    <row r="33" spans="1:48" x14ac:dyDescent="0.45">
      <c r="A33" s="134">
        <v>2000</v>
      </c>
      <c r="B33" s="6">
        <v>6</v>
      </c>
      <c r="C33" s="6">
        <v>3</v>
      </c>
      <c r="D33" s="6">
        <v>5</v>
      </c>
      <c r="E33" s="6">
        <v>9</v>
      </c>
      <c r="F33" s="117"/>
      <c r="G33" s="134">
        <v>2000</v>
      </c>
      <c r="H33" s="11">
        <v>6</v>
      </c>
      <c r="I33" s="6">
        <v>3</v>
      </c>
      <c r="J33" s="6">
        <v>5</v>
      </c>
      <c r="K33" s="6">
        <v>9</v>
      </c>
      <c r="M33" s="134">
        <v>2000</v>
      </c>
      <c r="N33" s="11">
        <v>6</v>
      </c>
      <c r="O33" s="11">
        <v>3</v>
      </c>
      <c r="P33" s="6">
        <v>5</v>
      </c>
      <c r="Q33" s="6">
        <v>9</v>
      </c>
      <c r="S33" s="134">
        <v>2000</v>
      </c>
      <c r="T33" s="11">
        <v>6</v>
      </c>
      <c r="U33" s="11">
        <v>3</v>
      </c>
      <c r="V33" s="6">
        <v>5</v>
      </c>
      <c r="W33" s="6">
        <v>9</v>
      </c>
      <c r="Y33" s="134">
        <v>2000</v>
      </c>
      <c r="Z33" s="11">
        <v>6</v>
      </c>
      <c r="AA33" s="11">
        <v>3</v>
      </c>
      <c r="AB33" s="11">
        <v>5</v>
      </c>
      <c r="AC33" s="6">
        <v>9</v>
      </c>
      <c r="AE33" s="134">
        <v>0</v>
      </c>
      <c r="AF33" s="11">
        <v>6</v>
      </c>
      <c r="AG33" s="11">
        <v>3</v>
      </c>
      <c r="AH33" s="11">
        <v>5</v>
      </c>
      <c r="AI33" s="13">
        <v>9</v>
      </c>
      <c r="AK33" s="132"/>
      <c r="AL33" s="100"/>
      <c r="AM33" s="100"/>
      <c r="AN33" s="100"/>
      <c r="AO33" s="100"/>
      <c r="AQ33" s="132"/>
      <c r="AR33" s="100"/>
      <c r="AS33" s="100"/>
      <c r="AT33" s="100"/>
      <c r="AU33" s="100"/>
      <c r="AV33" s="100"/>
    </row>
    <row r="34" spans="1:48" x14ac:dyDescent="0.45">
      <c r="A34" s="135"/>
      <c r="B34" s="10"/>
      <c r="C34" s="10"/>
      <c r="D34" s="10"/>
      <c r="E34" s="10"/>
      <c r="G34" s="135"/>
      <c r="H34" s="12"/>
      <c r="I34" s="10"/>
      <c r="J34" s="10"/>
      <c r="K34" s="10"/>
      <c r="M34" s="135"/>
      <c r="N34" s="12"/>
      <c r="O34" s="12"/>
      <c r="P34" s="10"/>
      <c r="Q34" s="10"/>
      <c r="S34" s="135"/>
      <c r="T34" s="12"/>
      <c r="U34" s="12"/>
      <c r="V34" s="10"/>
      <c r="W34" s="10"/>
      <c r="Y34" s="135"/>
      <c r="Z34" s="12"/>
      <c r="AA34" s="12"/>
      <c r="AB34" s="12"/>
      <c r="AC34" s="10"/>
      <c r="AE34" s="135"/>
      <c r="AF34" s="12"/>
      <c r="AG34" s="12"/>
      <c r="AH34" s="12"/>
      <c r="AI34" s="14">
        <v>2000</v>
      </c>
      <c r="AK34" s="132"/>
      <c r="AL34" s="47"/>
      <c r="AM34" s="47"/>
      <c r="AN34" s="47"/>
      <c r="AO34" s="47"/>
      <c r="AQ34" s="132"/>
      <c r="AR34" s="47"/>
      <c r="AS34" s="47"/>
      <c r="AT34" s="47"/>
      <c r="AU34" s="47"/>
      <c r="AV34" s="46"/>
    </row>
    <row r="35" spans="1:48" x14ac:dyDescent="0.45">
      <c r="A35" s="136">
        <v>1000</v>
      </c>
      <c r="B35" s="24">
        <v>0</v>
      </c>
      <c r="C35" s="24">
        <v>0</v>
      </c>
      <c r="D35" s="24">
        <v>0</v>
      </c>
      <c r="E35" s="24">
        <v>0</v>
      </c>
      <c r="G35" s="136">
        <v>0</v>
      </c>
      <c r="H35" s="31">
        <v>0</v>
      </c>
      <c r="I35" s="29">
        <v>0</v>
      </c>
      <c r="J35" s="29">
        <v>0</v>
      </c>
      <c r="K35" s="29">
        <v>0</v>
      </c>
      <c r="M35" s="136">
        <v>0</v>
      </c>
      <c r="N35" s="31">
        <v>0</v>
      </c>
      <c r="O35" s="29">
        <v>0</v>
      </c>
      <c r="P35" s="29">
        <v>0</v>
      </c>
      <c r="Q35" s="29">
        <v>0</v>
      </c>
      <c r="S35" s="136">
        <v>0</v>
      </c>
      <c r="T35" s="31">
        <v>0</v>
      </c>
      <c r="U35" s="29">
        <v>0</v>
      </c>
      <c r="V35" s="29">
        <v>0</v>
      </c>
      <c r="W35" s="29">
        <v>0</v>
      </c>
      <c r="Y35" s="136">
        <v>0</v>
      </c>
      <c r="Z35" s="31">
        <v>0</v>
      </c>
      <c r="AA35" s="29">
        <v>0</v>
      </c>
      <c r="AB35" s="29">
        <v>0</v>
      </c>
      <c r="AC35" s="29">
        <v>0</v>
      </c>
      <c r="AE35" s="136">
        <v>0</v>
      </c>
      <c r="AF35" s="31">
        <v>0</v>
      </c>
      <c r="AG35" s="29">
        <v>0</v>
      </c>
      <c r="AH35" s="29">
        <v>0</v>
      </c>
      <c r="AI35" s="29">
        <v>0</v>
      </c>
      <c r="AK35" s="133"/>
      <c r="AL35" s="46"/>
      <c r="AM35" s="46"/>
      <c r="AN35" s="46"/>
      <c r="AO35" s="46"/>
    </row>
    <row r="36" spans="1:48" x14ac:dyDescent="0.45">
      <c r="A36" s="137"/>
      <c r="B36" s="10"/>
      <c r="C36" s="10"/>
      <c r="D36" s="10"/>
      <c r="E36" s="10"/>
      <c r="G36" s="137"/>
      <c r="H36" s="14">
        <v>1000</v>
      </c>
      <c r="I36" s="12"/>
      <c r="J36" s="12"/>
      <c r="K36" s="12"/>
      <c r="M36" s="137"/>
      <c r="N36" s="14">
        <v>1000</v>
      </c>
      <c r="O36" s="12"/>
      <c r="P36" s="12"/>
      <c r="Q36" s="12"/>
      <c r="S36" s="137"/>
      <c r="T36" s="14">
        <v>1000</v>
      </c>
      <c r="U36" s="12"/>
      <c r="V36" s="12"/>
      <c r="W36" s="12"/>
      <c r="Y36" s="137"/>
      <c r="Z36" s="14">
        <v>1000</v>
      </c>
      <c r="AA36" s="12"/>
      <c r="AB36" s="12"/>
      <c r="AC36" s="12"/>
      <c r="AE36" s="137"/>
      <c r="AF36" s="14">
        <v>1000</v>
      </c>
      <c r="AG36" s="12"/>
      <c r="AH36" s="12"/>
      <c r="AI36" s="12"/>
      <c r="AK36" s="133"/>
      <c r="AL36" s="47"/>
      <c r="AM36" s="47"/>
      <c r="AN36" s="47"/>
      <c r="AO36" s="47"/>
    </row>
    <row r="38" spans="1:48" x14ac:dyDescent="0.45">
      <c r="A38" s="1" t="s">
        <v>5</v>
      </c>
    </row>
    <row r="40" spans="1:48" x14ac:dyDescent="0.45">
      <c r="A40" s="20" t="s">
        <v>4</v>
      </c>
      <c r="B40" s="21">
        <v>0</v>
      </c>
      <c r="C40" s="21">
        <v>0</v>
      </c>
      <c r="D40" s="21">
        <v>0</v>
      </c>
      <c r="E40" s="26">
        <v>0</v>
      </c>
    </row>
    <row r="41" spans="1:48" x14ac:dyDescent="0.45">
      <c r="A41" s="134">
        <v>0</v>
      </c>
      <c r="B41" s="11">
        <v>5</v>
      </c>
      <c r="C41" s="11">
        <v>6</v>
      </c>
      <c r="D41" s="13">
        <v>3</v>
      </c>
      <c r="E41" s="13">
        <v>8</v>
      </c>
    </row>
    <row r="42" spans="1:48" x14ac:dyDescent="0.45">
      <c r="A42" s="135"/>
      <c r="B42" s="12"/>
      <c r="C42" s="12"/>
      <c r="D42" s="14">
        <v>500</v>
      </c>
      <c r="E42" s="14">
        <v>0</v>
      </c>
    </row>
    <row r="43" spans="1:48" x14ac:dyDescent="0.45">
      <c r="A43" s="134">
        <v>0</v>
      </c>
      <c r="B43" s="13">
        <v>1</v>
      </c>
      <c r="C43" s="13">
        <v>1</v>
      </c>
      <c r="D43" s="11">
        <v>2</v>
      </c>
      <c r="E43" s="11">
        <v>3</v>
      </c>
    </row>
    <row r="44" spans="1:48" x14ac:dyDescent="0.45">
      <c r="A44" s="135"/>
      <c r="B44" s="14">
        <v>0</v>
      </c>
      <c r="C44" s="14">
        <v>1000</v>
      </c>
      <c r="D44" s="12"/>
      <c r="E44" s="12"/>
      <c r="J44" s="11"/>
    </row>
    <row r="45" spans="1:48" x14ac:dyDescent="0.45">
      <c r="A45" s="134">
        <v>0</v>
      </c>
      <c r="B45" s="16">
        <v>2</v>
      </c>
      <c r="C45" s="16">
        <v>5</v>
      </c>
      <c r="D45" s="15">
        <v>4</v>
      </c>
      <c r="E45" s="16">
        <v>4</v>
      </c>
      <c r="J45" s="12" t="s">
        <v>213</v>
      </c>
    </row>
    <row r="46" spans="1:48" x14ac:dyDescent="0.45">
      <c r="A46" s="135"/>
      <c r="B46" s="37"/>
      <c r="C46" s="37"/>
      <c r="D46" s="38">
        <v>1500</v>
      </c>
      <c r="E46" s="37"/>
    </row>
    <row r="47" spans="1:48" x14ac:dyDescent="0.45">
      <c r="A47" s="134">
        <v>0</v>
      </c>
      <c r="B47" s="11">
        <v>6</v>
      </c>
      <c r="C47" s="11">
        <v>3</v>
      </c>
      <c r="D47" s="11">
        <v>5</v>
      </c>
      <c r="E47" s="13">
        <v>9</v>
      </c>
    </row>
    <row r="48" spans="1:48" x14ac:dyDescent="0.45">
      <c r="A48" s="135"/>
      <c r="B48" s="12"/>
      <c r="C48" s="12"/>
      <c r="D48" s="12"/>
      <c r="E48" s="14">
        <v>2000</v>
      </c>
    </row>
    <row r="49" spans="1:7" x14ac:dyDescent="0.45">
      <c r="A49" s="136">
        <v>0</v>
      </c>
      <c r="B49" s="31">
        <v>0</v>
      </c>
      <c r="C49" s="29">
        <v>0</v>
      </c>
      <c r="D49" s="29">
        <v>0</v>
      </c>
      <c r="E49" s="31">
        <v>0</v>
      </c>
    </row>
    <row r="50" spans="1:7" x14ac:dyDescent="0.45">
      <c r="A50" s="137"/>
      <c r="B50" s="14">
        <v>1000</v>
      </c>
      <c r="C50" s="12"/>
      <c r="D50" s="12"/>
      <c r="E50" s="14">
        <v>0</v>
      </c>
    </row>
    <row r="52" spans="1:7" x14ac:dyDescent="0.45">
      <c r="A52" s="1" t="s">
        <v>6</v>
      </c>
    </row>
    <row r="53" spans="1:7" x14ac:dyDescent="0.45">
      <c r="A53" s="1" t="s">
        <v>221</v>
      </c>
    </row>
    <row r="55" spans="1:7" x14ac:dyDescent="0.45">
      <c r="A55" s="1" t="s">
        <v>7</v>
      </c>
    </row>
    <row r="57" spans="1:7" x14ac:dyDescent="0.45">
      <c r="A57" s="20"/>
      <c r="B57" s="21" t="s">
        <v>226</v>
      </c>
      <c r="C57" s="21" t="s">
        <v>230</v>
      </c>
      <c r="D57" s="21" t="s">
        <v>11</v>
      </c>
      <c r="E57" s="26" t="s">
        <v>215</v>
      </c>
      <c r="G57" s="40" t="s">
        <v>214</v>
      </c>
    </row>
    <row r="58" spans="1:7" x14ac:dyDescent="0.45">
      <c r="A58" s="32" t="s">
        <v>13</v>
      </c>
      <c r="B58" s="11">
        <v>5</v>
      </c>
      <c r="C58" s="11">
        <v>6</v>
      </c>
      <c r="D58" s="13">
        <v>3</v>
      </c>
      <c r="E58" s="13">
        <v>8</v>
      </c>
      <c r="G58" s="40" t="s">
        <v>218</v>
      </c>
    </row>
    <row r="59" spans="1:7" x14ac:dyDescent="0.45">
      <c r="A59" s="33"/>
      <c r="B59" s="12"/>
      <c r="C59" s="12"/>
      <c r="D59" s="14">
        <v>500</v>
      </c>
      <c r="E59" s="14">
        <v>0</v>
      </c>
      <c r="G59" s="40" t="s">
        <v>219</v>
      </c>
    </row>
    <row r="60" spans="1:7" x14ac:dyDescent="0.45">
      <c r="A60" s="32" t="s">
        <v>228</v>
      </c>
      <c r="B60" s="13">
        <v>1</v>
      </c>
      <c r="C60" s="13">
        <v>1</v>
      </c>
      <c r="D60" s="11">
        <v>2</v>
      </c>
      <c r="E60" s="11">
        <v>3</v>
      </c>
      <c r="G60" s="40" t="s">
        <v>222</v>
      </c>
    </row>
    <row r="61" spans="1:7" x14ac:dyDescent="0.45">
      <c r="A61" s="33"/>
      <c r="B61" s="14">
        <v>0</v>
      </c>
      <c r="C61" s="14">
        <v>1000</v>
      </c>
      <c r="D61" s="12"/>
      <c r="E61" s="12"/>
      <c r="G61" s="40" t="s">
        <v>224</v>
      </c>
    </row>
    <row r="62" spans="1:7" x14ac:dyDescent="0.45">
      <c r="A62" s="32" t="s">
        <v>220</v>
      </c>
      <c r="B62" s="16">
        <v>2</v>
      </c>
      <c r="C62" s="16">
        <v>5</v>
      </c>
      <c r="D62" s="15">
        <v>4</v>
      </c>
      <c r="E62" s="16">
        <v>4</v>
      </c>
      <c r="G62" s="40" t="s">
        <v>225</v>
      </c>
    </row>
    <row r="63" spans="1:7" x14ac:dyDescent="0.45">
      <c r="A63" s="33"/>
      <c r="B63" s="37"/>
      <c r="C63" s="37"/>
      <c r="D63" s="38">
        <v>1500</v>
      </c>
      <c r="E63" s="37"/>
      <c r="G63" s="40" t="s">
        <v>227</v>
      </c>
    </row>
    <row r="64" spans="1:7" x14ac:dyDescent="0.45">
      <c r="A64" s="32" t="s">
        <v>223</v>
      </c>
      <c r="B64" s="11">
        <v>6</v>
      </c>
      <c r="C64" s="11">
        <v>3</v>
      </c>
      <c r="D64" s="11">
        <v>5</v>
      </c>
      <c r="E64" s="13">
        <v>9</v>
      </c>
      <c r="G64" s="40" t="s">
        <v>229</v>
      </c>
    </row>
    <row r="65" spans="1:10" x14ac:dyDescent="0.45">
      <c r="A65" s="33"/>
      <c r="B65" s="12"/>
      <c r="C65" s="12"/>
      <c r="D65" s="12"/>
      <c r="E65" s="14">
        <v>2000</v>
      </c>
    </row>
    <row r="66" spans="1:10" x14ac:dyDescent="0.45">
      <c r="A66" s="34" t="s">
        <v>29</v>
      </c>
      <c r="B66" s="31">
        <v>0</v>
      </c>
      <c r="C66" s="29">
        <v>0</v>
      </c>
      <c r="D66" s="29">
        <v>0</v>
      </c>
      <c r="E66" s="31">
        <v>0</v>
      </c>
      <c r="G66" s="1" t="s">
        <v>216</v>
      </c>
    </row>
    <row r="67" spans="1:10" x14ac:dyDescent="0.45">
      <c r="A67" s="35"/>
      <c r="B67" s="14">
        <v>1000</v>
      </c>
      <c r="C67" s="12"/>
      <c r="D67" s="12"/>
      <c r="E67" s="14">
        <v>0</v>
      </c>
    </row>
    <row r="69" spans="1:10" x14ac:dyDescent="0.45">
      <c r="A69" s="40" t="s">
        <v>240</v>
      </c>
    </row>
    <row r="71" spans="1:10" x14ac:dyDescent="0.45">
      <c r="A71" s="20"/>
      <c r="B71" s="21" t="s">
        <v>226</v>
      </c>
      <c r="C71" s="21" t="s">
        <v>230</v>
      </c>
      <c r="D71" s="21" t="s">
        <v>11</v>
      </c>
      <c r="E71" s="26" t="s">
        <v>215</v>
      </c>
      <c r="G71" s="100"/>
      <c r="H71" s="100"/>
      <c r="I71" s="100"/>
      <c r="J71" s="100"/>
    </row>
    <row r="72" spans="1:10" x14ac:dyDescent="0.45">
      <c r="A72" s="112" t="s">
        <v>13</v>
      </c>
      <c r="B72" s="11">
        <v>5</v>
      </c>
      <c r="C72" s="11">
        <v>6</v>
      </c>
      <c r="D72" s="13">
        <v>3</v>
      </c>
      <c r="E72" s="13">
        <v>8</v>
      </c>
      <c r="G72" s="47"/>
      <c r="H72" s="47"/>
      <c r="I72" s="47"/>
      <c r="J72" s="47"/>
    </row>
    <row r="73" spans="1:10" x14ac:dyDescent="0.45">
      <c r="A73" s="113"/>
      <c r="B73" s="12" t="s">
        <v>231</v>
      </c>
      <c r="C73" s="12" t="s">
        <v>232</v>
      </c>
      <c r="D73" s="14">
        <v>500</v>
      </c>
      <c r="E73" s="14">
        <v>0</v>
      </c>
      <c r="G73" s="100"/>
      <c r="H73" s="100"/>
      <c r="I73" s="100"/>
      <c r="J73" s="100"/>
    </row>
    <row r="74" spans="1:10" x14ac:dyDescent="0.45">
      <c r="A74" s="112" t="s">
        <v>228</v>
      </c>
      <c r="B74" s="13">
        <v>1</v>
      </c>
      <c r="C74" s="13">
        <v>1</v>
      </c>
      <c r="D74" s="11">
        <v>2</v>
      </c>
      <c r="E74" s="11">
        <v>3</v>
      </c>
      <c r="G74" s="47"/>
      <c r="H74" s="47"/>
      <c r="I74" s="47"/>
      <c r="J74" s="47"/>
    </row>
    <row r="75" spans="1:10" x14ac:dyDescent="0.45">
      <c r="A75" s="113"/>
      <c r="B75" s="14">
        <v>0</v>
      </c>
      <c r="C75" s="14">
        <v>1000</v>
      </c>
      <c r="D75" s="12" t="s">
        <v>233</v>
      </c>
      <c r="E75" s="12" t="s">
        <v>234</v>
      </c>
      <c r="G75" s="100"/>
      <c r="H75" s="100"/>
      <c r="I75" s="100"/>
      <c r="J75" s="100"/>
    </row>
    <row r="76" spans="1:10" x14ac:dyDescent="0.45">
      <c r="A76" s="112" t="s">
        <v>220</v>
      </c>
      <c r="B76" s="16">
        <v>2</v>
      </c>
      <c r="C76" s="16">
        <v>5</v>
      </c>
      <c r="D76" s="15">
        <v>4</v>
      </c>
      <c r="E76" s="16">
        <v>4</v>
      </c>
      <c r="G76" s="47"/>
      <c r="H76" s="47"/>
      <c r="I76" s="47"/>
      <c r="J76" s="47"/>
    </row>
    <row r="77" spans="1:10" x14ac:dyDescent="0.45">
      <c r="A77" s="113"/>
      <c r="B77" s="12" t="s">
        <v>235</v>
      </c>
      <c r="C77" s="12" t="s">
        <v>236</v>
      </c>
      <c r="D77" s="38">
        <v>1500</v>
      </c>
      <c r="E77" s="12" t="s">
        <v>237</v>
      </c>
      <c r="G77" s="100"/>
      <c r="H77" s="100"/>
      <c r="I77" s="100"/>
      <c r="J77" s="100"/>
    </row>
    <row r="78" spans="1:10" x14ac:dyDescent="0.45">
      <c r="A78" s="112" t="s">
        <v>223</v>
      </c>
      <c r="B78" s="11">
        <v>6</v>
      </c>
      <c r="C78" s="11">
        <v>3</v>
      </c>
      <c r="D78" s="11">
        <v>5</v>
      </c>
      <c r="E78" s="13">
        <v>9</v>
      </c>
      <c r="G78" s="47"/>
      <c r="H78" s="47"/>
      <c r="I78" s="47"/>
      <c r="J78" s="47"/>
    </row>
    <row r="79" spans="1:10" x14ac:dyDescent="0.45">
      <c r="A79" s="113"/>
      <c r="B79" s="12" t="s">
        <v>231</v>
      </c>
      <c r="C79" s="12" t="s">
        <v>238</v>
      </c>
      <c r="D79" s="12" t="s">
        <v>17</v>
      </c>
      <c r="E79" s="14">
        <v>2000</v>
      </c>
      <c r="G79" s="46"/>
      <c r="H79" s="46"/>
      <c r="I79" s="46"/>
      <c r="J79" s="46"/>
    </row>
    <row r="80" spans="1:10" x14ac:dyDescent="0.45">
      <c r="A80" s="114" t="s">
        <v>29</v>
      </c>
      <c r="B80" s="31">
        <v>0</v>
      </c>
      <c r="C80" s="29">
        <v>0</v>
      </c>
      <c r="D80" s="29">
        <v>0</v>
      </c>
      <c r="E80" s="31">
        <v>0</v>
      </c>
      <c r="G80" s="47"/>
      <c r="H80" s="47"/>
      <c r="I80" s="47"/>
      <c r="J80" s="47"/>
    </row>
    <row r="81" spans="1:7" x14ac:dyDescent="0.45">
      <c r="A81" s="115"/>
      <c r="B81" s="14">
        <v>1000</v>
      </c>
      <c r="C81" s="12" t="s">
        <v>239</v>
      </c>
      <c r="D81" s="12" t="s">
        <v>18</v>
      </c>
      <c r="E81" s="14">
        <v>0</v>
      </c>
      <c r="G81" s="40" t="s">
        <v>251</v>
      </c>
    </row>
    <row r="83" spans="1:7" x14ac:dyDescent="0.45">
      <c r="A83" s="1" t="s">
        <v>22</v>
      </c>
    </row>
    <row r="85" spans="1:7" x14ac:dyDescent="0.45">
      <c r="A85" s="20"/>
      <c r="B85" s="21" t="s">
        <v>226</v>
      </c>
      <c r="C85" s="21" t="s">
        <v>230</v>
      </c>
      <c r="D85" s="21" t="s">
        <v>11</v>
      </c>
      <c r="E85" s="26" t="s">
        <v>215</v>
      </c>
    </row>
    <row r="86" spans="1:7" x14ac:dyDescent="0.45">
      <c r="A86" s="112" t="s">
        <v>13</v>
      </c>
      <c r="B86" s="11">
        <v>5</v>
      </c>
      <c r="C86" s="11">
        <v>6</v>
      </c>
      <c r="D86" s="13">
        <v>3</v>
      </c>
      <c r="E86" s="13">
        <v>8</v>
      </c>
    </row>
    <row r="87" spans="1:7" x14ac:dyDescent="0.45">
      <c r="A87" s="113"/>
      <c r="B87" s="12" t="s">
        <v>231</v>
      </c>
      <c r="C87" s="12" t="s">
        <v>232</v>
      </c>
      <c r="D87" s="14">
        <v>500</v>
      </c>
      <c r="E87" s="14">
        <v>0</v>
      </c>
    </row>
    <row r="88" spans="1:7" x14ac:dyDescent="0.45">
      <c r="A88" s="112" t="s">
        <v>228</v>
      </c>
      <c r="B88" s="13">
        <v>1</v>
      </c>
      <c r="C88" s="13">
        <v>1</v>
      </c>
      <c r="D88" s="11">
        <v>2</v>
      </c>
      <c r="E88" s="11">
        <v>3</v>
      </c>
    </row>
    <row r="89" spans="1:7" x14ac:dyDescent="0.45">
      <c r="A89" s="113"/>
      <c r="B89" s="14" t="s">
        <v>23</v>
      </c>
      <c r="C89" s="14">
        <v>1000</v>
      </c>
      <c r="D89" s="12" t="s">
        <v>233</v>
      </c>
      <c r="E89" s="12" t="s">
        <v>241</v>
      </c>
    </row>
    <row r="90" spans="1:7" x14ac:dyDescent="0.45">
      <c r="A90" s="112" t="s">
        <v>220</v>
      </c>
      <c r="B90" s="16">
        <v>2</v>
      </c>
      <c r="C90" s="16">
        <v>5</v>
      </c>
      <c r="D90" s="15">
        <v>4</v>
      </c>
      <c r="E90" s="16">
        <v>4</v>
      </c>
    </row>
    <row r="91" spans="1:7" x14ac:dyDescent="0.45">
      <c r="A91" s="113"/>
      <c r="B91" s="12" t="s">
        <v>235</v>
      </c>
      <c r="C91" s="12" t="s">
        <v>236</v>
      </c>
      <c r="D91" s="38">
        <v>1500</v>
      </c>
      <c r="E91" s="12" t="s">
        <v>237</v>
      </c>
    </row>
    <row r="92" spans="1:7" x14ac:dyDescent="0.45">
      <c r="A92" s="112" t="s">
        <v>223</v>
      </c>
      <c r="B92" s="11">
        <v>6</v>
      </c>
      <c r="C92" s="11">
        <v>3</v>
      </c>
      <c r="D92" s="11">
        <v>5</v>
      </c>
      <c r="E92" s="13">
        <v>9</v>
      </c>
    </row>
    <row r="93" spans="1:7" x14ac:dyDescent="0.45">
      <c r="A93" s="113"/>
      <c r="B93" s="12" t="s">
        <v>231</v>
      </c>
      <c r="C93" s="12" t="s">
        <v>238</v>
      </c>
      <c r="D93" s="12" t="s">
        <v>17</v>
      </c>
      <c r="E93" s="14">
        <v>2000</v>
      </c>
    </row>
    <row r="94" spans="1:7" x14ac:dyDescent="0.45">
      <c r="A94" s="114" t="s">
        <v>29</v>
      </c>
      <c r="B94" s="31">
        <v>0</v>
      </c>
      <c r="C94" s="29">
        <v>0</v>
      </c>
      <c r="D94" s="29">
        <v>0</v>
      </c>
      <c r="E94" s="31">
        <v>0</v>
      </c>
    </row>
    <row r="95" spans="1:7" x14ac:dyDescent="0.45">
      <c r="A95" s="115"/>
      <c r="B95" s="14" t="s">
        <v>249</v>
      </c>
      <c r="C95" s="12" t="s">
        <v>239</v>
      </c>
      <c r="D95" s="12" t="s">
        <v>18</v>
      </c>
      <c r="E95" s="14" t="s">
        <v>23</v>
      </c>
    </row>
    <row r="97" spans="1:7" x14ac:dyDescent="0.45">
      <c r="A97" s="1" t="s">
        <v>7</v>
      </c>
    </row>
    <row r="98" spans="1:7" ht="13" customHeight="1" x14ac:dyDescent="0.45"/>
    <row r="99" spans="1:7" x14ac:dyDescent="0.45">
      <c r="A99" s="20"/>
      <c r="B99" s="21" t="s">
        <v>171</v>
      </c>
      <c r="C99" s="21" t="s">
        <v>79</v>
      </c>
      <c r="D99" s="21" t="s">
        <v>11</v>
      </c>
      <c r="E99" s="26" t="s">
        <v>215</v>
      </c>
      <c r="G99" s="40" t="s">
        <v>214</v>
      </c>
    </row>
    <row r="100" spans="1:7" x14ac:dyDescent="0.45">
      <c r="A100" s="112" t="s">
        <v>13</v>
      </c>
      <c r="B100" s="11">
        <v>5</v>
      </c>
      <c r="C100" s="11">
        <v>6</v>
      </c>
      <c r="D100" s="13">
        <v>3</v>
      </c>
      <c r="E100" s="13">
        <v>8</v>
      </c>
      <c r="G100" s="40" t="s">
        <v>218</v>
      </c>
    </row>
    <row r="101" spans="1:7" x14ac:dyDescent="0.45">
      <c r="A101" s="113"/>
      <c r="B101" s="12"/>
      <c r="C101" s="12"/>
      <c r="D101" s="14">
        <v>500</v>
      </c>
      <c r="E101" s="14">
        <v>0</v>
      </c>
      <c r="G101" s="40" t="s">
        <v>219</v>
      </c>
    </row>
    <row r="102" spans="1:7" x14ac:dyDescent="0.45">
      <c r="A102" s="112" t="s">
        <v>243</v>
      </c>
      <c r="B102" s="11">
        <v>1</v>
      </c>
      <c r="C102" s="13">
        <v>1</v>
      </c>
      <c r="D102" s="11">
        <v>2</v>
      </c>
      <c r="E102" s="13">
        <v>3</v>
      </c>
      <c r="G102" s="40" t="s">
        <v>222</v>
      </c>
    </row>
    <row r="103" spans="1:7" x14ac:dyDescent="0.45">
      <c r="A103" s="113"/>
      <c r="B103" s="12"/>
      <c r="C103" s="14">
        <v>1000</v>
      </c>
      <c r="D103" s="12"/>
      <c r="E103" s="14">
        <v>0</v>
      </c>
      <c r="G103" s="40" t="s">
        <v>224</v>
      </c>
    </row>
    <row r="104" spans="1:7" x14ac:dyDescent="0.45">
      <c r="A104" s="112" t="s">
        <v>220</v>
      </c>
      <c r="B104" s="16">
        <v>2</v>
      </c>
      <c r="C104" s="16">
        <v>5</v>
      </c>
      <c r="D104" s="15">
        <v>4</v>
      </c>
      <c r="E104" s="16">
        <v>4</v>
      </c>
      <c r="G104" s="40" t="s">
        <v>242</v>
      </c>
    </row>
    <row r="105" spans="1:7" x14ac:dyDescent="0.45">
      <c r="A105" s="113"/>
      <c r="B105" s="37"/>
      <c r="C105" s="37"/>
      <c r="D105" s="38">
        <v>1500</v>
      </c>
      <c r="E105" s="37"/>
      <c r="G105" s="40" t="s">
        <v>244</v>
      </c>
    </row>
    <row r="106" spans="1:7" x14ac:dyDescent="0.45">
      <c r="A106" s="112" t="s">
        <v>223</v>
      </c>
      <c r="B106" s="11">
        <v>6</v>
      </c>
      <c r="C106" s="11">
        <v>3</v>
      </c>
      <c r="D106" s="11">
        <v>5</v>
      </c>
      <c r="E106" s="13">
        <v>9</v>
      </c>
      <c r="G106" s="40" t="s">
        <v>252</v>
      </c>
    </row>
    <row r="107" spans="1:7" x14ac:dyDescent="0.45">
      <c r="A107" s="113"/>
      <c r="B107" s="12"/>
      <c r="C107" s="12"/>
      <c r="D107" s="12"/>
      <c r="E107" s="14">
        <v>2000</v>
      </c>
    </row>
    <row r="108" spans="1:7" x14ac:dyDescent="0.45">
      <c r="A108" s="114" t="s">
        <v>29</v>
      </c>
      <c r="B108" s="31">
        <v>0</v>
      </c>
      <c r="C108" s="29">
        <v>0</v>
      </c>
      <c r="D108" s="29">
        <v>0</v>
      </c>
      <c r="E108" s="31">
        <v>0</v>
      </c>
    </row>
    <row r="109" spans="1:7" x14ac:dyDescent="0.45">
      <c r="A109" s="115"/>
      <c r="B109" s="14">
        <v>1000</v>
      </c>
      <c r="C109" s="12"/>
      <c r="D109" s="12"/>
      <c r="E109" s="14">
        <v>0</v>
      </c>
    </row>
    <row r="111" spans="1:7" x14ac:dyDescent="0.45">
      <c r="A111" s="40" t="s">
        <v>253</v>
      </c>
    </row>
    <row r="113" spans="1:7" x14ac:dyDescent="0.45">
      <c r="A113" s="20"/>
      <c r="B113" s="21" t="s">
        <v>171</v>
      </c>
      <c r="C113" s="21" t="s">
        <v>79</v>
      </c>
      <c r="D113" s="21" t="s">
        <v>11</v>
      </c>
      <c r="E113" s="26" t="s">
        <v>215</v>
      </c>
    </row>
    <row r="114" spans="1:7" x14ac:dyDescent="0.45">
      <c r="A114" s="118" t="s">
        <v>13</v>
      </c>
      <c r="B114" s="11">
        <v>5</v>
      </c>
      <c r="C114" s="11">
        <v>6</v>
      </c>
      <c r="D114" s="13">
        <v>3</v>
      </c>
      <c r="E114" s="13">
        <v>8</v>
      </c>
    </row>
    <row r="115" spans="1:7" x14ac:dyDescent="0.45">
      <c r="A115" s="119"/>
      <c r="B115" s="12">
        <v>-3</v>
      </c>
      <c r="C115" s="12"/>
      <c r="D115" s="14">
        <v>500</v>
      </c>
      <c r="E115" s="14">
        <v>0</v>
      </c>
    </row>
    <row r="116" spans="1:7" x14ac:dyDescent="0.45">
      <c r="A116" s="118" t="s">
        <v>243</v>
      </c>
      <c r="B116" s="11">
        <v>1</v>
      </c>
      <c r="C116" s="13">
        <v>1</v>
      </c>
      <c r="D116" s="11">
        <v>2</v>
      </c>
      <c r="E116" s="13">
        <v>3</v>
      </c>
    </row>
    <row r="117" spans="1:7" x14ac:dyDescent="0.45">
      <c r="A117" s="119"/>
      <c r="B117" s="12">
        <v>-2</v>
      </c>
      <c r="C117" s="14">
        <v>1000</v>
      </c>
      <c r="D117" s="12"/>
      <c r="E117" s="14">
        <v>0</v>
      </c>
    </row>
    <row r="118" spans="1:7" x14ac:dyDescent="0.45">
      <c r="A118" s="118" t="s">
        <v>220</v>
      </c>
      <c r="B118" s="16">
        <v>2</v>
      </c>
      <c r="C118" s="16">
        <v>5</v>
      </c>
      <c r="D118" s="15">
        <v>4</v>
      </c>
      <c r="E118" s="16">
        <v>4</v>
      </c>
    </row>
    <row r="119" spans="1:7" x14ac:dyDescent="0.45">
      <c r="A119" s="119"/>
      <c r="B119" s="37">
        <v>-7</v>
      </c>
      <c r="C119" s="37">
        <v>-2</v>
      </c>
      <c r="D119" s="38">
        <v>1500</v>
      </c>
      <c r="E119" s="37">
        <v>-4</v>
      </c>
    </row>
    <row r="120" spans="1:7" x14ac:dyDescent="0.45">
      <c r="A120" s="118" t="s">
        <v>223</v>
      </c>
      <c r="B120" s="11">
        <v>6</v>
      </c>
      <c r="C120" s="11">
        <v>3</v>
      </c>
      <c r="D120" s="11">
        <v>5</v>
      </c>
      <c r="E120" s="13">
        <v>9</v>
      </c>
    </row>
    <row r="121" spans="1:7" x14ac:dyDescent="0.45">
      <c r="A121" s="119"/>
      <c r="B121" s="12">
        <v>-3</v>
      </c>
      <c r="C121" s="12">
        <v>-4</v>
      </c>
      <c r="D121" s="12"/>
      <c r="E121" s="14">
        <v>2000</v>
      </c>
    </row>
    <row r="122" spans="1:7" x14ac:dyDescent="0.45">
      <c r="A122" s="120" t="s">
        <v>29</v>
      </c>
      <c r="B122" s="31">
        <v>0</v>
      </c>
      <c r="C122" s="29">
        <v>0</v>
      </c>
      <c r="D122" s="29">
        <v>0</v>
      </c>
      <c r="E122" s="31">
        <v>0</v>
      </c>
    </row>
    <row r="123" spans="1:7" x14ac:dyDescent="0.45">
      <c r="A123" s="121"/>
      <c r="B123" s="14">
        <v>1000</v>
      </c>
      <c r="C123" s="12"/>
      <c r="D123" s="12"/>
      <c r="E123" s="14">
        <v>0</v>
      </c>
      <c r="G123" s="40" t="s">
        <v>256</v>
      </c>
    </row>
    <row r="125" spans="1:7" x14ac:dyDescent="0.45">
      <c r="A125" s="1" t="s">
        <v>22</v>
      </c>
    </row>
    <row r="127" spans="1:7" x14ac:dyDescent="0.45">
      <c r="A127" s="20" t="s">
        <v>4</v>
      </c>
      <c r="B127" s="21" t="s">
        <v>171</v>
      </c>
      <c r="C127" s="21" t="s">
        <v>79</v>
      </c>
      <c r="D127" s="21" t="s">
        <v>11</v>
      </c>
      <c r="E127" s="26" t="s">
        <v>215</v>
      </c>
    </row>
    <row r="128" spans="1:7" x14ac:dyDescent="0.45">
      <c r="A128" s="118" t="s">
        <v>13</v>
      </c>
      <c r="B128" s="11">
        <v>5</v>
      </c>
      <c r="C128" s="11">
        <v>6</v>
      </c>
      <c r="D128" s="13">
        <v>3</v>
      </c>
      <c r="E128" s="13">
        <v>8</v>
      </c>
    </row>
    <row r="129" spans="1:7" x14ac:dyDescent="0.45">
      <c r="A129" s="119"/>
      <c r="B129" s="12"/>
      <c r="C129" s="12"/>
      <c r="D129" s="14" t="s">
        <v>255</v>
      </c>
      <c r="E129" s="14" t="s">
        <v>23</v>
      </c>
    </row>
    <row r="130" spans="1:7" x14ac:dyDescent="0.45">
      <c r="A130" s="118" t="s">
        <v>243</v>
      </c>
      <c r="B130" s="11">
        <v>1</v>
      </c>
      <c r="C130" s="13">
        <v>1</v>
      </c>
      <c r="D130" s="11">
        <v>2</v>
      </c>
      <c r="E130" s="13">
        <v>3</v>
      </c>
    </row>
    <row r="131" spans="1:7" x14ac:dyDescent="0.45">
      <c r="A131" s="119"/>
      <c r="B131" s="12"/>
      <c r="C131" s="14">
        <v>1000</v>
      </c>
      <c r="D131" s="12"/>
      <c r="E131" s="14">
        <v>0</v>
      </c>
    </row>
    <row r="132" spans="1:7" x14ac:dyDescent="0.45">
      <c r="A132" s="118" t="s">
        <v>220</v>
      </c>
      <c r="B132" s="16">
        <v>2</v>
      </c>
      <c r="C132" s="16">
        <v>5</v>
      </c>
      <c r="D132" s="15">
        <v>4</v>
      </c>
      <c r="E132" s="16">
        <v>4</v>
      </c>
    </row>
    <row r="133" spans="1:7" x14ac:dyDescent="0.45">
      <c r="A133" s="119"/>
      <c r="B133" s="37" t="s">
        <v>254</v>
      </c>
      <c r="C133" s="37"/>
      <c r="D133" s="38" t="s">
        <v>250</v>
      </c>
      <c r="E133" s="37"/>
    </row>
    <row r="134" spans="1:7" x14ac:dyDescent="0.45">
      <c r="A134" s="118" t="s">
        <v>223</v>
      </c>
      <c r="B134" s="11">
        <v>6</v>
      </c>
      <c r="C134" s="11">
        <v>3</v>
      </c>
      <c r="D134" s="11">
        <v>5</v>
      </c>
      <c r="E134" s="13">
        <v>9</v>
      </c>
    </row>
    <row r="135" spans="1:7" x14ac:dyDescent="0.45">
      <c r="A135" s="119"/>
      <c r="B135" s="12"/>
      <c r="C135" s="12"/>
      <c r="D135" s="12"/>
      <c r="E135" s="14">
        <v>2000</v>
      </c>
    </row>
    <row r="136" spans="1:7" x14ac:dyDescent="0.45">
      <c r="A136" s="120" t="s">
        <v>29</v>
      </c>
      <c r="B136" s="31">
        <v>0</v>
      </c>
      <c r="C136" s="29">
        <v>0</v>
      </c>
      <c r="D136" s="29">
        <v>0</v>
      </c>
      <c r="E136" s="31">
        <v>0</v>
      </c>
    </row>
    <row r="137" spans="1:7" x14ac:dyDescent="0.45">
      <c r="A137" s="121"/>
      <c r="B137" s="14" t="s">
        <v>217</v>
      </c>
      <c r="C137" s="12"/>
      <c r="D137" s="12"/>
      <c r="E137" s="14" t="s">
        <v>19</v>
      </c>
    </row>
    <row r="139" spans="1:7" x14ac:dyDescent="0.45">
      <c r="A139" s="1" t="s">
        <v>7</v>
      </c>
    </row>
    <row r="141" spans="1:7" x14ac:dyDescent="0.45">
      <c r="A141" s="20"/>
      <c r="B141" s="21" t="s">
        <v>9</v>
      </c>
      <c r="C141" s="21" t="s">
        <v>267</v>
      </c>
      <c r="D141" s="21" t="s">
        <v>11</v>
      </c>
      <c r="E141" s="26" t="s">
        <v>12</v>
      </c>
      <c r="G141" s="40" t="s">
        <v>218</v>
      </c>
    </row>
    <row r="142" spans="1:7" x14ac:dyDescent="0.45">
      <c r="A142" s="112" t="s">
        <v>13</v>
      </c>
      <c r="B142" s="11">
        <v>5</v>
      </c>
      <c r="C142" s="11">
        <v>6</v>
      </c>
      <c r="D142" s="13">
        <v>3</v>
      </c>
      <c r="E142" s="11">
        <v>8</v>
      </c>
      <c r="G142" s="40" t="s">
        <v>219</v>
      </c>
    </row>
    <row r="143" spans="1:7" x14ac:dyDescent="0.45">
      <c r="A143" s="113"/>
      <c r="B143" s="12"/>
      <c r="C143" s="12"/>
      <c r="D143" s="14">
        <v>500</v>
      </c>
      <c r="E143" s="12">
        <v>0</v>
      </c>
      <c r="G143" s="40" t="s">
        <v>245</v>
      </c>
    </row>
    <row r="144" spans="1:7" x14ac:dyDescent="0.45">
      <c r="A144" s="112" t="s">
        <v>174</v>
      </c>
      <c r="B144" s="11">
        <v>1</v>
      </c>
      <c r="C144" s="13">
        <v>1</v>
      </c>
      <c r="D144" s="11">
        <v>2</v>
      </c>
      <c r="E144" s="13">
        <v>3</v>
      </c>
      <c r="G144" s="40" t="s">
        <v>266</v>
      </c>
    </row>
    <row r="145" spans="1:7" x14ac:dyDescent="0.45">
      <c r="A145" s="113"/>
      <c r="B145" s="12"/>
      <c r="C145" s="14">
        <v>1000</v>
      </c>
      <c r="D145" s="12"/>
      <c r="E145" s="14">
        <v>0</v>
      </c>
      <c r="G145" s="40" t="s">
        <v>268</v>
      </c>
    </row>
    <row r="146" spans="1:7" x14ac:dyDescent="0.45">
      <c r="A146" s="112" t="s">
        <v>220</v>
      </c>
      <c r="B146" s="15">
        <v>2</v>
      </c>
      <c r="C146" s="16">
        <v>5</v>
      </c>
      <c r="D146" s="15">
        <v>4</v>
      </c>
      <c r="E146" s="16">
        <v>4</v>
      </c>
      <c r="G146" s="40" t="s">
        <v>265</v>
      </c>
    </row>
    <row r="147" spans="1:7" x14ac:dyDescent="0.45">
      <c r="A147" s="113"/>
      <c r="B147" s="38">
        <v>0</v>
      </c>
      <c r="C147" s="37"/>
      <c r="D147" s="38">
        <v>1500</v>
      </c>
      <c r="E147" s="37"/>
      <c r="G147" s="40" t="s">
        <v>270</v>
      </c>
    </row>
    <row r="148" spans="1:7" x14ac:dyDescent="0.45">
      <c r="A148" s="112" t="s">
        <v>269</v>
      </c>
      <c r="B148" s="11">
        <v>6</v>
      </c>
      <c r="C148" s="11">
        <v>3</v>
      </c>
      <c r="D148" s="11">
        <v>5</v>
      </c>
      <c r="E148" s="13">
        <v>9</v>
      </c>
      <c r="G148" s="40" t="s">
        <v>264</v>
      </c>
    </row>
    <row r="149" spans="1:7" x14ac:dyDescent="0.45">
      <c r="A149" s="113"/>
      <c r="B149" s="12"/>
      <c r="C149" s="12"/>
      <c r="D149" s="12">
        <v>-6</v>
      </c>
      <c r="E149" s="14">
        <v>2000</v>
      </c>
    </row>
    <row r="150" spans="1:7" x14ac:dyDescent="0.45">
      <c r="A150" s="114" t="s">
        <v>112</v>
      </c>
      <c r="B150" s="31">
        <v>0</v>
      </c>
      <c r="C150" s="29">
        <v>0</v>
      </c>
      <c r="D150" s="29">
        <v>0</v>
      </c>
      <c r="E150" s="31">
        <v>0</v>
      </c>
    </row>
    <row r="151" spans="1:7" x14ac:dyDescent="0.45">
      <c r="A151" s="115"/>
      <c r="B151" s="14">
        <v>1000</v>
      </c>
      <c r="C151" s="12"/>
      <c r="D151" s="12"/>
      <c r="E151" s="14">
        <v>0</v>
      </c>
    </row>
    <row r="153" spans="1:7" x14ac:dyDescent="0.45">
      <c r="A153" s="40" t="s">
        <v>271</v>
      </c>
    </row>
    <row r="155" spans="1:7" x14ac:dyDescent="0.45">
      <c r="A155" s="20"/>
      <c r="B155" s="21" t="s">
        <v>9</v>
      </c>
      <c r="C155" s="21" t="s">
        <v>267</v>
      </c>
      <c r="D155" s="21" t="s">
        <v>11</v>
      </c>
      <c r="E155" s="26" t="s">
        <v>12</v>
      </c>
    </row>
    <row r="156" spans="1:7" x14ac:dyDescent="0.45">
      <c r="A156" s="118" t="s">
        <v>13</v>
      </c>
      <c r="B156" s="11">
        <v>5</v>
      </c>
      <c r="C156" s="11">
        <v>6</v>
      </c>
      <c r="D156" s="13">
        <v>3</v>
      </c>
      <c r="E156" s="11">
        <v>8</v>
      </c>
    </row>
    <row r="157" spans="1:7" x14ac:dyDescent="0.45">
      <c r="A157" s="119"/>
      <c r="B157" s="12"/>
      <c r="C157" s="12"/>
      <c r="D157" s="14">
        <v>500</v>
      </c>
      <c r="E157" s="12">
        <v>0</v>
      </c>
    </row>
    <row r="158" spans="1:7" x14ac:dyDescent="0.45">
      <c r="A158" s="118" t="s">
        <v>174</v>
      </c>
      <c r="B158" s="11">
        <v>1</v>
      </c>
      <c r="C158" s="13">
        <v>1</v>
      </c>
      <c r="D158" s="11">
        <v>2</v>
      </c>
      <c r="E158" s="13">
        <v>3</v>
      </c>
    </row>
    <row r="159" spans="1:7" x14ac:dyDescent="0.45">
      <c r="A159" s="119"/>
      <c r="B159" s="12"/>
      <c r="C159" s="14">
        <v>1000</v>
      </c>
      <c r="D159" s="12"/>
      <c r="E159" s="14">
        <v>0</v>
      </c>
    </row>
    <row r="160" spans="1:7" x14ac:dyDescent="0.45">
      <c r="A160" s="118" t="s">
        <v>220</v>
      </c>
      <c r="B160" s="15">
        <v>2</v>
      </c>
      <c r="C160" s="16">
        <v>5</v>
      </c>
      <c r="D160" s="15">
        <v>4</v>
      </c>
      <c r="E160" s="16">
        <v>4</v>
      </c>
    </row>
    <row r="161" spans="1:7" x14ac:dyDescent="0.45">
      <c r="A161" s="119"/>
      <c r="B161" s="38" t="s">
        <v>19</v>
      </c>
      <c r="C161" s="37"/>
      <c r="D161" s="38" t="s">
        <v>250</v>
      </c>
      <c r="E161" s="37"/>
    </row>
    <row r="162" spans="1:7" x14ac:dyDescent="0.45">
      <c r="A162" s="118" t="s">
        <v>269</v>
      </c>
      <c r="B162" s="11">
        <v>6</v>
      </c>
      <c r="C162" s="11">
        <v>3</v>
      </c>
      <c r="D162" s="11">
        <v>5</v>
      </c>
      <c r="E162" s="13">
        <v>9</v>
      </c>
    </row>
    <row r="163" spans="1:7" x14ac:dyDescent="0.45">
      <c r="A163" s="119"/>
      <c r="B163" s="12"/>
      <c r="C163" s="12"/>
      <c r="D163" s="12" t="s">
        <v>272</v>
      </c>
      <c r="E163" s="14" t="s">
        <v>303</v>
      </c>
    </row>
    <row r="164" spans="1:7" x14ac:dyDescent="0.45">
      <c r="A164" s="120" t="s">
        <v>112</v>
      </c>
      <c r="B164" s="31">
        <v>0</v>
      </c>
      <c r="C164" s="29">
        <v>0</v>
      </c>
      <c r="D164" s="29">
        <v>0</v>
      </c>
      <c r="E164" s="31">
        <v>0</v>
      </c>
    </row>
    <row r="165" spans="1:7" x14ac:dyDescent="0.45">
      <c r="A165" s="121"/>
      <c r="B165" s="14" t="s">
        <v>217</v>
      </c>
      <c r="C165" s="12"/>
      <c r="D165" s="12"/>
      <c r="E165" s="14" t="s">
        <v>19</v>
      </c>
      <c r="G165" s="40" t="s">
        <v>273</v>
      </c>
    </row>
    <row r="167" spans="1:7" x14ac:dyDescent="0.45">
      <c r="A167" s="1" t="s">
        <v>22</v>
      </c>
    </row>
    <row r="169" spans="1:7" x14ac:dyDescent="0.45">
      <c r="A169" s="20"/>
      <c r="B169" s="21" t="s">
        <v>257</v>
      </c>
      <c r="C169" s="21" t="s">
        <v>258</v>
      </c>
      <c r="D169" s="21" t="s">
        <v>11</v>
      </c>
      <c r="E169" s="26" t="s">
        <v>259</v>
      </c>
    </row>
    <row r="170" spans="1:7" x14ac:dyDescent="0.45">
      <c r="A170" s="118" t="s">
        <v>13</v>
      </c>
      <c r="B170" s="11">
        <v>5</v>
      </c>
      <c r="C170" s="11">
        <v>6</v>
      </c>
      <c r="D170" s="13">
        <v>3</v>
      </c>
      <c r="E170" s="11">
        <v>8</v>
      </c>
    </row>
    <row r="171" spans="1:7" x14ac:dyDescent="0.45">
      <c r="A171" s="119"/>
      <c r="B171" s="12"/>
      <c r="C171" s="12"/>
      <c r="D171" s="14">
        <v>500</v>
      </c>
      <c r="E171" s="12">
        <v>0</v>
      </c>
    </row>
    <row r="172" spans="1:7" x14ac:dyDescent="0.45">
      <c r="A172" s="118" t="s">
        <v>260</v>
      </c>
      <c r="B172" s="11">
        <v>1</v>
      </c>
      <c r="C172" s="13">
        <v>1</v>
      </c>
      <c r="D172" s="11">
        <v>2</v>
      </c>
      <c r="E172" s="13">
        <v>3</v>
      </c>
    </row>
    <row r="173" spans="1:7" x14ac:dyDescent="0.45">
      <c r="A173" s="119"/>
      <c r="B173" s="12"/>
      <c r="C173" s="14">
        <v>1000</v>
      </c>
      <c r="D173" s="12"/>
      <c r="E173" s="14">
        <v>0</v>
      </c>
    </row>
    <row r="174" spans="1:7" x14ac:dyDescent="0.45">
      <c r="A174" s="118" t="s">
        <v>261</v>
      </c>
      <c r="B174" s="15">
        <v>2</v>
      </c>
      <c r="C174" s="16">
        <v>5</v>
      </c>
      <c r="D174" s="15">
        <v>4</v>
      </c>
      <c r="E174" s="16">
        <v>4</v>
      </c>
    </row>
    <row r="175" spans="1:7" x14ac:dyDescent="0.45">
      <c r="A175" s="119"/>
      <c r="B175" s="38">
        <v>1000</v>
      </c>
      <c r="C175" s="37"/>
      <c r="D175" s="38">
        <v>500</v>
      </c>
      <c r="E175" s="37"/>
    </row>
    <row r="176" spans="1:7" x14ac:dyDescent="0.45">
      <c r="A176" s="118" t="s">
        <v>262</v>
      </c>
      <c r="B176" s="11">
        <v>6</v>
      </c>
      <c r="C176" s="11">
        <v>3</v>
      </c>
      <c r="D176" s="13">
        <v>5</v>
      </c>
      <c r="E176" s="13">
        <v>9</v>
      </c>
    </row>
    <row r="177" spans="1:7" x14ac:dyDescent="0.45">
      <c r="A177" s="119"/>
      <c r="B177" s="12"/>
      <c r="C177" s="12"/>
      <c r="D177" s="14">
        <v>1000</v>
      </c>
      <c r="E177" s="14">
        <v>1000</v>
      </c>
    </row>
    <row r="178" spans="1:7" x14ac:dyDescent="0.45">
      <c r="A178" s="120" t="s">
        <v>263</v>
      </c>
      <c r="B178" s="29">
        <v>0</v>
      </c>
      <c r="C178" s="29">
        <v>0</v>
      </c>
      <c r="D178" s="29">
        <v>0</v>
      </c>
      <c r="E178" s="31">
        <v>0</v>
      </c>
    </row>
    <row r="179" spans="1:7" x14ac:dyDescent="0.45">
      <c r="A179" s="121"/>
      <c r="B179" s="12">
        <v>0</v>
      </c>
      <c r="C179" s="12"/>
      <c r="D179" s="12"/>
      <c r="E179" s="14">
        <v>1000</v>
      </c>
    </row>
    <row r="181" spans="1:7" x14ac:dyDescent="0.45">
      <c r="A181" s="1" t="s">
        <v>7</v>
      </c>
    </row>
    <row r="183" spans="1:7" x14ac:dyDescent="0.45">
      <c r="A183" s="20"/>
      <c r="B183" s="21" t="s">
        <v>9</v>
      </c>
      <c r="C183" s="21" t="s">
        <v>282</v>
      </c>
      <c r="D183" s="21" t="s">
        <v>11</v>
      </c>
      <c r="E183" s="26" t="s">
        <v>276</v>
      </c>
      <c r="G183" s="40" t="s">
        <v>218</v>
      </c>
    </row>
    <row r="184" spans="1:7" x14ac:dyDescent="0.45">
      <c r="A184" s="118" t="s">
        <v>13</v>
      </c>
      <c r="B184" s="11">
        <v>5</v>
      </c>
      <c r="C184" s="11">
        <v>6</v>
      </c>
      <c r="D184" s="13">
        <v>3</v>
      </c>
      <c r="E184" s="11">
        <v>8</v>
      </c>
      <c r="G184" s="40" t="s">
        <v>219</v>
      </c>
    </row>
    <row r="185" spans="1:7" x14ac:dyDescent="0.45">
      <c r="A185" s="119"/>
      <c r="B185" s="12"/>
      <c r="C185" s="12"/>
      <c r="D185" s="14">
        <v>500</v>
      </c>
      <c r="E185" s="12">
        <v>0</v>
      </c>
      <c r="G185" s="40" t="s">
        <v>245</v>
      </c>
    </row>
    <row r="186" spans="1:7" x14ac:dyDescent="0.45">
      <c r="A186" s="118" t="s">
        <v>81</v>
      </c>
      <c r="B186" s="11">
        <v>1</v>
      </c>
      <c r="C186" s="13">
        <v>1</v>
      </c>
      <c r="D186" s="11">
        <v>2</v>
      </c>
      <c r="E186" s="13">
        <v>3</v>
      </c>
      <c r="G186" s="40" t="s">
        <v>280</v>
      </c>
    </row>
    <row r="187" spans="1:7" x14ac:dyDescent="0.45">
      <c r="A187" s="119"/>
      <c r="B187" s="12"/>
      <c r="C187" s="14">
        <v>1000</v>
      </c>
      <c r="D187" s="12"/>
      <c r="E187" s="14">
        <v>0</v>
      </c>
      <c r="G187" s="40" t="s">
        <v>281</v>
      </c>
    </row>
    <row r="188" spans="1:7" x14ac:dyDescent="0.45">
      <c r="A188" s="118" t="s">
        <v>220</v>
      </c>
      <c r="B188" s="15">
        <v>2</v>
      </c>
      <c r="C188" s="16">
        <v>5</v>
      </c>
      <c r="D188" s="15">
        <v>4</v>
      </c>
      <c r="E188" s="16">
        <v>4</v>
      </c>
      <c r="G188" s="40" t="s">
        <v>277</v>
      </c>
    </row>
    <row r="189" spans="1:7" x14ac:dyDescent="0.45">
      <c r="A189" s="119"/>
      <c r="B189" s="38">
        <v>1000</v>
      </c>
      <c r="C189" s="37"/>
      <c r="D189" s="38">
        <v>500</v>
      </c>
      <c r="E189" s="37"/>
      <c r="G189" s="40" t="s">
        <v>274</v>
      </c>
    </row>
    <row r="190" spans="1:7" x14ac:dyDescent="0.45">
      <c r="A190" s="118" t="s">
        <v>275</v>
      </c>
      <c r="B190" s="11">
        <v>6</v>
      </c>
      <c r="C190" s="11">
        <v>3</v>
      </c>
      <c r="D190" s="13">
        <v>5</v>
      </c>
      <c r="E190" s="13">
        <v>9</v>
      </c>
      <c r="G190" s="40" t="s">
        <v>279</v>
      </c>
    </row>
    <row r="191" spans="1:7" x14ac:dyDescent="0.45">
      <c r="A191" s="119"/>
      <c r="B191" s="12"/>
      <c r="C191" s="12" t="s">
        <v>284</v>
      </c>
      <c r="D191" s="14">
        <v>1000</v>
      </c>
      <c r="E191" s="14">
        <v>1000</v>
      </c>
    </row>
    <row r="192" spans="1:7" x14ac:dyDescent="0.45">
      <c r="A192" s="120" t="s">
        <v>278</v>
      </c>
      <c r="B192" s="29">
        <v>0</v>
      </c>
      <c r="C192" s="29">
        <v>0</v>
      </c>
      <c r="D192" s="29">
        <v>0</v>
      </c>
      <c r="E192" s="31">
        <v>0</v>
      </c>
    </row>
    <row r="193" spans="1:7" x14ac:dyDescent="0.45">
      <c r="A193" s="121"/>
      <c r="B193" s="12">
        <v>0</v>
      </c>
      <c r="C193" s="12"/>
      <c r="D193" s="12"/>
      <c r="E193" s="14">
        <v>1000</v>
      </c>
    </row>
    <row r="195" spans="1:7" x14ac:dyDescent="0.45">
      <c r="A195" s="40" t="s">
        <v>283</v>
      </c>
    </row>
    <row r="197" spans="1:7" x14ac:dyDescent="0.45">
      <c r="A197" s="20"/>
      <c r="B197" s="21" t="s">
        <v>9</v>
      </c>
      <c r="C197" s="21" t="s">
        <v>282</v>
      </c>
      <c r="D197" s="21" t="s">
        <v>11</v>
      </c>
      <c r="E197" s="26" t="s">
        <v>276</v>
      </c>
    </row>
    <row r="198" spans="1:7" x14ac:dyDescent="0.45">
      <c r="A198" s="118" t="s">
        <v>13</v>
      </c>
      <c r="B198" s="11">
        <v>5</v>
      </c>
      <c r="C198" s="11">
        <v>6</v>
      </c>
      <c r="D198" s="13">
        <v>3</v>
      </c>
      <c r="E198" s="11">
        <v>8</v>
      </c>
    </row>
    <row r="199" spans="1:7" x14ac:dyDescent="0.45">
      <c r="A199" s="119"/>
      <c r="B199" s="12"/>
      <c r="C199" s="12"/>
      <c r="D199" s="14">
        <v>500</v>
      </c>
      <c r="E199" s="12">
        <v>0</v>
      </c>
    </row>
    <row r="200" spans="1:7" x14ac:dyDescent="0.45">
      <c r="A200" s="118" t="s">
        <v>81</v>
      </c>
      <c r="B200" s="11">
        <v>1</v>
      </c>
      <c r="C200" s="13">
        <v>1</v>
      </c>
      <c r="D200" s="11">
        <v>2</v>
      </c>
      <c r="E200" s="13">
        <v>3</v>
      </c>
    </row>
    <row r="201" spans="1:7" x14ac:dyDescent="0.45">
      <c r="A201" s="119"/>
      <c r="B201" s="12"/>
      <c r="C201" s="14" t="s">
        <v>217</v>
      </c>
      <c r="D201" s="12"/>
      <c r="E201" s="14" t="s">
        <v>19</v>
      </c>
    </row>
    <row r="202" spans="1:7" x14ac:dyDescent="0.45">
      <c r="A202" s="118" t="s">
        <v>220</v>
      </c>
      <c r="B202" s="15">
        <v>2</v>
      </c>
      <c r="C202" s="16">
        <v>5</v>
      </c>
      <c r="D202" s="15">
        <v>4</v>
      </c>
      <c r="E202" s="16">
        <v>4</v>
      </c>
    </row>
    <row r="203" spans="1:7" x14ac:dyDescent="0.45">
      <c r="A203" s="119"/>
      <c r="B203" s="38">
        <v>1000</v>
      </c>
      <c r="C203" s="37"/>
      <c r="D203" s="38">
        <v>500</v>
      </c>
      <c r="E203" s="37"/>
    </row>
    <row r="204" spans="1:7" x14ac:dyDescent="0.45">
      <c r="A204" s="118" t="s">
        <v>275</v>
      </c>
      <c r="B204" s="11">
        <v>6</v>
      </c>
      <c r="C204" s="11">
        <v>3</v>
      </c>
      <c r="D204" s="13">
        <v>5</v>
      </c>
      <c r="E204" s="13">
        <v>9</v>
      </c>
    </row>
    <row r="205" spans="1:7" x14ac:dyDescent="0.45">
      <c r="A205" s="119"/>
      <c r="B205" s="12"/>
      <c r="C205" s="12" t="s">
        <v>285</v>
      </c>
      <c r="D205" s="14">
        <v>1000</v>
      </c>
      <c r="E205" s="14" t="s">
        <v>217</v>
      </c>
    </row>
    <row r="206" spans="1:7" x14ac:dyDescent="0.45">
      <c r="A206" s="120" t="s">
        <v>278</v>
      </c>
      <c r="B206" s="29">
        <v>0</v>
      </c>
      <c r="C206" s="29">
        <v>0</v>
      </c>
      <c r="D206" s="29">
        <v>0</v>
      </c>
      <c r="E206" s="31">
        <v>0</v>
      </c>
    </row>
    <row r="207" spans="1:7" x14ac:dyDescent="0.45">
      <c r="A207" s="121"/>
      <c r="B207" s="12">
        <v>0</v>
      </c>
      <c r="C207" s="12"/>
      <c r="D207" s="12"/>
      <c r="E207" s="14">
        <v>1000</v>
      </c>
      <c r="G207" s="1" t="s">
        <v>298</v>
      </c>
    </row>
    <row r="209" spans="1:5" x14ac:dyDescent="0.45">
      <c r="A209" s="1" t="s">
        <v>22</v>
      </c>
    </row>
    <row r="211" spans="1:5" x14ac:dyDescent="0.45">
      <c r="A211" s="20"/>
      <c r="B211" s="21" t="s">
        <v>9</v>
      </c>
      <c r="C211" s="21" t="s">
        <v>282</v>
      </c>
      <c r="D211" s="21" t="s">
        <v>11</v>
      </c>
      <c r="E211" s="26" t="s">
        <v>276</v>
      </c>
    </row>
    <row r="212" spans="1:5" x14ac:dyDescent="0.45">
      <c r="A212" s="118" t="s">
        <v>13</v>
      </c>
      <c r="B212" s="11">
        <v>5</v>
      </c>
      <c r="C212" s="11">
        <v>6</v>
      </c>
      <c r="D212" s="13">
        <v>3</v>
      </c>
      <c r="E212" s="11">
        <v>8</v>
      </c>
    </row>
    <row r="213" spans="1:5" x14ac:dyDescent="0.45">
      <c r="A213" s="119"/>
      <c r="B213" s="12"/>
      <c r="C213" s="12"/>
      <c r="D213" s="14">
        <v>500</v>
      </c>
      <c r="E213" s="12">
        <v>0</v>
      </c>
    </row>
    <row r="214" spans="1:5" x14ac:dyDescent="0.45">
      <c r="A214" s="118" t="s">
        <v>81</v>
      </c>
      <c r="B214" s="11">
        <v>1</v>
      </c>
      <c r="C214" s="13">
        <v>1</v>
      </c>
      <c r="D214" s="11">
        <v>2</v>
      </c>
      <c r="E214" s="13">
        <v>3</v>
      </c>
    </row>
    <row r="215" spans="1:5" x14ac:dyDescent="0.45">
      <c r="A215" s="119"/>
      <c r="B215" s="12"/>
      <c r="C215" s="14">
        <v>0</v>
      </c>
      <c r="D215" s="12"/>
      <c r="E215" s="14">
        <v>1000</v>
      </c>
    </row>
    <row r="216" spans="1:5" x14ac:dyDescent="0.45">
      <c r="A216" s="118" t="s">
        <v>220</v>
      </c>
      <c r="B216" s="15">
        <v>2</v>
      </c>
      <c r="C216" s="16">
        <v>5</v>
      </c>
      <c r="D216" s="15">
        <v>4</v>
      </c>
      <c r="E216" s="16">
        <v>4</v>
      </c>
    </row>
    <row r="217" spans="1:5" x14ac:dyDescent="0.45">
      <c r="A217" s="119"/>
      <c r="B217" s="38">
        <v>1000</v>
      </c>
      <c r="C217" s="37"/>
      <c r="D217" s="38">
        <v>500</v>
      </c>
      <c r="E217" s="37"/>
    </row>
    <row r="218" spans="1:5" x14ac:dyDescent="0.45">
      <c r="A218" s="118" t="s">
        <v>275</v>
      </c>
      <c r="B218" s="11">
        <v>6</v>
      </c>
      <c r="C218" s="13">
        <v>3</v>
      </c>
      <c r="D218" s="13">
        <v>5</v>
      </c>
      <c r="E218" s="11">
        <v>9</v>
      </c>
    </row>
    <row r="219" spans="1:5" x14ac:dyDescent="0.45">
      <c r="A219" s="119"/>
      <c r="B219" s="12"/>
      <c r="C219" s="14">
        <v>1000</v>
      </c>
      <c r="D219" s="14">
        <v>1000</v>
      </c>
      <c r="E219" s="12">
        <v>0</v>
      </c>
    </row>
    <row r="220" spans="1:5" x14ac:dyDescent="0.45">
      <c r="A220" s="120" t="s">
        <v>278</v>
      </c>
      <c r="B220" s="29">
        <v>0</v>
      </c>
      <c r="C220" s="29">
        <v>0</v>
      </c>
      <c r="D220" s="29">
        <v>0</v>
      </c>
      <c r="E220" s="31">
        <v>0</v>
      </c>
    </row>
    <row r="221" spans="1:5" x14ac:dyDescent="0.45">
      <c r="A221" s="121"/>
      <c r="B221" s="12">
        <v>0</v>
      </c>
      <c r="C221" s="12"/>
      <c r="D221" s="12"/>
      <c r="E221" s="14">
        <v>1000</v>
      </c>
    </row>
    <row r="223" spans="1:5" x14ac:dyDescent="0.45">
      <c r="A223" s="1" t="s">
        <v>7</v>
      </c>
    </row>
    <row r="225" spans="1:7" x14ac:dyDescent="0.45">
      <c r="A225" s="20"/>
      <c r="B225" s="21" t="s">
        <v>9</v>
      </c>
      <c r="C225" s="21" t="s">
        <v>106</v>
      </c>
      <c r="D225" s="21" t="s">
        <v>11</v>
      </c>
      <c r="E225" s="26" t="s">
        <v>247</v>
      </c>
      <c r="G225" s="40" t="s">
        <v>218</v>
      </c>
    </row>
    <row r="226" spans="1:7" x14ac:dyDescent="0.45">
      <c r="A226" s="134" t="s">
        <v>13</v>
      </c>
      <c r="B226" s="11">
        <v>5</v>
      </c>
      <c r="C226" s="11">
        <v>6</v>
      </c>
      <c r="D226" s="13">
        <v>3</v>
      </c>
      <c r="E226" s="11">
        <v>8</v>
      </c>
      <c r="G226" s="40" t="s">
        <v>219</v>
      </c>
    </row>
    <row r="227" spans="1:7" x14ac:dyDescent="0.45">
      <c r="A227" s="135"/>
      <c r="B227" s="12"/>
      <c r="C227" s="12"/>
      <c r="D227" s="14">
        <v>500</v>
      </c>
      <c r="E227" s="12">
        <v>0</v>
      </c>
      <c r="G227" s="40" t="s">
        <v>245</v>
      </c>
    </row>
    <row r="228" spans="1:7" x14ac:dyDescent="0.45">
      <c r="A228" s="134" t="s">
        <v>39</v>
      </c>
      <c r="B228" s="11">
        <v>1</v>
      </c>
      <c r="C228" s="13">
        <v>1</v>
      </c>
      <c r="D228" s="11">
        <v>2</v>
      </c>
      <c r="E228" s="13">
        <v>3</v>
      </c>
      <c r="G228" s="40" t="s">
        <v>287</v>
      </c>
    </row>
    <row r="229" spans="1:7" x14ac:dyDescent="0.45">
      <c r="A229" s="135"/>
      <c r="B229" s="12"/>
      <c r="C229" s="14">
        <v>0</v>
      </c>
      <c r="D229" s="12">
        <v>-1</v>
      </c>
      <c r="E229" s="14">
        <v>1000</v>
      </c>
      <c r="G229" s="40" t="s">
        <v>286</v>
      </c>
    </row>
    <row r="230" spans="1:7" x14ac:dyDescent="0.45">
      <c r="A230" s="134" t="s">
        <v>220</v>
      </c>
      <c r="B230" s="15">
        <v>2</v>
      </c>
      <c r="C230" s="16">
        <v>5</v>
      </c>
      <c r="D230" s="15">
        <v>4</v>
      </c>
      <c r="E230" s="16">
        <v>4</v>
      </c>
      <c r="G230" s="40" t="s">
        <v>246</v>
      </c>
    </row>
    <row r="231" spans="1:7" x14ac:dyDescent="0.45">
      <c r="A231" s="135"/>
      <c r="B231" s="38">
        <v>1000</v>
      </c>
      <c r="C231" s="37"/>
      <c r="D231" s="38">
        <v>500</v>
      </c>
      <c r="E231" s="37"/>
      <c r="G231" s="40" t="s">
        <v>274</v>
      </c>
    </row>
    <row r="232" spans="1:7" x14ac:dyDescent="0.45">
      <c r="A232" s="134" t="s">
        <v>275</v>
      </c>
      <c r="B232" s="11">
        <v>6</v>
      </c>
      <c r="C232" s="13">
        <v>3</v>
      </c>
      <c r="D232" s="13">
        <v>5</v>
      </c>
      <c r="E232" s="11">
        <v>9</v>
      </c>
      <c r="G232" s="40" t="s">
        <v>248</v>
      </c>
    </row>
    <row r="233" spans="1:7" x14ac:dyDescent="0.45">
      <c r="A233" s="135"/>
      <c r="B233" s="12"/>
      <c r="C233" s="14">
        <v>1000</v>
      </c>
      <c r="D233" s="14">
        <v>1000</v>
      </c>
      <c r="E233" s="12">
        <v>0</v>
      </c>
    </row>
    <row r="234" spans="1:7" x14ac:dyDescent="0.45">
      <c r="A234" s="136" t="s">
        <v>16</v>
      </c>
      <c r="B234" s="29">
        <v>0</v>
      </c>
      <c r="C234" s="29">
        <v>0</v>
      </c>
      <c r="D234" s="29">
        <v>0</v>
      </c>
      <c r="E234" s="31">
        <v>0</v>
      </c>
    </row>
    <row r="235" spans="1:7" x14ac:dyDescent="0.45">
      <c r="A235" s="137"/>
      <c r="B235" s="12">
        <v>0</v>
      </c>
      <c r="C235" s="12"/>
      <c r="D235" s="12"/>
      <c r="E235" s="14">
        <v>1000</v>
      </c>
    </row>
    <row r="237" spans="1:7" x14ac:dyDescent="0.45">
      <c r="A237" s="1" t="s">
        <v>45</v>
      </c>
    </row>
    <row r="238" spans="1:7" x14ac:dyDescent="0.45">
      <c r="A238" s="1" t="s">
        <v>46</v>
      </c>
    </row>
    <row r="240" spans="1:7" x14ac:dyDescent="0.45">
      <c r="A240" s="40" t="s">
        <v>288</v>
      </c>
    </row>
    <row r="242" spans="1:7" x14ac:dyDescent="0.45">
      <c r="A242" s="20"/>
      <c r="B242" s="21" t="s">
        <v>9</v>
      </c>
      <c r="C242" s="21" t="s">
        <v>106</v>
      </c>
      <c r="D242" s="21" t="s">
        <v>11</v>
      </c>
      <c r="E242" s="26" t="s">
        <v>247</v>
      </c>
    </row>
    <row r="243" spans="1:7" x14ac:dyDescent="0.45">
      <c r="A243" s="134" t="s">
        <v>13</v>
      </c>
      <c r="B243" s="11">
        <v>5</v>
      </c>
      <c r="C243" s="11">
        <v>6</v>
      </c>
      <c r="D243" s="13">
        <v>3</v>
      </c>
      <c r="E243" s="11">
        <v>8</v>
      </c>
    </row>
    <row r="244" spans="1:7" x14ac:dyDescent="0.45">
      <c r="A244" s="135"/>
      <c r="B244" s="12"/>
      <c r="C244" s="12"/>
      <c r="D244" s="14">
        <v>500</v>
      </c>
      <c r="E244" s="12">
        <v>0</v>
      </c>
    </row>
    <row r="245" spans="1:7" x14ac:dyDescent="0.45">
      <c r="A245" s="134" t="s">
        <v>39</v>
      </c>
      <c r="B245" s="11">
        <v>1</v>
      </c>
      <c r="C245" s="13">
        <v>1</v>
      </c>
      <c r="D245" s="11">
        <v>2</v>
      </c>
      <c r="E245" s="13">
        <v>3</v>
      </c>
    </row>
    <row r="246" spans="1:7" x14ac:dyDescent="0.45">
      <c r="A246" s="135"/>
      <c r="B246" s="12"/>
      <c r="C246" s="14" t="s">
        <v>23</v>
      </c>
      <c r="D246" s="12" t="s">
        <v>289</v>
      </c>
      <c r="E246" s="14">
        <v>1000</v>
      </c>
    </row>
    <row r="247" spans="1:7" x14ac:dyDescent="0.45">
      <c r="A247" s="134" t="s">
        <v>220</v>
      </c>
      <c r="B247" s="15">
        <v>2</v>
      </c>
      <c r="C247" s="16">
        <v>5</v>
      </c>
      <c r="D247" s="15">
        <v>4</v>
      </c>
      <c r="E247" s="16">
        <v>4</v>
      </c>
    </row>
    <row r="248" spans="1:7" x14ac:dyDescent="0.45">
      <c r="A248" s="135"/>
      <c r="B248" s="38">
        <v>1000</v>
      </c>
      <c r="C248" s="37"/>
      <c r="D248" s="38">
        <v>500</v>
      </c>
      <c r="E248" s="37"/>
    </row>
    <row r="249" spans="1:7" x14ac:dyDescent="0.45">
      <c r="A249" s="134" t="s">
        <v>275</v>
      </c>
      <c r="B249" s="11">
        <v>6</v>
      </c>
      <c r="C249" s="13">
        <v>3</v>
      </c>
      <c r="D249" s="13">
        <v>5</v>
      </c>
      <c r="E249" s="11">
        <v>9</v>
      </c>
    </row>
    <row r="250" spans="1:7" x14ac:dyDescent="0.45">
      <c r="A250" s="135"/>
      <c r="B250" s="12"/>
      <c r="C250" s="14" t="s">
        <v>249</v>
      </c>
      <c r="D250" s="14" t="s">
        <v>217</v>
      </c>
      <c r="E250" s="12">
        <v>0</v>
      </c>
    </row>
    <row r="251" spans="1:7" x14ac:dyDescent="0.45">
      <c r="A251" s="136" t="s">
        <v>16</v>
      </c>
      <c r="B251" s="29">
        <v>0</v>
      </c>
      <c r="C251" s="29">
        <v>0</v>
      </c>
      <c r="D251" s="29">
        <v>0</v>
      </c>
      <c r="E251" s="31">
        <v>0</v>
      </c>
    </row>
    <row r="252" spans="1:7" x14ac:dyDescent="0.45">
      <c r="A252" s="137"/>
      <c r="B252" s="12">
        <v>0</v>
      </c>
      <c r="C252" s="12"/>
      <c r="D252" s="12"/>
      <c r="E252" s="14">
        <v>1000</v>
      </c>
      <c r="G252" s="1" t="s">
        <v>299</v>
      </c>
    </row>
    <row r="254" spans="1:7" x14ac:dyDescent="0.45">
      <c r="A254" s="1" t="s">
        <v>22</v>
      </c>
    </row>
    <row r="256" spans="1:7" x14ac:dyDescent="0.45">
      <c r="A256" s="20"/>
      <c r="B256" s="21" t="s">
        <v>9</v>
      </c>
      <c r="C256" s="21" t="s">
        <v>106</v>
      </c>
      <c r="D256" s="21" t="s">
        <v>11</v>
      </c>
      <c r="E256" s="26" t="s">
        <v>247</v>
      </c>
    </row>
    <row r="257" spans="1:7" x14ac:dyDescent="0.45">
      <c r="A257" s="134" t="s">
        <v>13</v>
      </c>
      <c r="B257" s="11">
        <v>5</v>
      </c>
      <c r="C257" s="11">
        <v>6</v>
      </c>
      <c r="D257" s="13">
        <v>3</v>
      </c>
      <c r="E257" s="11">
        <v>8</v>
      </c>
    </row>
    <row r="258" spans="1:7" x14ac:dyDescent="0.45">
      <c r="A258" s="135"/>
      <c r="B258" s="12"/>
      <c r="C258" s="12"/>
      <c r="D258" s="14">
        <v>500</v>
      </c>
      <c r="E258" s="12">
        <v>0</v>
      </c>
    </row>
    <row r="259" spans="1:7" x14ac:dyDescent="0.45">
      <c r="A259" s="134" t="s">
        <v>39</v>
      </c>
      <c r="B259" s="11">
        <v>1</v>
      </c>
      <c r="C259" s="11">
        <v>1</v>
      </c>
      <c r="D259" s="13">
        <v>2</v>
      </c>
      <c r="E259" s="13">
        <v>3</v>
      </c>
    </row>
    <row r="260" spans="1:7" x14ac:dyDescent="0.45">
      <c r="A260" s="135"/>
      <c r="B260" s="12"/>
      <c r="C260" s="12">
        <v>0</v>
      </c>
      <c r="D260" s="14">
        <v>0</v>
      </c>
      <c r="E260" s="14">
        <v>1000</v>
      </c>
    </row>
    <row r="261" spans="1:7" x14ac:dyDescent="0.45">
      <c r="A261" s="134" t="s">
        <v>220</v>
      </c>
      <c r="B261" s="15">
        <v>2</v>
      </c>
      <c r="C261" s="16">
        <v>5</v>
      </c>
      <c r="D261" s="15">
        <v>4</v>
      </c>
      <c r="E261" s="16">
        <v>4</v>
      </c>
    </row>
    <row r="262" spans="1:7" x14ac:dyDescent="0.45">
      <c r="A262" s="135"/>
      <c r="B262" s="38">
        <v>1000</v>
      </c>
      <c r="C262" s="37"/>
      <c r="D262" s="38">
        <v>500</v>
      </c>
      <c r="E262" s="37"/>
    </row>
    <row r="263" spans="1:7" x14ac:dyDescent="0.45">
      <c r="A263" s="134" t="s">
        <v>275</v>
      </c>
      <c r="B263" s="11">
        <v>6</v>
      </c>
      <c r="C263" s="13">
        <v>3</v>
      </c>
      <c r="D263" s="13">
        <v>5</v>
      </c>
      <c r="E263" s="11">
        <v>9</v>
      </c>
    </row>
    <row r="264" spans="1:7" x14ac:dyDescent="0.45">
      <c r="A264" s="135"/>
      <c r="B264" s="12"/>
      <c r="C264" s="14">
        <v>1000</v>
      </c>
      <c r="D264" s="14">
        <v>1000</v>
      </c>
      <c r="E264" s="12">
        <v>0</v>
      </c>
    </row>
    <row r="265" spans="1:7" x14ac:dyDescent="0.45">
      <c r="A265" s="136" t="s">
        <v>16</v>
      </c>
      <c r="B265" s="29">
        <v>0</v>
      </c>
      <c r="C265" s="29">
        <v>0</v>
      </c>
      <c r="D265" s="29">
        <v>0</v>
      </c>
      <c r="E265" s="31">
        <v>0</v>
      </c>
    </row>
    <row r="266" spans="1:7" x14ac:dyDescent="0.45">
      <c r="A266" s="137"/>
      <c r="B266" s="12">
        <v>0</v>
      </c>
      <c r="C266" s="12"/>
      <c r="D266" s="12"/>
      <c r="E266" s="14">
        <v>1000</v>
      </c>
    </row>
    <row r="268" spans="1:7" x14ac:dyDescent="0.45">
      <c r="A268" s="1" t="s">
        <v>7</v>
      </c>
    </row>
    <row r="270" spans="1:7" x14ac:dyDescent="0.45">
      <c r="A270" s="20"/>
      <c r="B270" s="21" t="s">
        <v>9</v>
      </c>
      <c r="C270" s="21" t="s">
        <v>106</v>
      </c>
      <c r="D270" s="21" t="s">
        <v>11</v>
      </c>
      <c r="E270" s="26" t="s">
        <v>293</v>
      </c>
      <c r="G270" s="40" t="s">
        <v>218</v>
      </c>
    </row>
    <row r="271" spans="1:7" x14ac:dyDescent="0.45">
      <c r="A271" s="134" t="s">
        <v>13</v>
      </c>
      <c r="B271" s="11">
        <v>5</v>
      </c>
      <c r="C271" s="11">
        <v>6</v>
      </c>
      <c r="D271" s="13">
        <v>3</v>
      </c>
      <c r="E271" s="11">
        <v>8</v>
      </c>
      <c r="G271" s="40" t="s">
        <v>290</v>
      </c>
    </row>
    <row r="272" spans="1:7" x14ac:dyDescent="0.45">
      <c r="A272" s="135"/>
      <c r="B272" s="12"/>
      <c r="C272" s="12"/>
      <c r="D272" s="14">
        <v>500</v>
      </c>
      <c r="E272" s="12">
        <v>0</v>
      </c>
      <c r="G272" s="40" t="s">
        <v>245</v>
      </c>
    </row>
    <row r="273" spans="1:7" x14ac:dyDescent="0.45">
      <c r="A273" s="134" t="s">
        <v>14</v>
      </c>
      <c r="B273" s="11">
        <v>1</v>
      </c>
      <c r="C273" s="11">
        <v>1</v>
      </c>
      <c r="D273" s="13">
        <v>2</v>
      </c>
      <c r="E273" s="13">
        <v>3</v>
      </c>
      <c r="G273" s="40" t="s">
        <v>291</v>
      </c>
    </row>
    <row r="274" spans="1:7" x14ac:dyDescent="0.45">
      <c r="A274" s="135"/>
      <c r="B274" s="12"/>
      <c r="C274" s="12">
        <v>0</v>
      </c>
      <c r="D274" s="14">
        <v>0</v>
      </c>
      <c r="E274" s="14">
        <v>1000</v>
      </c>
      <c r="G274" s="40" t="s">
        <v>297</v>
      </c>
    </row>
    <row r="275" spans="1:7" x14ac:dyDescent="0.45">
      <c r="A275" s="134" t="s">
        <v>220</v>
      </c>
      <c r="B275" s="15">
        <v>2</v>
      </c>
      <c r="C275" s="16">
        <v>5</v>
      </c>
      <c r="D275" s="15">
        <v>4</v>
      </c>
      <c r="E275" s="16">
        <v>4</v>
      </c>
      <c r="G275" s="40" t="s">
        <v>292</v>
      </c>
    </row>
    <row r="276" spans="1:7" x14ac:dyDescent="0.45">
      <c r="A276" s="135"/>
      <c r="B276" s="38">
        <v>1000</v>
      </c>
      <c r="C276" s="37"/>
      <c r="D276" s="38">
        <v>500</v>
      </c>
      <c r="E276" s="37" t="s">
        <v>300</v>
      </c>
      <c r="G276" s="40" t="s">
        <v>294</v>
      </c>
    </row>
    <row r="277" spans="1:7" x14ac:dyDescent="0.45">
      <c r="A277" s="134" t="s">
        <v>275</v>
      </c>
      <c r="B277" s="11">
        <v>6</v>
      </c>
      <c r="C277" s="13">
        <v>3</v>
      </c>
      <c r="D277" s="13">
        <v>5</v>
      </c>
      <c r="E277" s="11">
        <v>9</v>
      </c>
      <c r="G277" s="40" t="s">
        <v>296</v>
      </c>
    </row>
    <row r="278" spans="1:7" x14ac:dyDescent="0.45">
      <c r="A278" s="135"/>
      <c r="B278" s="12"/>
      <c r="C278" s="14">
        <v>1000</v>
      </c>
      <c r="D278" s="14">
        <v>1000</v>
      </c>
      <c r="E278" s="12">
        <v>0</v>
      </c>
    </row>
    <row r="279" spans="1:7" x14ac:dyDescent="0.45">
      <c r="A279" s="136" t="s">
        <v>295</v>
      </c>
      <c r="B279" s="29">
        <v>0</v>
      </c>
      <c r="C279" s="29">
        <v>0</v>
      </c>
      <c r="D279" s="29">
        <v>0</v>
      </c>
      <c r="E279" s="31">
        <v>0</v>
      </c>
    </row>
    <row r="280" spans="1:7" x14ac:dyDescent="0.45">
      <c r="A280" s="137"/>
      <c r="B280" s="12">
        <v>0</v>
      </c>
      <c r="C280" s="12"/>
      <c r="D280" s="12"/>
      <c r="E280" s="14">
        <v>1000</v>
      </c>
    </row>
    <row r="282" spans="1:7" x14ac:dyDescent="0.45">
      <c r="A282" s="40" t="s">
        <v>31</v>
      </c>
    </row>
    <row r="284" spans="1:7" x14ac:dyDescent="0.45">
      <c r="A284" s="20"/>
      <c r="B284" s="21" t="s">
        <v>9</v>
      </c>
      <c r="C284" s="21" t="s">
        <v>106</v>
      </c>
      <c r="D284" s="21" t="s">
        <v>11</v>
      </c>
      <c r="E284" s="26" t="s">
        <v>293</v>
      </c>
    </row>
    <row r="285" spans="1:7" x14ac:dyDescent="0.45">
      <c r="A285" s="134" t="s">
        <v>13</v>
      </c>
      <c r="B285" s="11">
        <v>5</v>
      </c>
      <c r="C285" s="11">
        <v>6</v>
      </c>
      <c r="D285" s="13">
        <v>3</v>
      </c>
      <c r="E285" s="11">
        <v>8</v>
      </c>
    </row>
    <row r="286" spans="1:7" x14ac:dyDescent="0.45">
      <c r="A286" s="135"/>
      <c r="B286" s="12"/>
      <c r="C286" s="12"/>
      <c r="D286" s="14">
        <v>500</v>
      </c>
      <c r="E286" s="12">
        <v>0</v>
      </c>
    </row>
    <row r="287" spans="1:7" x14ac:dyDescent="0.45">
      <c r="A287" s="134" t="s">
        <v>14</v>
      </c>
      <c r="B287" s="11">
        <v>1</v>
      </c>
      <c r="C287" s="11">
        <v>1</v>
      </c>
      <c r="D287" s="13">
        <v>2</v>
      </c>
      <c r="E287" s="13">
        <v>3</v>
      </c>
    </row>
    <row r="288" spans="1:7" x14ac:dyDescent="0.45">
      <c r="A288" s="135"/>
      <c r="B288" s="12"/>
      <c r="C288" s="12">
        <v>0</v>
      </c>
      <c r="D288" s="14" t="s">
        <v>19</v>
      </c>
      <c r="E288" s="14" t="s">
        <v>217</v>
      </c>
    </row>
    <row r="289" spans="1:7" x14ac:dyDescent="0.45">
      <c r="A289" s="134" t="s">
        <v>220</v>
      </c>
      <c r="B289" s="15">
        <v>2</v>
      </c>
      <c r="C289" s="16">
        <v>5</v>
      </c>
      <c r="D289" s="15">
        <v>4</v>
      </c>
      <c r="E289" s="16">
        <v>4</v>
      </c>
    </row>
    <row r="290" spans="1:7" x14ac:dyDescent="0.45">
      <c r="A290" s="135"/>
      <c r="B290" s="38">
        <v>1000</v>
      </c>
      <c r="C290" s="37"/>
      <c r="D290" s="38" t="s">
        <v>302</v>
      </c>
      <c r="E290" s="37" t="s">
        <v>301</v>
      </c>
    </row>
    <row r="291" spans="1:7" x14ac:dyDescent="0.45">
      <c r="A291" s="134" t="s">
        <v>275</v>
      </c>
      <c r="B291" s="11">
        <v>6</v>
      </c>
      <c r="C291" s="13">
        <v>3</v>
      </c>
      <c r="D291" s="13">
        <v>5</v>
      </c>
      <c r="E291" s="11">
        <v>9</v>
      </c>
    </row>
    <row r="292" spans="1:7" x14ac:dyDescent="0.45">
      <c r="A292" s="135"/>
      <c r="B292" s="12"/>
      <c r="C292" s="14">
        <v>1000</v>
      </c>
      <c r="D292" s="14">
        <v>1000</v>
      </c>
      <c r="E292" s="12">
        <v>0</v>
      </c>
    </row>
    <row r="293" spans="1:7" x14ac:dyDescent="0.45">
      <c r="A293" s="136" t="s">
        <v>295</v>
      </c>
      <c r="B293" s="29">
        <v>0</v>
      </c>
      <c r="C293" s="29">
        <v>0</v>
      </c>
      <c r="D293" s="29">
        <v>0</v>
      </c>
      <c r="E293" s="31">
        <v>0</v>
      </c>
    </row>
    <row r="294" spans="1:7" x14ac:dyDescent="0.45">
      <c r="A294" s="137"/>
      <c r="B294" s="12">
        <v>0</v>
      </c>
      <c r="C294" s="12"/>
      <c r="D294" s="12"/>
      <c r="E294" s="14">
        <v>1000</v>
      </c>
      <c r="G294" s="1" t="s">
        <v>308</v>
      </c>
    </row>
    <row r="296" spans="1:7" x14ac:dyDescent="0.45">
      <c r="A296" s="1" t="s">
        <v>22</v>
      </c>
    </row>
    <row r="298" spans="1:7" x14ac:dyDescent="0.45">
      <c r="A298" s="20"/>
      <c r="B298" s="21" t="s">
        <v>9</v>
      </c>
      <c r="C298" s="21" t="s">
        <v>106</v>
      </c>
      <c r="D298" s="21" t="s">
        <v>11</v>
      </c>
      <c r="E298" s="26" t="s">
        <v>247</v>
      </c>
    </row>
    <row r="299" spans="1:7" x14ac:dyDescent="0.45">
      <c r="A299" s="134" t="s">
        <v>13</v>
      </c>
      <c r="B299" s="11">
        <v>5</v>
      </c>
      <c r="C299" s="11">
        <v>6</v>
      </c>
      <c r="D299" s="13">
        <v>3</v>
      </c>
      <c r="E299" s="11">
        <v>8</v>
      </c>
    </row>
    <row r="300" spans="1:7" x14ac:dyDescent="0.45">
      <c r="A300" s="135"/>
      <c r="B300" s="12"/>
      <c r="C300" s="12"/>
      <c r="D300" s="14">
        <v>500</v>
      </c>
      <c r="E300" s="12">
        <v>0</v>
      </c>
    </row>
    <row r="301" spans="1:7" x14ac:dyDescent="0.45">
      <c r="A301" s="134" t="s">
        <v>39</v>
      </c>
      <c r="B301" s="11">
        <v>1</v>
      </c>
      <c r="C301" s="11">
        <v>1</v>
      </c>
      <c r="D301" s="13">
        <v>2</v>
      </c>
      <c r="E301" s="13">
        <v>3</v>
      </c>
    </row>
    <row r="302" spans="1:7" x14ac:dyDescent="0.45">
      <c r="A302" s="135"/>
      <c r="B302" s="12"/>
      <c r="C302" s="12">
        <v>0</v>
      </c>
      <c r="D302" s="14">
        <v>500</v>
      </c>
      <c r="E302" s="14">
        <v>500</v>
      </c>
    </row>
    <row r="303" spans="1:7" x14ac:dyDescent="0.45">
      <c r="A303" s="134" t="s">
        <v>220</v>
      </c>
      <c r="B303" s="15">
        <v>2</v>
      </c>
      <c r="C303" s="16">
        <v>5</v>
      </c>
      <c r="D303" s="16">
        <v>4</v>
      </c>
      <c r="E303" s="15">
        <v>4</v>
      </c>
    </row>
    <row r="304" spans="1:7" x14ac:dyDescent="0.45">
      <c r="A304" s="135"/>
      <c r="B304" s="38">
        <v>1000</v>
      </c>
      <c r="C304" s="37"/>
      <c r="D304" s="37">
        <v>0</v>
      </c>
      <c r="E304" s="38">
        <v>500</v>
      </c>
    </row>
    <row r="305" spans="1:7" x14ac:dyDescent="0.45">
      <c r="A305" s="134" t="s">
        <v>275</v>
      </c>
      <c r="B305" s="11">
        <v>6</v>
      </c>
      <c r="C305" s="13">
        <v>3</v>
      </c>
      <c r="D305" s="13">
        <v>5</v>
      </c>
      <c r="E305" s="11">
        <v>9</v>
      </c>
    </row>
    <row r="306" spans="1:7" x14ac:dyDescent="0.45">
      <c r="A306" s="135"/>
      <c r="B306" s="12"/>
      <c r="C306" s="14">
        <v>1000</v>
      </c>
      <c r="D306" s="14">
        <v>1000</v>
      </c>
      <c r="E306" s="12">
        <v>0</v>
      </c>
    </row>
    <row r="307" spans="1:7" x14ac:dyDescent="0.45">
      <c r="A307" s="136" t="s">
        <v>16</v>
      </c>
      <c r="B307" s="29">
        <v>0</v>
      </c>
      <c r="C307" s="29">
        <v>0</v>
      </c>
      <c r="D307" s="29">
        <v>0</v>
      </c>
      <c r="E307" s="31">
        <v>0</v>
      </c>
    </row>
    <row r="308" spans="1:7" x14ac:dyDescent="0.45">
      <c r="A308" s="137"/>
      <c r="B308" s="12">
        <v>0</v>
      </c>
      <c r="C308" s="12"/>
      <c r="D308" s="12"/>
      <c r="E308" s="14">
        <v>1000</v>
      </c>
    </row>
    <row r="310" spans="1:7" x14ac:dyDescent="0.45">
      <c r="A310" s="1" t="s">
        <v>7</v>
      </c>
    </row>
    <row r="312" spans="1:7" x14ac:dyDescent="0.45">
      <c r="A312" s="20"/>
      <c r="B312" s="21" t="s">
        <v>307</v>
      </c>
      <c r="C312" s="21" t="s">
        <v>106</v>
      </c>
      <c r="D312" s="21" t="s">
        <v>11</v>
      </c>
      <c r="E312" s="26" t="s">
        <v>293</v>
      </c>
      <c r="G312" s="40" t="s">
        <v>218</v>
      </c>
    </row>
    <row r="313" spans="1:7" x14ac:dyDescent="0.45">
      <c r="A313" s="134" t="s">
        <v>13</v>
      </c>
      <c r="B313" s="11">
        <v>5</v>
      </c>
      <c r="C313" s="11">
        <v>6</v>
      </c>
      <c r="D313" s="13">
        <v>3</v>
      </c>
      <c r="E313" s="11">
        <v>8</v>
      </c>
      <c r="G313" s="40" t="s">
        <v>304</v>
      </c>
    </row>
    <row r="314" spans="1:7" x14ac:dyDescent="0.45">
      <c r="A314" s="135"/>
      <c r="B314" s="12"/>
      <c r="C314" s="12"/>
      <c r="D314" s="14">
        <v>500</v>
      </c>
      <c r="E314" s="12">
        <v>0</v>
      </c>
      <c r="G314" s="40" t="s">
        <v>306</v>
      </c>
    </row>
    <row r="315" spans="1:7" x14ac:dyDescent="0.45">
      <c r="A315" s="134" t="s">
        <v>14</v>
      </c>
      <c r="B315" s="11">
        <v>1</v>
      </c>
      <c r="C315" s="11">
        <v>1</v>
      </c>
      <c r="D315" s="13">
        <v>2</v>
      </c>
      <c r="E315" s="13">
        <v>3</v>
      </c>
      <c r="G315" s="40" t="s">
        <v>291</v>
      </c>
    </row>
    <row r="316" spans="1:7" x14ac:dyDescent="0.45">
      <c r="A316" s="135"/>
      <c r="B316" s="12"/>
      <c r="C316" s="12">
        <v>0</v>
      </c>
      <c r="D316" s="14">
        <v>500</v>
      </c>
      <c r="E316" s="14">
        <v>500</v>
      </c>
      <c r="G316" s="40" t="s">
        <v>297</v>
      </c>
    </row>
    <row r="317" spans="1:7" x14ac:dyDescent="0.45">
      <c r="A317" s="134" t="s">
        <v>305</v>
      </c>
      <c r="B317" s="15">
        <v>2</v>
      </c>
      <c r="C317" s="16">
        <v>5</v>
      </c>
      <c r="D317" s="16">
        <v>4</v>
      </c>
      <c r="E317" s="15">
        <v>4</v>
      </c>
      <c r="G317" s="40" t="s">
        <v>292</v>
      </c>
    </row>
    <row r="318" spans="1:7" x14ac:dyDescent="0.45">
      <c r="A318" s="135"/>
      <c r="B318" s="38">
        <v>1000</v>
      </c>
      <c r="C318" s="37"/>
      <c r="D318" s="37">
        <v>0</v>
      </c>
      <c r="E318" s="38">
        <v>500</v>
      </c>
      <c r="G318" s="40" t="s">
        <v>294</v>
      </c>
    </row>
    <row r="319" spans="1:7" x14ac:dyDescent="0.45">
      <c r="A319" s="134" t="s">
        <v>275</v>
      </c>
      <c r="B319" s="11">
        <v>6</v>
      </c>
      <c r="C319" s="13">
        <v>3</v>
      </c>
      <c r="D319" s="13">
        <v>5</v>
      </c>
      <c r="E319" s="11">
        <v>9</v>
      </c>
      <c r="G319" s="40" t="s">
        <v>296</v>
      </c>
    </row>
    <row r="320" spans="1:7" x14ac:dyDescent="0.45">
      <c r="A320" s="135"/>
      <c r="B320" s="12"/>
      <c r="C320" s="14">
        <v>1000</v>
      </c>
      <c r="D320" s="14">
        <v>1000</v>
      </c>
      <c r="E320" s="12">
        <v>0</v>
      </c>
    </row>
    <row r="321" spans="1:5" x14ac:dyDescent="0.45">
      <c r="A321" s="136" t="s">
        <v>295</v>
      </c>
      <c r="B321" s="29">
        <v>0</v>
      </c>
      <c r="C321" s="29">
        <v>0</v>
      </c>
      <c r="D321" s="29">
        <v>0</v>
      </c>
      <c r="E321" s="31">
        <v>0</v>
      </c>
    </row>
    <row r="322" spans="1:5" x14ac:dyDescent="0.45">
      <c r="A322" s="137"/>
      <c r="B322" s="12">
        <v>0</v>
      </c>
      <c r="C322" s="12"/>
      <c r="D322" s="12"/>
      <c r="E322" s="14">
        <v>1000</v>
      </c>
    </row>
    <row r="324" spans="1:5" x14ac:dyDescent="0.45">
      <c r="A324" s="1" t="s">
        <v>45</v>
      </c>
    </row>
    <row r="325" spans="1:5" x14ac:dyDescent="0.45">
      <c r="A325" s="1" t="s">
        <v>309</v>
      </c>
    </row>
    <row r="327" spans="1:5" x14ac:dyDescent="0.45">
      <c r="A327" s="1" t="s">
        <v>48</v>
      </c>
    </row>
    <row r="328" spans="1:5" x14ac:dyDescent="0.45">
      <c r="A328" s="1" t="s">
        <v>310</v>
      </c>
    </row>
    <row r="329" spans="1:5" x14ac:dyDescent="0.45">
      <c r="A329" s="1" t="s">
        <v>311</v>
      </c>
    </row>
    <row r="330" spans="1:5" x14ac:dyDescent="0.45">
      <c r="A330" s="1" t="s">
        <v>312</v>
      </c>
    </row>
    <row r="331" spans="1:5" x14ac:dyDescent="0.45">
      <c r="A331" s="1" t="s">
        <v>313</v>
      </c>
    </row>
    <row r="332" spans="1:5" x14ac:dyDescent="0.45">
      <c r="A332" s="1" t="s">
        <v>314</v>
      </c>
    </row>
    <row r="333" spans="1:5" x14ac:dyDescent="0.45">
      <c r="A333" s="1" t="s">
        <v>315</v>
      </c>
    </row>
    <row r="337" spans="1:11" x14ac:dyDescent="0.45">
      <c r="A337" s="1" t="s">
        <v>52</v>
      </c>
    </row>
    <row r="339" spans="1:11" x14ac:dyDescent="0.45">
      <c r="A339" s="20" t="s">
        <v>4</v>
      </c>
      <c r="B339" s="20">
        <v>1000</v>
      </c>
      <c r="C339" s="20">
        <v>1000</v>
      </c>
      <c r="D339" s="20">
        <v>2000</v>
      </c>
      <c r="E339" s="20">
        <v>2000</v>
      </c>
      <c r="G339" s="20" t="s">
        <v>4</v>
      </c>
      <c r="H339" s="20">
        <f>SUM(H340:H344)</f>
        <v>1000</v>
      </c>
      <c r="I339" s="20">
        <f t="shared" ref="I339:K339" si="0">SUM(I340:I344)</f>
        <v>1000</v>
      </c>
      <c r="J339" s="20">
        <f t="shared" si="0"/>
        <v>2000</v>
      </c>
      <c r="K339" s="20">
        <f t="shared" si="0"/>
        <v>2000</v>
      </c>
    </row>
    <row r="340" spans="1:11" x14ac:dyDescent="0.45">
      <c r="A340" s="20">
        <v>500</v>
      </c>
      <c r="B340" s="41">
        <v>5</v>
      </c>
      <c r="C340" s="41">
        <v>6</v>
      </c>
      <c r="D340" s="41">
        <v>3</v>
      </c>
      <c r="E340" s="41">
        <v>8</v>
      </c>
      <c r="G340" s="20">
        <f>SUM(H340:K340)</f>
        <v>500</v>
      </c>
      <c r="H340" s="41">
        <v>0</v>
      </c>
      <c r="I340" s="41">
        <v>0</v>
      </c>
      <c r="J340" s="41">
        <v>500</v>
      </c>
      <c r="K340" s="41">
        <v>0</v>
      </c>
    </row>
    <row r="341" spans="1:11" x14ac:dyDescent="0.45">
      <c r="A341" s="20">
        <v>1000</v>
      </c>
      <c r="B341" s="41">
        <v>1</v>
      </c>
      <c r="C341" s="41">
        <v>1</v>
      </c>
      <c r="D341" s="41">
        <v>2</v>
      </c>
      <c r="E341" s="41">
        <v>3</v>
      </c>
      <c r="G341" s="20">
        <f t="shared" ref="G341:G344" si="1">SUM(H341:K341)</f>
        <v>1000</v>
      </c>
      <c r="H341" s="41">
        <v>0</v>
      </c>
      <c r="I341" s="41">
        <v>0</v>
      </c>
      <c r="J341" s="41">
        <v>500</v>
      </c>
      <c r="K341" s="41">
        <v>500</v>
      </c>
    </row>
    <row r="342" spans="1:11" x14ac:dyDescent="0.45">
      <c r="A342" s="20">
        <v>1500</v>
      </c>
      <c r="B342" s="41">
        <v>2</v>
      </c>
      <c r="C342" s="41">
        <v>5</v>
      </c>
      <c r="D342" s="41">
        <v>4</v>
      </c>
      <c r="E342" s="41">
        <v>4</v>
      </c>
      <c r="G342" s="20">
        <f t="shared" si="1"/>
        <v>1500</v>
      </c>
      <c r="H342" s="41">
        <v>1000</v>
      </c>
      <c r="I342" s="41">
        <v>0</v>
      </c>
      <c r="J342" s="41">
        <v>0</v>
      </c>
      <c r="K342" s="41">
        <v>500</v>
      </c>
    </row>
    <row r="343" spans="1:11" x14ac:dyDescent="0.45">
      <c r="A343" s="20">
        <v>2000</v>
      </c>
      <c r="B343" s="41">
        <v>6</v>
      </c>
      <c r="C343" s="41">
        <v>3</v>
      </c>
      <c r="D343" s="41">
        <v>5</v>
      </c>
      <c r="E343" s="41">
        <v>9</v>
      </c>
      <c r="G343" s="20">
        <f t="shared" si="1"/>
        <v>2000</v>
      </c>
      <c r="H343" s="41">
        <v>0</v>
      </c>
      <c r="I343" s="41">
        <v>1000</v>
      </c>
      <c r="J343" s="41">
        <v>1000</v>
      </c>
      <c r="K343" s="41">
        <v>0</v>
      </c>
    </row>
    <row r="344" spans="1:11" x14ac:dyDescent="0.45">
      <c r="A344" s="42">
        <v>1000</v>
      </c>
      <c r="B344" s="43">
        <v>0</v>
      </c>
      <c r="C344" s="43">
        <v>0</v>
      </c>
      <c r="D344" s="43">
        <v>0</v>
      </c>
      <c r="E344" s="43">
        <v>0</v>
      </c>
      <c r="G344" s="20">
        <f t="shared" si="1"/>
        <v>1000</v>
      </c>
      <c r="H344" s="43">
        <v>0</v>
      </c>
      <c r="I344" s="43">
        <v>0</v>
      </c>
      <c r="J344" s="43">
        <v>0</v>
      </c>
      <c r="K344" s="43">
        <v>1000</v>
      </c>
    </row>
    <row r="346" spans="1:11" x14ac:dyDescent="0.45">
      <c r="G346" s="44" t="s">
        <v>53</v>
      </c>
      <c r="H346" s="45">
        <f>SUMPRODUCT(B340:E344,H340:K344)</f>
        <v>16000</v>
      </c>
    </row>
    <row r="348" spans="1:11" s="130" customFormat="1" x14ac:dyDescent="0.45">
      <c r="A348" s="130" t="s">
        <v>54</v>
      </c>
    </row>
    <row r="350" spans="1:11" x14ac:dyDescent="0.45">
      <c r="A350" s="1" t="s">
        <v>405</v>
      </c>
      <c r="C350" s="1" t="s">
        <v>406</v>
      </c>
    </row>
    <row r="352" spans="1:11" x14ac:dyDescent="0.45">
      <c r="A352" s="20" t="s">
        <v>4</v>
      </c>
      <c r="B352" s="21">
        <v>1000</v>
      </c>
      <c r="C352" s="21">
        <v>1000</v>
      </c>
      <c r="D352" s="21">
        <v>2000</v>
      </c>
      <c r="E352" s="26">
        <v>2000</v>
      </c>
      <c r="F352" s="49"/>
    </row>
    <row r="353" spans="1:55" x14ac:dyDescent="0.45">
      <c r="A353" s="134">
        <v>500</v>
      </c>
      <c r="B353" s="6">
        <v>5</v>
      </c>
      <c r="C353" s="6">
        <v>6</v>
      </c>
      <c r="D353" s="6">
        <v>3</v>
      </c>
      <c r="E353" s="6">
        <v>8</v>
      </c>
      <c r="F353" s="7"/>
    </row>
    <row r="354" spans="1:55" x14ac:dyDescent="0.45">
      <c r="A354" s="135"/>
      <c r="B354" s="10"/>
      <c r="C354" s="10"/>
      <c r="D354" s="10"/>
      <c r="E354" s="10"/>
      <c r="F354" s="7"/>
    </row>
    <row r="355" spans="1:55" x14ac:dyDescent="0.45">
      <c r="A355" s="134">
        <v>1000</v>
      </c>
      <c r="B355" s="6">
        <v>1</v>
      </c>
      <c r="C355" s="6">
        <v>1</v>
      </c>
      <c r="D355" s="6">
        <v>2</v>
      </c>
      <c r="E355" s="3">
        <v>3</v>
      </c>
      <c r="F355" s="24"/>
    </row>
    <row r="356" spans="1:55" x14ac:dyDescent="0.45">
      <c r="A356" s="135"/>
      <c r="B356" s="10"/>
      <c r="C356" s="10"/>
      <c r="D356" s="10"/>
      <c r="E356" s="48"/>
      <c r="F356" s="9"/>
    </row>
    <row r="357" spans="1:55" x14ac:dyDescent="0.45">
      <c r="A357" s="134">
        <v>1500</v>
      </c>
      <c r="B357" s="8">
        <v>2</v>
      </c>
      <c r="C357" s="8">
        <v>5</v>
      </c>
      <c r="D357" s="8">
        <v>4</v>
      </c>
      <c r="E357" s="8">
        <v>4</v>
      </c>
      <c r="F357" s="7"/>
    </row>
    <row r="358" spans="1:55" x14ac:dyDescent="0.45">
      <c r="A358" s="135"/>
      <c r="B358" s="36"/>
      <c r="C358" s="36"/>
      <c r="D358" s="36"/>
      <c r="E358" s="36"/>
      <c r="F358" s="9"/>
    </row>
    <row r="359" spans="1:55" x14ac:dyDescent="0.45">
      <c r="A359" s="134">
        <v>2000</v>
      </c>
      <c r="B359" s="6">
        <v>6</v>
      </c>
      <c r="C359" s="6">
        <v>3</v>
      </c>
      <c r="D359" s="6">
        <v>5</v>
      </c>
      <c r="E359" s="6">
        <v>9</v>
      </c>
      <c r="F359" s="7"/>
    </row>
    <row r="360" spans="1:55" x14ac:dyDescent="0.45">
      <c r="A360" s="135"/>
      <c r="B360" s="10"/>
      <c r="C360" s="10"/>
      <c r="D360" s="10"/>
      <c r="E360" s="10"/>
      <c r="F360" s="9"/>
    </row>
    <row r="361" spans="1:55" x14ac:dyDescent="0.45">
      <c r="A361" s="51"/>
      <c r="B361" s="46"/>
      <c r="C361" s="46"/>
      <c r="D361" s="46"/>
      <c r="E361" s="46"/>
      <c r="F361" s="46"/>
    </row>
    <row r="362" spans="1:55" x14ac:dyDescent="0.45">
      <c r="A362" s="20" t="s">
        <v>4</v>
      </c>
      <c r="B362" s="21">
        <v>20</v>
      </c>
      <c r="C362" s="21">
        <v>40</v>
      </c>
      <c r="D362" s="21">
        <v>50</v>
      </c>
      <c r="E362" s="26">
        <v>20</v>
      </c>
      <c r="F362" s="49">
        <v>20</v>
      </c>
      <c r="H362" s="20" t="s">
        <v>4</v>
      </c>
      <c r="I362" s="21">
        <v>20</v>
      </c>
      <c r="J362" s="21">
        <v>0</v>
      </c>
      <c r="K362" s="21">
        <v>50</v>
      </c>
      <c r="L362" s="26">
        <v>20</v>
      </c>
      <c r="M362" s="49">
        <v>20</v>
      </c>
      <c r="O362" s="20" t="s">
        <v>4</v>
      </c>
      <c r="P362" s="21">
        <v>20</v>
      </c>
      <c r="Q362" s="21">
        <v>0</v>
      </c>
      <c r="R362" s="21">
        <v>40</v>
      </c>
      <c r="S362" s="26">
        <v>20</v>
      </c>
      <c r="T362" s="49">
        <v>20</v>
      </c>
      <c r="V362" s="20" t="s">
        <v>4</v>
      </c>
      <c r="W362" s="21">
        <v>0</v>
      </c>
      <c r="X362" s="21">
        <v>0</v>
      </c>
      <c r="Y362" s="21">
        <v>40</v>
      </c>
      <c r="Z362" s="26">
        <v>20</v>
      </c>
      <c r="AA362" s="49">
        <v>20</v>
      </c>
      <c r="AC362" s="20" t="s">
        <v>4</v>
      </c>
      <c r="AD362" s="21">
        <v>0</v>
      </c>
      <c r="AE362" s="21">
        <v>0</v>
      </c>
      <c r="AF362" s="21">
        <v>40</v>
      </c>
      <c r="AG362" s="26">
        <v>0</v>
      </c>
      <c r="AH362" s="49">
        <v>20</v>
      </c>
      <c r="AJ362" s="20" t="s">
        <v>4</v>
      </c>
      <c r="AK362" s="21">
        <v>0</v>
      </c>
      <c r="AL362" s="21">
        <v>0</v>
      </c>
      <c r="AM362" s="21">
        <v>40</v>
      </c>
      <c r="AN362" s="26">
        <v>0</v>
      </c>
      <c r="AO362" s="49">
        <v>0</v>
      </c>
      <c r="AQ362" s="20" t="s">
        <v>4</v>
      </c>
      <c r="AR362" s="21">
        <v>0</v>
      </c>
      <c r="AS362" s="21">
        <v>0</v>
      </c>
      <c r="AT362" s="21">
        <v>10</v>
      </c>
      <c r="AU362" s="26">
        <v>0</v>
      </c>
      <c r="AV362" s="49">
        <v>0</v>
      </c>
      <c r="AX362" s="20" t="s">
        <v>4</v>
      </c>
      <c r="AY362" s="21">
        <v>0</v>
      </c>
      <c r="AZ362" s="21">
        <v>0</v>
      </c>
      <c r="BA362" s="21">
        <v>0</v>
      </c>
      <c r="BB362" s="26">
        <v>0</v>
      </c>
      <c r="BC362" s="49">
        <v>0</v>
      </c>
    </row>
    <row r="363" spans="1:55" x14ac:dyDescent="0.45">
      <c r="A363" s="134">
        <v>0</v>
      </c>
      <c r="B363" s="13">
        <v>1</v>
      </c>
      <c r="C363" s="11">
        <v>2</v>
      </c>
      <c r="D363" s="11">
        <v>3</v>
      </c>
      <c r="E363" s="11">
        <v>1</v>
      </c>
      <c r="F363" s="28">
        <v>1</v>
      </c>
      <c r="H363" s="134">
        <v>0</v>
      </c>
      <c r="I363" s="13">
        <v>1</v>
      </c>
      <c r="J363" s="11">
        <v>2</v>
      </c>
      <c r="K363" s="11">
        <v>3</v>
      </c>
      <c r="L363" s="11">
        <v>1</v>
      </c>
      <c r="M363" s="28">
        <v>1</v>
      </c>
      <c r="O363" s="134">
        <v>0</v>
      </c>
      <c r="P363" s="13">
        <v>1</v>
      </c>
      <c r="Q363" s="11">
        <v>2</v>
      </c>
      <c r="R363" s="11">
        <v>3</v>
      </c>
      <c r="S363" s="11">
        <v>1</v>
      </c>
      <c r="T363" s="28">
        <v>1</v>
      </c>
      <c r="V363" s="134">
        <v>0</v>
      </c>
      <c r="W363" s="13">
        <v>1</v>
      </c>
      <c r="X363" s="11">
        <v>2</v>
      </c>
      <c r="Y363" s="11">
        <v>3</v>
      </c>
      <c r="Z363" s="11">
        <v>1</v>
      </c>
      <c r="AA363" s="28">
        <v>1</v>
      </c>
      <c r="AC363" s="134">
        <v>0</v>
      </c>
      <c r="AD363" s="13">
        <v>1</v>
      </c>
      <c r="AE363" s="11">
        <v>2</v>
      </c>
      <c r="AF363" s="11">
        <v>3</v>
      </c>
      <c r="AG363" s="11">
        <v>1</v>
      </c>
      <c r="AH363" s="28">
        <v>1</v>
      </c>
      <c r="AJ363" s="134">
        <v>0</v>
      </c>
      <c r="AK363" s="13">
        <v>1</v>
      </c>
      <c r="AL363" s="11">
        <v>2</v>
      </c>
      <c r="AM363" s="11">
        <v>3</v>
      </c>
      <c r="AN363" s="11">
        <v>1</v>
      </c>
      <c r="AO363" s="28">
        <v>1</v>
      </c>
      <c r="AQ363" s="134">
        <v>0</v>
      </c>
      <c r="AR363" s="13">
        <v>1</v>
      </c>
      <c r="AS363" s="11">
        <v>2</v>
      </c>
      <c r="AT363" s="11">
        <v>3</v>
      </c>
      <c r="AU363" s="11">
        <v>1</v>
      </c>
      <c r="AV363" s="28">
        <v>1</v>
      </c>
      <c r="AX363" s="134">
        <v>0</v>
      </c>
      <c r="AY363" s="13">
        <v>1</v>
      </c>
      <c r="AZ363" s="11">
        <v>2</v>
      </c>
      <c r="BA363" s="11">
        <v>3</v>
      </c>
      <c r="BB363" s="11">
        <v>1</v>
      </c>
      <c r="BC363" s="28">
        <v>1</v>
      </c>
    </row>
    <row r="364" spans="1:55" x14ac:dyDescent="0.45">
      <c r="A364" s="135"/>
      <c r="B364" s="14">
        <v>20</v>
      </c>
      <c r="C364" s="12"/>
      <c r="D364" s="12"/>
      <c r="E364" s="12"/>
      <c r="F364" s="28"/>
      <c r="H364" s="135"/>
      <c r="I364" s="14">
        <v>20</v>
      </c>
      <c r="J364" s="12"/>
      <c r="K364" s="12"/>
      <c r="L364" s="12"/>
      <c r="M364" s="28"/>
      <c r="O364" s="135"/>
      <c r="P364" s="14">
        <v>20</v>
      </c>
      <c r="Q364" s="12"/>
      <c r="R364" s="12"/>
      <c r="S364" s="12"/>
      <c r="T364" s="28"/>
      <c r="V364" s="135"/>
      <c r="W364" s="14">
        <v>20</v>
      </c>
      <c r="X364" s="12"/>
      <c r="Y364" s="12"/>
      <c r="Z364" s="12"/>
      <c r="AA364" s="28"/>
      <c r="AC364" s="135"/>
      <c r="AD364" s="14">
        <v>20</v>
      </c>
      <c r="AE364" s="12"/>
      <c r="AF364" s="12"/>
      <c r="AG364" s="12"/>
      <c r="AH364" s="28"/>
      <c r="AJ364" s="135"/>
      <c r="AK364" s="14">
        <v>20</v>
      </c>
      <c r="AL364" s="12"/>
      <c r="AM364" s="12"/>
      <c r="AN364" s="12"/>
      <c r="AO364" s="28"/>
      <c r="AQ364" s="135"/>
      <c r="AR364" s="14">
        <v>20</v>
      </c>
      <c r="AS364" s="12"/>
      <c r="AT364" s="12"/>
      <c r="AU364" s="12"/>
      <c r="AV364" s="28"/>
      <c r="AX364" s="135"/>
      <c r="AY364" s="14">
        <v>20</v>
      </c>
      <c r="AZ364" s="12"/>
      <c r="BA364" s="12"/>
      <c r="BB364" s="12"/>
      <c r="BC364" s="28"/>
    </row>
    <row r="365" spans="1:55" x14ac:dyDescent="0.45">
      <c r="A365" s="134">
        <v>50</v>
      </c>
      <c r="B365" s="6">
        <v>4</v>
      </c>
      <c r="C365" s="6">
        <v>2</v>
      </c>
      <c r="D365" s="6">
        <v>2</v>
      </c>
      <c r="E365" s="3">
        <v>9</v>
      </c>
      <c r="F365" s="24">
        <v>9</v>
      </c>
      <c r="H365" s="134">
        <v>10</v>
      </c>
      <c r="I365" s="6">
        <v>4</v>
      </c>
      <c r="J365" s="13">
        <v>2</v>
      </c>
      <c r="K365" s="6">
        <v>2</v>
      </c>
      <c r="L365" s="3">
        <v>9</v>
      </c>
      <c r="M365" s="24">
        <v>9</v>
      </c>
      <c r="O365" s="134">
        <v>0</v>
      </c>
      <c r="P365" s="11">
        <v>4</v>
      </c>
      <c r="Q365" s="13">
        <v>2</v>
      </c>
      <c r="R365" s="13">
        <v>2</v>
      </c>
      <c r="S365" s="52">
        <v>9</v>
      </c>
      <c r="T365" s="29">
        <v>9</v>
      </c>
      <c r="V365" s="134">
        <v>0</v>
      </c>
      <c r="W365" s="11">
        <v>4</v>
      </c>
      <c r="X365" s="13">
        <v>2</v>
      </c>
      <c r="Y365" s="13">
        <v>2</v>
      </c>
      <c r="Z365" s="52">
        <v>9</v>
      </c>
      <c r="AA365" s="29">
        <v>9</v>
      </c>
      <c r="AC365" s="134">
        <v>0</v>
      </c>
      <c r="AD365" s="11">
        <v>4</v>
      </c>
      <c r="AE365" s="13">
        <v>2</v>
      </c>
      <c r="AF365" s="13">
        <v>2</v>
      </c>
      <c r="AG365" s="52">
        <v>9</v>
      </c>
      <c r="AH365" s="29">
        <v>9</v>
      </c>
      <c r="AJ365" s="134">
        <v>0</v>
      </c>
      <c r="AK365" s="11">
        <v>4</v>
      </c>
      <c r="AL365" s="13">
        <v>2</v>
      </c>
      <c r="AM365" s="13">
        <v>2</v>
      </c>
      <c r="AN365" s="52">
        <v>9</v>
      </c>
      <c r="AO365" s="29">
        <v>9</v>
      </c>
      <c r="AQ365" s="134">
        <v>0</v>
      </c>
      <c r="AR365" s="11">
        <v>4</v>
      </c>
      <c r="AS365" s="13">
        <v>2</v>
      </c>
      <c r="AT365" s="13">
        <v>2</v>
      </c>
      <c r="AU365" s="52">
        <v>9</v>
      </c>
      <c r="AV365" s="29">
        <v>9</v>
      </c>
      <c r="AX365" s="134">
        <v>0</v>
      </c>
      <c r="AY365" s="11">
        <v>4</v>
      </c>
      <c r="AZ365" s="13">
        <v>2</v>
      </c>
      <c r="BA365" s="13">
        <v>2</v>
      </c>
      <c r="BB365" s="52">
        <v>9</v>
      </c>
      <c r="BC365" s="29">
        <v>9</v>
      </c>
    </row>
    <row r="366" spans="1:55" x14ac:dyDescent="0.45">
      <c r="A366" s="135"/>
      <c r="B366" s="10"/>
      <c r="C366" s="10"/>
      <c r="D366" s="10"/>
      <c r="E366" s="48"/>
      <c r="F366" s="9"/>
      <c r="H366" s="135"/>
      <c r="I366" s="10"/>
      <c r="J366" s="14">
        <v>40</v>
      </c>
      <c r="K366" s="10"/>
      <c r="L366" s="48"/>
      <c r="M366" s="9"/>
      <c r="O366" s="135"/>
      <c r="P366" s="12"/>
      <c r="Q366" s="14">
        <v>40</v>
      </c>
      <c r="R366" s="14">
        <v>10</v>
      </c>
      <c r="S366" s="53"/>
      <c r="T366" s="27"/>
      <c r="V366" s="135"/>
      <c r="W366" s="12"/>
      <c r="X366" s="14">
        <v>40</v>
      </c>
      <c r="Y366" s="14">
        <v>10</v>
      </c>
      <c r="Z366" s="53"/>
      <c r="AA366" s="27"/>
      <c r="AC366" s="135"/>
      <c r="AD366" s="12"/>
      <c r="AE366" s="14">
        <v>40</v>
      </c>
      <c r="AF366" s="14">
        <v>10</v>
      </c>
      <c r="AG366" s="53"/>
      <c r="AH366" s="27"/>
      <c r="AJ366" s="135"/>
      <c r="AK366" s="12"/>
      <c r="AL366" s="14">
        <v>40</v>
      </c>
      <c r="AM366" s="14">
        <v>10</v>
      </c>
      <c r="AN366" s="53"/>
      <c r="AO366" s="27"/>
      <c r="AQ366" s="135"/>
      <c r="AR366" s="12"/>
      <c r="AS366" s="14">
        <v>40</v>
      </c>
      <c r="AT366" s="14">
        <v>10</v>
      </c>
      <c r="AU366" s="53"/>
      <c r="AV366" s="27"/>
      <c r="AX366" s="135"/>
      <c r="AY366" s="12"/>
      <c r="AZ366" s="14">
        <v>40</v>
      </c>
      <c r="BA366" s="14">
        <v>10</v>
      </c>
      <c r="BB366" s="53"/>
      <c r="BC366" s="27"/>
    </row>
    <row r="367" spans="1:55" x14ac:dyDescent="0.45">
      <c r="A367" s="134">
        <v>50</v>
      </c>
      <c r="B367" s="8">
        <v>5</v>
      </c>
      <c r="C367" s="8">
        <v>7</v>
      </c>
      <c r="D367" s="8">
        <v>10</v>
      </c>
      <c r="E367" s="8">
        <v>5</v>
      </c>
      <c r="F367" s="7" t="s">
        <v>55</v>
      </c>
      <c r="H367" s="134">
        <v>50</v>
      </c>
      <c r="I367" s="8">
        <v>5</v>
      </c>
      <c r="J367" s="16">
        <v>7</v>
      </c>
      <c r="K367" s="8">
        <v>10</v>
      </c>
      <c r="L367" s="8">
        <v>5</v>
      </c>
      <c r="M367" s="7" t="s">
        <v>55</v>
      </c>
      <c r="O367" s="134">
        <v>50</v>
      </c>
      <c r="P367" s="8">
        <v>5</v>
      </c>
      <c r="Q367" s="16">
        <v>7</v>
      </c>
      <c r="R367" s="19">
        <v>10</v>
      </c>
      <c r="S367" s="8">
        <v>5</v>
      </c>
      <c r="T367" s="7" t="s">
        <v>55</v>
      </c>
      <c r="V367" s="134">
        <v>50</v>
      </c>
      <c r="W367" s="16">
        <v>5</v>
      </c>
      <c r="X367" s="16">
        <v>7</v>
      </c>
      <c r="Y367" s="19">
        <v>10</v>
      </c>
      <c r="Z367" s="8">
        <v>5</v>
      </c>
      <c r="AA367" s="7" t="s">
        <v>55</v>
      </c>
      <c r="AC367" s="134">
        <v>30</v>
      </c>
      <c r="AD367" s="16">
        <v>5</v>
      </c>
      <c r="AE367" s="16">
        <v>7</v>
      </c>
      <c r="AF367" s="19">
        <v>10</v>
      </c>
      <c r="AG367" s="15">
        <v>5</v>
      </c>
      <c r="AH367" s="7" t="s">
        <v>55</v>
      </c>
      <c r="AJ367" s="134">
        <v>30</v>
      </c>
      <c r="AK367" s="16">
        <v>5</v>
      </c>
      <c r="AL367" s="16">
        <v>7</v>
      </c>
      <c r="AM367" s="19">
        <v>10</v>
      </c>
      <c r="AN367" s="15">
        <v>5</v>
      </c>
      <c r="AO367" s="28" t="s">
        <v>55</v>
      </c>
      <c r="AQ367" s="134">
        <v>0</v>
      </c>
      <c r="AR367" s="16">
        <v>5</v>
      </c>
      <c r="AS367" s="16">
        <v>7</v>
      </c>
      <c r="AT367" s="15">
        <v>10</v>
      </c>
      <c r="AU367" s="15">
        <v>5</v>
      </c>
      <c r="AV367" s="28" t="s">
        <v>55</v>
      </c>
      <c r="AX367" s="134">
        <v>0</v>
      </c>
      <c r="AY367" s="16">
        <v>5</v>
      </c>
      <c r="AZ367" s="16">
        <v>7</v>
      </c>
      <c r="BA367" s="15">
        <v>10</v>
      </c>
      <c r="BB367" s="15">
        <v>5</v>
      </c>
      <c r="BC367" s="28" t="s">
        <v>55</v>
      </c>
    </row>
    <row r="368" spans="1:55" x14ac:dyDescent="0.45">
      <c r="A368" s="135"/>
      <c r="B368" s="36"/>
      <c r="C368" s="36"/>
      <c r="D368" s="36"/>
      <c r="E368" s="36"/>
      <c r="F368" s="9"/>
      <c r="H368" s="135"/>
      <c r="I368" s="36"/>
      <c r="J368" s="37"/>
      <c r="K368" s="36"/>
      <c r="L368" s="36"/>
      <c r="M368" s="9"/>
      <c r="O368" s="135"/>
      <c r="P368" s="36"/>
      <c r="Q368" s="37"/>
      <c r="R368" s="56"/>
      <c r="S368" s="36"/>
      <c r="T368" s="9"/>
      <c r="V368" s="135"/>
      <c r="W368" s="37"/>
      <c r="X368" s="37"/>
      <c r="Y368" s="56"/>
      <c r="Z368" s="36"/>
      <c r="AA368" s="9"/>
      <c r="AC368" s="135"/>
      <c r="AD368" s="37"/>
      <c r="AE368" s="37"/>
      <c r="AF368" s="56"/>
      <c r="AG368" s="38">
        <v>20</v>
      </c>
      <c r="AH368" s="9"/>
      <c r="AJ368" s="135"/>
      <c r="AK368" s="37"/>
      <c r="AL368" s="37"/>
      <c r="AM368" s="56"/>
      <c r="AN368" s="38">
        <v>20</v>
      </c>
      <c r="AO368" s="27"/>
      <c r="AQ368" s="135"/>
      <c r="AR368" s="37"/>
      <c r="AS368" s="37"/>
      <c r="AT368" s="38">
        <v>30</v>
      </c>
      <c r="AU368" s="38">
        <v>20</v>
      </c>
      <c r="AV368" s="27"/>
      <c r="AX368" s="135"/>
      <c r="AY368" s="37"/>
      <c r="AZ368" s="37"/>
      <c r="BA368" s="38">
        <v>30</v>
      </c>
      <c r="BB368" s="38">
        <v>20</v>
      </c>
      <c r="BC368" s="27"/>
    </row>
    <row r="369" spans="1:55" x14ac:dyDescent="0.45">
      <c r="A369" s="134">
        <v>40</v>
      </c>
      <c r="B369" s="6">
        <v>4</v>
      </c>
      <c r="C369" s="6">
        <v>15</v>
      </c>
      <c r="D369" s="6">
        <v>13</v>
      </c>
      <c r="E369" s="6">
        <v>6</v>
      </c>
      <c r="F369" s="7">
        <v>6</v>
      </c>
      <c r="H369" s="134">
        <v>40</v>
      </c>
      <c r="I369" s="6">
        <v>4</v>
      </c>
      <c r="J369" s="11">
        <v>15</v>
      </c>
      <c r="K369" s="6">
        <v>13</v>
      </c>
      <c r="L369" s="6">
        <v>6</v>
      </c>
      <c r="M369" s="7">
        <v>6</v>
      </c>
      <c r="O369" s="134">
        <v>40</v>
      </c>
      <c r="P369" s="6">
        <v>4</v>
      </c>
      <c r="Q369" s="11">
        <v>15</v>
      </c>
      <c r="R369" s="17">
        <v>13</v>
      </c>
      <c r="S369" s="6">
        <v>6</v>
      </c>
      <c r="T369" s="7">
        <v>6</v>
      </c>
      <c r="V369" s="134">
        <v>20</v>
      </c>
      <c r="W369" s="13">
        <v>4</v>
      </c>
      <c r="X369" s="11">
        <v>15</v>
      </c>
      <c r="Y369" s="17">
        <v>13</v>
      </c>
      <c r="Z369" s="6">
        <v>6</v>
      </c>
      <c r="AA369" s="7">
        <v>6</v>
      </c>
      <c r="AC369" s="134">
        <v>20</v>
      </c>
      <c r="AD369" s="13">
        <v>4</v>
      </c>
      <c r="AE369" s="11">
        <v>15</v>
      </c>
      <c r="AF369" s="17">
        <v>13</v>
      </c>
      <c r="AG369" s="11">
        <v>6</v>
      </c>
      <c r="AH369" s="7">
        <v>6</v>
      </c>
      <c r="AJ369" s="134">
        <v>0</v>
      </c>
      <c r="AK369" s="13">
        <v>4</v>
      </c>
      <c r="AL369" s="11">
        <v>15</v>
      </c>
      <c r="AM369" s="11">
        <v>13</v>
      </c>
      <c r="AN369" s="11">
        <v>6</v>
      </c>
      <c r="AO369" s="30">
        <v>6</v>
      </c>
      <c r="AQ369" s="134">
        <v>0</v>
      </c>
      <c r="AR369" s="13">
        <v>4</v>
      </c>
      <c r="AS369" s="11">
        <v>15</v>
      </c>
      <c r="AT369" s="11">
        <v>13</v>
      </c>
      <c r="AU369" s="11">
        <v>6</v>
      </c>
      <c r="AV369" s="30">
        <v>6</v>
      </c>
      <c r="AX369" s="134">
        <v>0</v>
      </c>
      <c r="AY369" s="13">
        <v>4</v>
      </c>
      <c r="AZ369" s="11">
        <v>15</v>
      </c>
      <c r="BA369" s="11">
        <v>13</v>
      </c>
      <c r="BB369" s="11">
        <v>6</v>
      </c>
      <c r="BC369" s="30">
        <v>6</v>
      </c>
    </row>
    <row r="370" spans="1:55" x14ac:dyDescent="0.45">
      <c r="A370" s="135"/>
      <c r="B370" s="10"/>
      <c r="C370" s="10"/>
      <c r="D370" s="10"/>
      <c r="E370" s="10"/>
      <c r="F370" s="9"/>
      <c r="H370" s="135"/>
      <c r="I370" s="10"/>
      <c r="J370" s="12"/>
      <c r="K370" s="10"/>
      <c r="L370" s="10"/>
      <c r="M370" s="9"/>
      <c r="O370" s="135"/>
      <c r="P370" s="10"/>
      <c r="Q370" s="12"/>
      <c r="R370" s="18"/>
      <c r="S370" s="10"/>
      <c r="T370" s="9"/>
      <c r="V370" s="135"/>
      <c r="W370" s="14">
        <v>20</v>
      </c>
      <c r="X370" s="12"/>
      <c r="Y370" s="18"/>
      <c r="Z370" s="10"/>
      <c r="AA370" s="9"/>
      <c r="AC370" s="135"/>
      <c r="AD370" s="14">
        <v>20</v>
      </c>
      <c r="AE370" s="12"/>
      <c r="AF370" s="18"/>
      <c r="AG370" s="12"/>
      <c r="AH370" s="10"/>
      <c r="AJ370" s="135"/>
      <c r="AK370" s="14">
        <v>20</v>
      </c>
      <c r="AL370" s="12"/>
      <c r="AM370" s="12"/>
      <c r="AN370" s="12"/>
      <c r="AO370" s="14">
        <v>20</v>
      </c>
      <c r="AQ370" s="135"/>
      <c r="AR370" s="14">
        <v>20</v>
      </c>
      <c r="AS370" s="12"/>
      <c r="AT370" s="12"/>
      <c r="AU370" s="12"/>
      <c r="AV370" s="14">
        <v>20</v>
      </c>
      <c r="AX370" s="135"/>
      <c r="AY370" s="14">
        <v>20</v>
      </c>
      <c r="AZ370" s="12"/>
      <c r="BA370" s="12"/>
      <c r="BB370" s="12"/>
      <c r="BC370" s="14">
        <v>20</v>
      </c>
    </row>
    <row r="371" spans="1:55" x14ac:dyDescent="0.45">
      <c r="A371" s="138">
        <v>10</v>
      </c>
      <c r="B371" s="22">
        <v>0</v>
      </c>
      <c r="C371" s="24">
        <v>0</v>
      </c>
      <c r="D371" s="22">
        <v>0</v>
      </c>
      <c r="E371" s="24">
        <v>0</v>
      </c>
      <c r="F371" s="23">
        <v>0</v>
      </c>
      <c r="H371" s="138">
        <v>10</v>
      </c>
      <c r="I371" s="22">
        <v>0</v>
      </c>
      <c r="J371" s="29">
        <v>0</v>
      </c>
      <c r="K371" s="22">
        <v>0</v>
      </c>
      <c r="L371" s="24">
        <v>0</v>
      </c>
      <c r="M371" s="23">
        <v>0</v>
      </c>
      <c r="O371" s="138">
        <v>10</v>
      </c>
      <c r="P371" s="22">
        <v>0</v>
      </c>
      <c r="Q371" s="29">
        <v>0</v>
      </c>
      <c r="R371" s="57">
        <v>0</v>
      </c>
      <c r="S371" s="24">
        <v>0</v>
      </c>
      <c r="T371" s="23">
        <v>0</v>
      </c>
      <c r="V371" s="138">
        <v>10</v>
      </c>
      <c r="W371" s="54">
        <v>0</v>
      </c>
      <c r="X371" s="29">
        <v>0</v>
      </c>
      <c r="Y371" s="57">
        <v>0</v>
      </c>
      <c r="Z371" s="24">
        <v>0</v>
      </c>
      <c r="AA371" s="23">
        <v>0</v>
      </c>
      <c r="AC371" s="138">
        <v>10</v>
      </c>
      <c r="AD371" s="54">
        <v>0</v>
      </c>
      <c r="AE371" s="29">
        <v>0</v>
      </c>
      <c r="AF371" s="57">
        <v>0</v>
      </c>
      <c r="AG371" s="29">
        <v>0</v>
      </c>
      <c r="AH371" s="23">
        <v>0</v>
      </c>
      <c r="AJ371" s="138">
        <v>10</v>
      </c>
      <c r="AK371" s="54">
        <v>0</v>
      </c>
      <c r="AL371" s="29">
        <v>0</v>
      </c>
      <c r="AM371" s="57">
        <v>0</v>
      </c>
      <c r="AN371" s="29">
        <v>0</v>
      </c>
      <c r="AO371" s="59">
        <v>0</v>
      </c>
      <c r="AQ371" s="138">
        <v>10</v>
      </c>
      <c r="AR371" s="54">
        <v>0</v>
      </c>
      <c r="AS371" s="29">
        <v>0</v>
      </c>
      <c r="AT371" s="57">
        <v>0</v>
      </c>
      <c r="AU371" s="29">
        <v>0</v>
      </c>
      <c r="AV371" s="59">
        <v>0</v>
      </c>
      <c r="AX371" s="138">
        <v>0</v>
      </c>
      <c r="AY371" s="54">
        <v>0</v>
      </c>
      <c r="AZ371" s="29">
        <v>0</v>
      </c>
      <c r="BA371" s="63">
        <v>0</v>
      </c>
      <c r="BB371" s="29">
        <v>0</v>
      </c>
      <c r="BC371" s="59">
        <v>0</v>
      </c>
    </row>
    <row r="372" spans="1:55" x14ac:dyDescent="0.45">
      <c r="A372" s="139"/>
      <c r="B372" s="4"/>
      <c r="C372" s="9"/>
      <c r="D372" s="4"/>
      <c r="E372" s="9"/>
      <c r="F372" s="5"/>
      <c r="H372" s="139"/>
      <c r="I372" s="4"/>
      <c r="J372" s="27"/>
      <c r="K372" s="4"/>
      <c r="L372" s="9"/>
      <c r="M372" s="5"/>
      <c r="O372" s="139"/>
      <c r="P372" s="4"/>
      <c r="Q372" s="27"/>
      <c r="R372" s="58"/>
      <c r="S372" s="9"/>
      <c r="T372" s="5"/>
      <c r="V372" s="139"/>
      <c r="W372" s="55"/>
      <c r="X372" s="27"/>
      <c r="Y372" s="58"/>
      <c r="Z372" s="9"/>
      <c r="AA372" s="5"/>
      <c r="AC372" s="139"/>
      <c r="AD372" s="55"/>
      <c r="AE372" s="27"/>
      <c r="AF372" s="58"/>
      <c r="AG372" s="27"/>
      <c r="AH372" s="5"/>
      <c r="AJ372" s="139"/>
      <c r="AK372" s="55"/>
      <c r="AL372" s="27"/>
      <c r="AM372" s="58"/>
      <c r="AN372" s="27"/>
      <c r="AO372" s="60"/>
      <c r="AQ372" s="139"/>
      <c r="AR372" s="55"/>
      <c r="AS372" s="27"/>
      <c r="AT372" s="58"/>
      <c r="AU372" s="27"/>
      <c r="AV372" s="60"/>
      <c r="AX372" s="139"/>
      <c r="AY372" s="55"/>
      <c r="AZ372" s="27"/>
      <c r="BA372" s="64">
        <v>10</v>
      </c>
      <c r="BB372" s="27"/>
      <c r="BC372" s="60"/>
    </row>
    <row r="374" spans="1:55" x14ac:dyDescent="0.45">
      <c r="A374" s="1" t="s">
        <v>22</v>
      </c>
    </row>
    <row r="376" spans="1:55" x14ac:dyDescent="0.45">
      <c r="A376" s="20" t="s">
        <v>4</v>
      </c>
      <c r="B376" s="21">
        <v>0</v>
      </c>
      <c r="C376" s="21">
        <v>0</v>
      </c>
      <c r="D376" s="21">
        <v>0</v>
      </c>
      <c r="E376" s="26">
        <v>0</v>
      </c>
      <c r="F376" s="49">
        <v>0</v>
      </c>
    </row>
    <row r="377" spans="1:55" x14ac:dyDescent="0.45">
      <c r="A377" s="134">
        <v>0</v>
      </c>
      <c r="B377" s="13">
        <v>1</v>
      </c>
      <c r="C377" s="11">
        <v>2</v>
      </c>
      <c r="D377" s="11">
        <v>3</v>
      </c>
      <c r="E377" s="11">
        <v>1</v>
      </c>
      <c r="F377" s="28">
        <v>1</v>
      </c>
    </row>
    <row r="378" spans="1:55" x14ac:dyDescent="0.45">
      <c r="A378" s="135"/>
      <c r="B378" s="14">
        <v>20</v>
      </c>
      <c r="C378" s="12"/>
      <c r="D378" s="12"/>
      <c r="E378" s="12"/>
      <c r="F378" s="37">
        <v>0</v>
      </c>
    </row>
    <row r="379" spans="1:55" x14ac:dyDescent="0.45">
      <c r="A379" s="134">
        <v>0</v>
      </c>
      <c r="B379" s="11">
        <v>4</v>
      </c>
      <c r="C379" s="13">
        <v>2</v>
      </c>
      <c r="D379" s="13">
        <v>2</v>
      </c>
      <c r="E379" s="52">
        <v>9</v>
      </c>
      <c r="F379" s="29">
        <v>9</v>
      </c>
    </row>
    <row r="380" spans="1:55" x14ac:dyDescent="0.45">
      <c r="A380" s="135"/>
      <c r="B380" s="12"/>
      <c r="C380" s="14">
        <v>40</v>
      </c>
      <c r="D380" s="14">
        <v>10</v>
      </c>
      <c r="E380" s="53"/>
      <c r="F380" s="27"/>
    </row>
    <row r="381" spans="1:55" x14ac:dyDescent="0.45">
      <c r="A381" s="134">
        <v>0</v>
      </c>
      <c r="B381" s="16">
        <v>5</v>
      </c>
      <c r="C381" s="16">
        <v>7</v>
      </c>
      <c r="D381" s="15">
        <v>10</v>
      </c>
      <c r="E381" s="15">
        <v>5</v>
      </c>
      <c r="F381" s="28" t="s">
        <v>55</v>
      </c>
    </row>
    <row r="382" spans="1:55" x14ac:dyDescent="0.45">
      <c r="A382" s="135"/>
      <c r="B382" s="37"/>
      <c r="C382" s="37"/>
      <c r="D382" s="38">
        <v>30</v>
      </c>
      <c r="E382" s="38">
        <v>20</v>
      </c>
      <c r="F382" s="27"/>
    </row>
    <row r="383" spans="1:55" x14ac:dyDescent="0.45">
      <c r="A383" s="134">
        <v>0</v>
      </c>
      <c r="B383" s="13">
        <v>4</v>
      </c>
      <c r="C383" s="11">
        <v>15</v>
      </c>
      <c r="D383" s="11">
        <v>13</v>
      </c>
      <c r="E383" s="11">
        <v>6</v>
      </c>
      <c r="F383" s="30">
        <v>6</v>
      </c>
    </row>
    <row r="384" spans="1:55" x14ac:dyDescent="0.45">
      <c r="A384" s="135"/>
      <c r="B384" s="14">
        <v>20</v>
      </c>
      <c r="C384" s="12"/>
      <c r="D384" s="12"/>
      <c r="E384" s="12"/>
      <c r="F384" s="14">
        <v>20</v>
      </c>
    </row>
    <row r="385" spans="1:15" x14ac:dyDescent="0.45">
      <c r="A385" s="138">
        <v>0</v>
      </c>
      <c r="B385" s="54">
        <v>0</v>
      </c>
      <c r="C385" s="29">
        <v>0</v>
      </c>
      <c r="D385" s="63">
        <v>0</v>
      </c>
      <c r="E385" s="29">
        <v>0</v>
      </c>
      <c r="F385" s="65">
        <v>0</v>
      </c>
    </row>
    <row r="386" spans="1:15" x14ac:dyDescent="0.45">
      <c r="A386" s="139"/>
      <c r="B386" s="55"/>
      <c r="C386" s="27"/>
      <c r="D386" s="64">
        <v>10</v>
      </c>
      <c r="E386" s="27"/>
      <c r="F386" s="66">
        <v>0</v>
      </c>
    </row>
    <row r="388" spans="1:15" x14ac:dyDescent="0.45">
      <c r="A388" s="51" t="s">
        <v>68</v>
      </c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</row>
    <row r="389" spans="1:15" x14ac:dyDescent="0.45">
      <c r="A389" s="51" t="s">
        <v>69</v>
      </c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</row>
    <row r="390" spans="1:15" x14ac:dyDescent="0.4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</row>
    <row r="391" spans="1:15" x14ac:dyDescent="0.45">
      <c r="A391" s="51" t="s">
        <v>7</v>
      </c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</row>
    <row r="392" spans="1:15" x14ac:dyDescent="0.45">
      <c r="G392" s="51"/>
      <c r="H392" s="51"/>
      <c r="I392" s="51"/>
      <c r="J392" s="51"/>
      <c r="K392" s="51"/>
      <c r="L392" s="51"/>
      <c r="M392" s="51"/>
      <c r="N392" s="51"/>
      <c r="O392" s="51"/>
    </row>
    <row r="393" spans="1:15" x14ac:dyDescent="0.45">
      <c r="A393" s="20" t="s">
        <v>4</v>
      </c>
      <c r="B393" s="21" t="s">
        <v>9</v>
      </c>
      <c r="C393" s="21" t="s">
        <v>10</v>
      </c>
      <c r="D393" s="21" t="s">
        <v>11</v>
      </c>
      <c r="E393" s="26" t="s">
        <v>56</v>
      </c>
      <c r="F393" s="49" t="s">
        <v>57</v>
      </c>
      <c r="G393" s="51"/>
      <c r="H393" s="51"/>
      <c r="I393" s="51"/>
      <c r="J393" s="51"/>
      <c r="K393" s="51"/>
      <c r="L393" s="51"/>
      <c r="M393" s="51"/>
      <c r="N393" s="51"/>
      <c r="O393" s="51"/>
    </row>
    <row r="394" spans="1:15" x14ac:dyDescent="0.45">
      <c r="A394" s="32" t="s">
        <v>13</v>
      </c>
      <c r="B394" s="13">
        <v>1</v>
      </c>
      <c r="C394" s="11">
        <v>2</v>
      </c>
      <c r="D394" s="11">
        <v>3</v>
      </c>
      <c r="E394" s="11">
        <v>1</v>
      </c>
      <c r="F394" s="28">
        <v>1</v>
      </c>
      <c r="G394" s="51"/>
      <c r="H394" s="51"/>
      <c r="I394" s="51"/>
      <c r="J394" s="51"/>
      <c r="K394" s="51"/>
      <c r="L394" s="51"/>
      <c r="M394" s="51"/>
      <c r="N394" s="51"/>
      <c r="O394" s="51"/>
    </row>
    <row r="395" spans="1:15" x14ac:dyDescent="0.45">
      <c r="A395" s="33"/>
      <c r="B395" s="14">
        <v>20</v>
      </c>
      <c r="C395" s="12" t="s">
        <v>17</v>
      </c>
      <c r="D395" s="12"/>
      <c r="E395" s="12"/>
      <c r="F395" s="12" t="s">
        <v>62</v>
      </c>
      <c r="G395" s="51"/>
      <c r="H395" s="51"/>
      <c r="I395" s="51"/>
      <c r="J395" s="51"/>
      <c r="K395" s="51"/>
      <c r="L395" s="51"/>
      <c r="M395" s="51"/>
      <c r="N395" s="51"/>
      <c r="O395" s="51"/>
    </row>
    <row r="396" spans="1:15" x14ac:dyDescent="0.45">
      <c r="A396" s="32" t="s">
        <v>14</v>
      </c>
      <c r="B396" s="11">
        <v>4</v>
      </c>
      <c r="C396" s="13">
        <v>2</v>
      </c>
      <c r="D396" s="13">
        <v>2</v>
      </c>
      <c r="E396" s="52">
        <v>9</v>
      </c>
      <c r="F396" s="29">
        <v>9</v>
      </c>
      <c r="G396" s="51"/>
      <c r="H396" s="51"/>
      <c r="I396" s="51"/>
      <c r="J396" s="51"/>
      <c r="K396" s="51"/>
      <c r="L396" s="51"/>
      <c r="M396" s="51"/>
      <c r="N396" s="51"/>
      <c r="O396" s="51"/>
    </row>
    <row r="397" spans="1:15" x14ac:dyDescent="0.45">
      <c r="A397" s="33"/>
      <c r="B397" s="12"/>
      <c r="C397" s="14">
        <v>40</v>
      </c>
      <c r="D397" s="14">
        <v>10</v>
      </c>
      <c r="E397" s="53"/>
      <c r="F397" s="27"/>
      <c r="G397" s="51"/>
      <c r="H397" s="51"/>
      <c r="I397" s="51"/>
      <c r="J397" s="51"/>
      <c r="K397" s="51"/>
      <c r="L397" s="51"/>
      <c r="M397" s="51"/>
      <c r="N397" s="51"/>
      <c r="O397" s="51"/>
    </row>
    <row r="398" spans="1:15" x14ac:dyDescent="0.45">
      <c r="A398" s="32" t="s">
        <v>58</v>
      </c>
      <c r="B398" s="16">
        <v>5</v>
      </c>
      <c r="C398" s="16">
        <v>7</v>
      </c>
      <c r="D398" s="15">
        <v>10</v>
      </c>
      <c r="E398" s="15">
        <v>5</v>
      </c>
      <c r="F398" s="28" t="s">
        <v>55</v>
      </c>
      <c r="G398" s="51"/>
      <c r="H398" s="51"/>
      <c r="I398" s="51"/>
      <c r="J398" s="51"/>
      <c r="K398" s="51"/>
      <c r="L398" s="51"/>
      <c r="M398" s="51"/>
      <c r="N398" s="51"/>
      <c r="O398" s="51"/>
    </row>
    <row r="399" spans="1:15" x14ac:dyDescent="0.45">
      <c r="A399" s="33"/>
      <c r="B399" s="37" t="s">
        <v>70</v>
      </c>
      <c r="C399" s="37" t="s">
        <v>63</v>
      </c>
      <c r="D399" s="38" t="s">
        <v>71</v>
      </c>
      <c r="E399" s="38">
        <v>20</v>
      </c>
      <c r="F399" s="27"/>
      <c r="G399" s="51"/>
      <c r="H399" s="51"/>
      <c r="I399" s="51"/>
      <c r="J399" s="51"/>
      <c r="K399" s="51"/>
      <c r="L399" s="51"/>
      <c r="M399" s="51"/>
      <c r="N399" s="51"/>
      <c r="O399" s="51"/>
    </row>
    <row r="400" spans="1:15" x14ac:dyDescent="0.45">
      <c r="A400" s="32" t="s">
        <v>59</v>
      </c>
      <c r="B400" s="13">
        <v>4</v>
      </c>
      <c r="C400" s="11">
        <v>15</v>
      </c>
      <c r="D400" s="11">
        <v>13</v>
      </c>
      <c r="E400" s="11">
        <v>6</v>
      </c>
      <c r="F400" s="30">
        <v>6</v>
      </c>
      <c r="G400" s="51"/>
      <c r="H400" s="51"/>
      <c r="I400" s="51"/>
      <c r="J400" s="51"/>
      <c r="K400" s="51"/>
      <c r="L400" s="51"/>
      <c r="M400" s="51"/>
      <c r="N400" s="51"/>
      <c r="O400" s="51"/>
    </row>
    <row r="401" spans="1:15" x14ac:dyDescent="0.45">
      <c r="A401" s="33"/>
      <c r="B401" s="14" t="s">
        <v>65</v>
      </c>
      <c r="C401" s="12"/>
      <c r="D401" s="12"/>
      <c r="E401" s="12"/>
      <c r="F401" s="14" t="s">
        <v>67</v>
      </c>
      <c r="G401" s="51"/>
      <c r="H401" s="51"/>
      <c r="I401" s="51"/>
      <c r="J401" s="51"/>
      <c r="K401" s="51"/>
      <c r="L401" s="51"/>
      <c r="M401" s="51"/>
      <c r="N401" s="51"/>
      <c r="O401" s="51"/>
    </row>
    <row r="402" spans="1:15" x14ac:dyDescent="0.45">
      <c r="A402" s="61" t="s">
        <v>16</v>
      </c>
      <c r="B402" s="54">
        <v>0</v>
      </c>
      <c r="C402" s="29">
        <v>0</v>
      </c>
      <c r="D402" s="63">
        <v>0</v>
      </c>
      <c r="E402" s="29">
        <v>0</v>
      </c>
      <c r="F402" s="65">
        <v>0</v>
      </c>
      <c r="G402" s="51"/>
      <c r="H402" s="51"/>
      <c r="I402" s="51"/>
      <c r="J402" s="51"/>
      <c r="K402" s="51"/>
      <c r="L402" s="51"/>
      <c r="M402" s="51"/>
      <c r="N402" s="51"/>
      <c r="O402" s="51"/>
    </row>
    <row r="403" spans="1:15" x14ac:dyDescent="0.45">
      <c r="A403" s="62"/>
      <c r="B403" s="55"/>
      <c r="C403" s="27"/>
      <c r="D403" s="64" t="s">
        <v>21</v>
      </c>
      <c r="E403" s="27"/>
      <c r="F403" s="66" t="s">
        <v>23</v>
      </c>
      <c r="G403" s="51"/>
      <c r="H403" s="51" t="s">
        <v>72</v>
      </c>
      <c r="I403" s="51"/>
      <c r="J403" s="51"/>
      <c r="K403" s="51"/>
      <c r="L403" s="51"/>
      <c r="M403" s="51"/>
      <c r="N403" s="51"/>
      <c r="O403" s="51"/>
    </row>
    <row r="404" spans="1:15" x14ac:dyDescent="0.4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</row>
    <row r="405" spans="1:15" x14ac:dyDescent="0.45">
      <c r="A405" s="51" t="s">
        <v>22</v>
      </c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</row>
    <row r="406" spans="1:15" x14ac:dyDescent="0.4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</row>
    <row r="407" spans="1:15" x14ac:dyDescent="0.45">
      <c r="A407" s="20" t="s">
        <v>4</v>
      </c>
      <c r="B407" s="21">
        <v>0</v>
      </c>
      <c r="C407" s="21">
        <v>0</v>
      </c>
      <c r="D407" s="21">
        <v>0</v>
      </c>
      <c r="E407" s="26">
        <v>0</v>
      </c>
      <c r="F407" s="49">
        <v>0</v>
      </c>
      <c r="G407" s="51"/>
      <c r="H407" s="51"/>
      <c r="I407" s="51"/>
      <c r="J407" s="51"/>
      <c r="K407" s="51"/>
      <c r="L407" s="51"/>
      <c r="M407" s="51"/>
      <c r="N407" s="51"/>
      <c r="O407" s="51"/>
    </row>
    <row r="408" spans="1:15" x14ac:dyDescent="0.45">
      <c r="A408" s="32">
        <v>0</v>
      </c>
      <c r="B408" s="13">
        <v>1</v>
      </c>
      <c r="C408" s="11">
        <v>2</v>
      </c>
      <c r="D408" s="11">
        <v>3</v>
      </c>
      <c r="E408" s="11">
        <v>1</v>
      </c>
      <c r="F408" s="28">
        <v>1</v>
      </c>
      <c r="G408" s="51"/>
      <c r="H408" s="51"/>
      <c r="I408" s="51"/>
      <c r="J408" s="51"/>
      <c r="K408" s="51"/>
      <c r="L408" s="51"/>
      <c r="M408" s="51"/>
      <c r="N408" s="51"/>
      <c r="O408" s="51"/>
    </row>
    <row r="409" spans="1:15" x14ac:dyDescent="0.45">
      <c r="A409" s="33"/>
      <c r="B409" s="14">
        <v>20</v>
      </c>
      <c r="C409" s="12" t="s">
        <v>17</v>
      </c>
      <c r="D409" s="12"/>
      <c r="E409" s="12"/>
      <c r="F409" s="12"/>
      <c r="G409" s="51"/>
      <c r="H409" s="51"/>
      <c r="I409" s="51"/>
      <c r="J409" s="51"/>
      <c r="K409" s="51"/>
      <c r="L409" s="51"/>
      <c r="M409" s="51"/>
      <c r="N409" s="51"/>
      <c r="O409" s="51"/>
    </row>
    <row r="410" spans="1:15" x14ac:dyDescent="0.45">
      <c r="A410" s="32">
        <v>0</v>
      </c>
      <c r="B410" s="11">
        <v>4</v>
      </c>
      <c r="C410" s="13">
        <v>2</v>
      </c>
      <c r="D410" s="13">
        <v>2</v>
      </c>
      <c r="E410" s="52">
        <v>9</v>
      </c>
      <c r="F410" s="29">
        <v>9</v>
      </c>
      <c r="G410" s="51"/>
      <c r="H410" s="51"/>
      <c r="I410" s="51"/>
      <c r="J410" s="51"/>
      <c r="K410" s="51"/>
      <c r="L410" s="51"/>
      <c r="M410" s="51"/>
      <c r="N410" s="51"/>
      <c r="O410" s="51"/>
    </row>
    <row r="411" spans="1:15" x14ac:dyDescent="0.45">
      <c r="A411" s="33"/>
      <c r="B411" s="12"/>
      <c r="C411" s="14">
        <v>40</v>
      </c>
      <c r="D411" s="14">
        <v>10</v>
      </c>
      <c r="E411" s="53"/>
      <c r="F411" s="27"/>
      <c r="G411" s="51"/>
      <c r="H411" s="51"/>
      <c r="I411" s="51"/>
      <c r="J411" s="51"/>
      <c r="K411" s="51"/>
      <c r="L411" s="51"/>
      <c r="M411" s="51"/>
      <c r="N411" s="51"/>
      <c r="O411" s="51"/>
    </row>
    <row r="412" spans="1:15" x14ac:dyDescent="0.45">
      <c r="A412" s="32">
        <v>0</v>
      </c>
      <c r="B412" s="15">
        <v>5</v>
      </c>
      <c r="C412" s="16">
        <v>7</v>
      </c>
      <c r="D412" s="15">
        <v>10</v>
      </c>
      <c r="E412" s="15">
        <v>5</v>
      </c>
      <c r="F412" s="28" t="s">
        <v>55</v>
      </c>
      <c r="G412" s="51"/>
      <c r="H412" s="51"/>
      <c r="I412" s="51"/>
      <c r="J412" s="51"/>
      <c r="K412" s="51"/>
      <c r="L412" s="51"/>
      <c r="M412" s="51"/>
      <c r="N412" s="51"/>
      <c r="O412" s="51"/>
    </row>
    <row r="413" spans="1:15" x14ac:dyDescent="0.45">
      <c r="A413" s="33"/>
      <c r="B413" s="38">
        <v>0</v>
      </c>
      <c r="C413" s="37"/>
      <c r="D413" s="38">
        <v>30</v>
      </c>
      <c r="E413" s="38">
        <v>20</v>
      </c>
      <c r="F413" s="27"/>
      <c r="G413" s="51"/>
      <c r="H413" s="51"/>
      <c r="I413" s="51"/>
      <c r="J413" s="51"/>
      <c r="K413" s="51"/>
      <c r="L413" s="51"/>
      <c r="M413" s="51"/>
      <c r="N413" s="51"/>
      <c r="O413" s="51"/>
    </row>
    <row r="414" spans="1:15" x14ac:dyDescent="0.45">
      <c r="A414" s="32">
        <v>0</v>
      </c>
      <c r="B414" s="13">
        <v>4</v>
      </c>
      <c r="C414" s="11">
        <v>15</v>
      </c>
      <c r="D414" s="11">
        <v>13</v>
      </c>
      <c r="E414" s="11">
        <v>6</v>
      </c>
      <c r="F414" s="30">
        <v>6</v>
      </c>
      <c r="G414" s="51"/>
      <c r="H414" s="51"/>
      <c r="I414" s="51"/>
      <c r="J414" s="51"/>
      <c r="K414" s="51"/>
      <c r="L414" s="51"/>
      <c r="M414" s="51"/>
      <c r="N414" s="51"/>
      <c r="O414" s="51"/>
    </row>
    <row r="415" spans="1:15" x14ac:dyDescent="0.45">
      <c r="A415" s="33"/>
      <c r="B415" s="14">
        <v>20</v>
      </c>
      <c r="C415" s="12"/>
      <c r="D415" s="12"/>
      <c r="E415" s="12"/>
      <c r="F415" s="14">
        <v>20</v>
      </c>
      <c r="G415" s="51"/>
      <c r="H415" s="51"/>
      <c r="I415" s="51"/>
      <c r="J415" s="51"/>
      <c r="K415" s="51"/>
      <c r="L415" s="51"/>
      <c r="M415" s="51"/>
      <c r="N415" s="51"/>
      <c r="O415" s="51"/>
    </row>
    <row r="416" spans="1:15" x14ac:dyDescent="0.45">
      <c r="A416" s="61">
        <v>0</v>
      </c>
      <c r="B416" s="54">
        <v>0</v>
      </c>
      <c r="C416" s="29">
        <v>0</v>
      </c>
      <c r="D416" s="63">
        <v>0</v>
      </c>
      <c r="E416" s="29">
        <v>0</v>
      </c>
      <c r="F416" s="59">
        <v>0</v>
      </c>
      <c r="G416" s="51"/>
      <c r="H416" s="51"/>
      <c r="I416" s="51"/>
      <c r="J416" s="51"/>
      <c r="K416" s="51"/>
      <c r="L416" s="51"/>
      <c r="M416" s="51"/>
      <c r="N416" s="51"/>
      <c r="O416" s="51"/>
    </row>
    <row r="417" spans="1:15" x14ac:dyDescent="0.45">
      <c r="A417" s="62"/>
      <c r="B417" s="55"/>
      <c r="C417" s="27"/>
      <c r="D417" s="64">
        <v>10</v>
      </c>
      <c r="E417" s="27"/>
      <c r="F417" s="67">
        <v>0</v>
      </c>
      <c r="G417" s="51"/>
      <c r="H417" s="51"/>
      <c r="I417" s="51"/>
      <c r="J417" s="51"/>
      <c r="K417" s="51"/>
      <c r="L417" s="51"/>
      <c r="M417" s="51"/>
      <c r="N417" s="51"/>
      <c r="O417" s="51"/>
    </row>
    <row r="418" spans="1:15" x14ac:dyDescent="0.4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</row>
    <row r="419" spans="1:15" x14ac:dyDescent="0.45">
      <c r="A419" s="51" t="s">
        <v>7</v>
      </c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</row>
    <row r="420" spans="1:15" x14ac:dyDescent="0.4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</row>
    <row r="421" spans="1:15" x14ac:dyDescent="0.45">
      <c r="A421" s="20"/>
      <c r="B421" s="21" t="s">
        <v>9</v>
      </c>
      <c r="C421" s="21" t="s">
        <v>79</v>
      </c>
      <c r="D421" s="21" t="s">
        <v>80</v>
      </c>
      <c r="E421" s="26" t="s">
        <v>12</v>
      </c>
      <c r="F421" s="49" t="s">
        <v>57</v>
      </c>
      <c r="G421" s="51"/>
      <c r="H421" s="51" t="s">
        <v>8</v>
      </c>
      <c r="I421" s="51"/>
      <c r="J421" s="51"/>
      <c r="K421" s="51"/>
      <c r="L421" s="51"/>
      <c r="M421" s="51"/>
      <c r="N421" s="51"/>
      <c r="O421" s="51"/>
    </row>
    <row r="422" spans="1:15" x14ac:dyDescent="0.45">
      <c r="A422" s="32" t="s">
        <v>13</v>
      </c>
      <c r="B422" s="13">
        <v>1</v>
      </c>
      <c r="C422" s="11">
        <v>2</v>
      </c>
      <c r="D422" s="11">
        <v>3</v>
      </c>
      <c r="E422" s="11">
        <v>1</v>
      </c>
      <c r="F422" s="28">
        <v>1</v>
      </c>
      <c r="G422" s="51"/>
      <c r="H422" s="51" t="s">
        <v>73</v>
      </c>
      <c r="I422" s="51"/>
      <c r="J422" s="51"/>
      <c r="K422" s="51"/>
      <c r="L422" s="51"/>
      <c r="M422" s="51"/>
      <c r="N422" s="51"/>
      <c r="O422" s="51"/>
    </row>
    <row r="423" spans="1:15" x14ac:dyDescent="0.45">
      <c r="A423" s="33"/>
      <c r="B423" s="14">
        <v>20</v>
      </c>
      <c r="C423" s="12" t="s">
        <v>64</v>
      </c>
      <c r="D423" s="12" t="s">
        <v>63</v>
      </c>
      <c r="E423" s="12"/>
      <c r="F423" s="12" t="s">
        <v>62</v>
      </c>
      <c r="G423" s="51"/>
      <c r="H423" s="51" t="s">
        <v>74</v>
      </c>
      <c r="I423" s="51"/>
      <c r="J423" s="51"/>
      <c r="K423" s="51"/>
      <c r="L423" s="51"/>
      <c r="M423" s="51"/>
      <c r="N423" s="51"/>
      <c r="O423" s="51"/>
    </row>
    <row r="424" spans="1:15" x14ac:dyDescent="0.45">
      <c r="A424" s="32" t="s">
        <v>81</v>
      </c>
      <c r="B424" s="11">
        <v>4</v>
      </c>
      <c r="C424" s="13">
        <v>2</v>
      </c>
      <c r="D424" s="13">
        <v>2</v>
      </c>
      <c r="E424" s="52">
        <v>9</v>
      </c>
      <c r="F424" s="29">
        <v>9</v>
      </c>
      <c r="G424" s="51"/>
      <c r="H424" s="51" t="s">
        <v>75</v>
      </c>
      <c r="I424" s="51"/>
      <c r="J424" s="51"/>
      <c r="K424" s="51"/>
      <c r="L424" s="51"/>
      <c r="M424" s="51"/>
      <c r="N424" s="51"/>
      <c r="O424" s="51"/>
    </row>
    <row r="425" spans="1:15" x14ac:dyDescent="0.45">
      <c r="A425" s="33"/>
      <c r="B425" s="12"/>
      <c r="C425" s="14">
        <v>40</v>
      </c>
      <c r="D425" s="14">
        <v>10</v>
      </c>
      <c r="E425" s="53"/>
      <c r="F425" s="27"/>
      <c r="G425" s="51"/>
      <c r="H425" s="51" t="s">
        <v>76</v>
      </c>
      <c r="I425" s="51"/>
      <c r="J425" s="51"/>
      <c r="K425" s="51"/>
      <c r="L425" s="51"/>
      <c r="M425" s="51"/>
      <c r="N425" s="51"/>
      <c r="O425" s="51"/>
    </row>
    <row r="426" spans="1:15" x14ac:dyDescent="0.45">
      <c r="A426" s="32" t="s">
        <v>15</v>
      </c>
      <c r="B426" s="15">
        <v>5</v>
      </c>
      <c r="C426" s="16">
        <v>7</v>
      </c>
      <c r="D426" s="15">
        <v>10</v>
      </c>
      <c r="E426" s="15">
        <v>5</v>
      </c>
      <c r="F426" s="28" t="s">
        <v>55</v>
      </c>
      <c r="G426" s="51"/>
      <c r="H426" s="51" t="s">
        <v>77</v>
      </c>
      <c r="I426" s="51"/>
      <c r="J426" s="51"/>
      <c r="K426" s="51"/>
      <c r="L426" s="51"/>
      <c r="M426" s="51"/>
      <c r="N426" s="51"/>
      <c r="O426" s="51"/>
    </row>
    <row r="427" spans="1:15" x14ac:dyDescent="0.45">
      <c r="A427" s="33"/>
      <c r="B427" s="38">
        <v>0</v>
      </c>
      <c r="C427" s="37" t="s">
        <v>63</v>
      </c>
      <c r="D427" s="38">
        <v>30</v>
      </c>
      <c r="E427" s="38">
        <v>20</v>
      </c>
      <c r="F427" s="27"/>
      <c r="G427" s="51"/>
      <c r="H427" s="51" t="s">
        <v>78</v>
      </c>
      <c r="I427" s="51"/>
      <c r="J427" s="51"/>
      <c r="K427" s="51"/>
      <c r="L427" s="51"/>
      <c r="M427" s="51"/>
      <c r="N427" s="51"/>
      <c r="O427" s="51"/>
    </row>
    <row r="428" spans="1:15" x14ac:dyDescent="0.45">
      <c r="A428" s="32" t="s">
        <v>59</v>
      </c>
      <c r="B428" s="13">
        <v>4</v>
      </c>
      <c r="C428" s="11">
        <v>15</v>
      </c>
      <c r="D428" s="11">
        <v>13</v>
      </c>
      <c r="E428" s="11">
        <v>6</v>
      </c>
      <c r="F428" s="30">
        <v>6</v>
      </c>
      <c r="G428" s="51"/>
      <c r="H428" s="51" t="s">
        <v>60</v>
      </c>
      <c r="I428" s="51"/>
      <c r="J428" s="51"/>
      <c r="K428" s="51"/>
      <c r="L428" s="51"/>
      <c r="M428" s="51"/>
      <c r="N428" s="51"/>
      <c r="O428" s="51"/>
    </row>
    <row r="429" spans="1:15" x14ac:dyDescent="0.45">
      <c r="A429" s="33"/>
      <c r="B429" s="14">
        <v>20</v>
      </c>
      <c r="C429" s="12"/>
      <c r="D429" s="12"/>
      <c r="E429" s="12"/>
      <c r="F429" s="14">
        <v>20</v>
      </c>
      <c r="G429" s="51"/>
      <c r="H429" s="51" t="s">
        <v>61</v>
      </c>
      <c r="I429" s="51"/>
      <c r="J429" s="51"/>
      <c r="K429" s="51"/>
      <c r="L429" s="51"/>
      <c r="M429" s="51"/>
      <c r="N429" s="51"/>
      <c r="O429" s="51"/>
    </row>
    <row r="430" spans="1:15" x14ac:dyDescent="0.45">
      <c r="A430" s="61" t="s">
        <v>82</v>
      </c>
      <c r="B430" s="54">
        <v>0</v>
      </c>
      <c r="C430" s="29">
        <v>0</v>
      </c>
      <c r="D430" s="63">
        <v>0</v>
      </c>
      <c r="E430" s="29">
        <v>0</v>
      </c>
      <c r="F430" s="59">
        <v>0</v>
      </c>
      <c r="G430" s="51"/>
      <c r="H430" s="51"/>
      <c r="I430" s="51"/>
      <c r="J430" s="51"/>
      <c r="K430" s="51"/>
      <c r="L430" s="51"/>
      <c r="M430" s="51"/>
      <c r="N430" s="51"/>
      <c r="O430" s="51"/>
    </row>
    <row r="431" spans="1:15" x14ac:dyDescent="0.45">
      <c r="A431" s="62"/>
      <c r="B431" s="55"/>
      <c r="C431" s="27"/>
      <c r="D431" s="64">
        <v>10</v>
      </c>
      <c r="E431" s="27"/>
      <c r="F431" s="67">
        <v>0</v>
      </c>
      <c r="G431" s="51"/>
      <c r="H431" s="51"/>
      <c r="I431" s="51"/>
      <c r="J431" s="51"/>
      <c r="K431" s="51"/>
      <c r="L431" s="51"/>
      <c r="M431" s="51"/>
      <c r="N431" s="51"/>
      <c r="O431" s="51"/>
    </row>
    <row r="432" spans="1:15" x14ac:dyDescent="0.4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</row>
    <row r="433" spans="1:15" x14ac:dyDescent="0.45">
      <c r="A433" s="51" t="s">
        <v>83</v>
      </c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</row>
    <row r="434" spans="1:15" x14ac:dyDescent="0.4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</row>
    <row r="435" spans="1:15" x14ac:dyDescent="0.45">
      <c r="A435" s="20"/>
      <c r="B435" s="21" t="s">
        <v>9</v>
      </c>
      <c r="C435" s="21" t="s">
        <v>79</v>
      </c>
      <c r="D435" s="21" t="s">
        <v>80</v>
      </c>
      <c r="E435" s="26" t="s">
        <v>12</v>
      </c>
      <c r="F435" s="49" t="s">
        <v>57</v>
      </c>
      <c r="G435" s="51"/>
      <c r="H435" s="51"/>
      <c r="I435" s="51"/>
      <c r="J435" s="51"/>
      <c r="K435" s="51"/>
      <c r="L435" s="51"/>
      <c r="M435" s="51"/>
      <c r="N435" s="51"/>
      <c r="O435" s="51"/>
    </row>
    <row r="436" spans="1:15" x14ac:dyDescent="0.45">
      <c r="A436" s="32" t="s">
        <v>13</v>
      </c>
      <c r="B436" s="13">
        <v>1</v>
      </c>
      <c r="C436" s="11">
        <v>2</v>
      </c>
      <c r="D436" s="11">
        <v>3</v>
      </c>
      <c r="E436" s="11">
        <v>1</v>
      </c>
      <c r="F436" s="28">
        <v>1</v>
      </c>
      <c r="G436" s="51"/>
      <c r="H436" s="51"/>
      <c r="I436" s="51"/>
      <c r="J436" s="51"/>
      <c r="K436" s="51"/>
      <c r="L436" s="51"/>
      <c r="M436" s="51"/>
      <c r="N436" s="51"/>
      <c r="O436" s="51"/>
    </row>
    <row r="437" spans="1:15" x14ac:dyDescent="0.45">
      <c r="A437" s="33"/>
      <c r="B437" s="14" t="s">
        <v>65</v>
      </c>
      <c r="C437" s="12" t="s">
        <v>84</v>
      </c>
      <c r="D437" s="12" t="s">
        <v>63</v>
      </c>
      <c r="E437" s="12"/>
      <c r="F437" s="12" t="s">
        <v>62</v>
      </c>
      <c r="G437" s="51"/>
      <c r="H437" s="51"/>
      <c r="I437" s="51"/>
      <c r="J437" s="51"/>
      <c r="K437" s="51"/>
      <c r="L437" s="51"/>
      <c r="M437" s="51"/>
      <c r="N437" s="51"/>
      <c r="O437" s="51"/>
    </row>
    <row r="438" spans="1:15" x14ac:dyDescent="0.45">
      <c r="A438" s="32" t="s">
        <v>81</v>
      </c>
      <c r="B438" s="11">
        <v>4</v>
      </c>
      <c r="C438" s="13">
        <v>2</v>
      </c>
      <c r="D438" s="13">
        <v>2</v>
      </c>
      <c r="E438" s="52">
        <v>9</v>
      </c>
      <c r="F438" s="29">
        <v>9</v>
      </c>
      <c r="G438" s="51"/>
      <c r="H438" s="51"/>
      <c r="I438" s="51"/>
      <c r="J438" s="51"/>
      <c r="K438" s="51"/>
      <c r="L438" s="51"/>
      <c r="M438" s="51"/>
      <c r="N438" s="51"/>
      <c r="O438" s="51"/>
    </row>
    <row r="439" spans="1:15" x14ac:dyDescent="0.45">
      <c r="A439" s="33"/>
      <c r="B439" s="12"/>
      <c r="C439" s="14" t="s">
        <v>20</v>
      </c>
      <c r="D439" s="14" t="s">
        <v>21</v>
      </c>
      <c r="E439" s="53"/>
      <c r="F439" s="27"/>
      <c r="G439" s="51"/>
      <c r="H439" s="51"/>
      <c r="I439" s="51"/>
      <c r="J439" s="51"/>
      <c r="K439" s="51"/>
      <c r="L439" s="51"/>
      <c r="M439" s="51"/>
      <c r="N439" s="51"/>
      <c r="O439" s="51"/>
    </row>
    <row r="440" spans="1:15" x14ac:dyDescent="0.45">
      <c r="A440" s="32" t="s">
        <v>15</v>
      </c>
      <c r="B440" s="15">
        <v>5</v>
      </c>
      <c r="C440" s="16">
        <v>7</v>
      </c>
      <c r="D440" s="15">
        <v>10</v>
      </c>
      <c r="E440" s="15">
        <v>5</v>
      </c>
      <c r="F440" s="28" t="s">
        <v>55</v>
      </c>
      <c r="G440" s="51"/>
      <c r="H440" s="51"/>
      <c r="I440" s="51"/>
      <c r="J440" s="51"/>
      <c r="K440" s="51"/>
      <c r="L440" s="51"/>
      <c r="M440" s="51"/>
      <c r="N440" s="51"/>
      <c r="O440" s="51"/>
    </row>
    <row r="441" spans="1:15" x14ac:dyDescent="0.45">
      <c r="A441" s="33"/>
      <c r="B441" s="38" t="s">
        <v>19</v>
      </c>
      <c r="C441" s="37" t="s">
        <v>63</v>
      </c>
      <c r="D441" s="38" t="s">
        <v>71</v>
      </c>
      <c r="E441" s="38">
        <v>20</v>
      </c>
      <c r="F441" s="27"/>
    </row>
    <row r="442" spans="1:15" x14ac:dyDescent="0.45">
      <c r="A442" s="32" t="s">
        <v>59</v>
      </c>
      <c r="B442" s="13">
        <v>4</v>
      </c>
      <c r="C442" s="11">
        <v>15</v>
      </c>
      <c r="D442" s="11">
        <v>13</v>
      </c>
      <c r="E442" s="11">
        <v>6</v>
      </c>
      <c r="F442" s="30">
        <v>6</v>
      </c>
    </row>
    <row r="443" spans="1:15" x14ac:dyDescent="0.45">
      <c r="A443" s="33"/>
      <c r="B443" s="14">
        <v>20</v>
      </c>
      <c r="C443" s="12"/>
      <c r="D443" s="12"/>
      <c r="E443" s="12"/>
      <c r="F443" s="14">
        <v>20</v>
      </c>
    </row>
    <row r="444" spans="1:15" x14ac:dyDescent="0.45">
      <c r="A444" s="61" t="s">
        <v>82</v>
      </c>
      <c r="B444" s="54">
        <v>0</v>
      </c>
      <c r="C444" s="29">
        <v>0</v>
      </c>
      <c r="D444" s="63">
        <v>0</v>
      </c>
      <c r="E444" s="29">
        <v>0</v>
      </c>
      <c r="F444" s="59">
        <v>0</v>
      </c>
    </row>
    <row r="445" spans="1:15" x14ac:dyDescent="0.45">
      <c r="A445" s="62"/>
      <c r="B445" s="55"/>
      <c r="C445" s="27"/>
      <c r="D445" s="64">
        <v>10</v>
      </c>
      <c r="E445" s="27"/>
      <c r="F445" s="67">
        <v>0</v>
      </c>
      <c r="H445" s="1" t="s">
        <v>85</v>
      </c>
    </row>
    <row r="447" spans="1:15" x14ac:dyDescent="0.45">
      <c r="A447" s="1" t="s">
        <v>22</v>
      </c>
    </row>
    <row r="449" spans="1:8" x14ac:dyDescent="0.45">
      <c r="A449" s="20" t="s">
        <v>4</v>
      </c>
      <c r="B449" s="21">
        <v>0</v>
      </c>
      <c r="C449" s="21">
        <v>0</v>
      </c>
      <c r="D449" s="21">
        <v>0</v>
      </c>
      <c r="E449" s="26">
        <v>0</v>
      </c>
      <c r="F449" s="49">
        <v>0</v>
      </c>
      <c r="H449" s="39"/>
    </row>
    <row r="450" spans="1:8" x14ac:dyDescent="0.45">
      <c r="A450" s="32">
        <v>0</v>
      </c>
      <c r="B450" s="11">
        <v>1</v>
      </c>
      <c r="C450" s="13">
        <v>2</v>
      </c>
      <c r="D450" s="11">
        <v>3</v>
      </c>
      <c r="E450" s="11">
        <v>1</v>
      </c>
      <c r="F450" s="28">
        <v>1</v>
      </c>
      <c r="H450" s="39"/>
    </row>
    <row r="451" spans="1:8" x14ac:dyDescent="0.45">
      <c r="A451" s="33"/>
      <c r="B451" s="12"/>
      <c r="C451" s="14">
        <v>20</v>
      </c>
      <c r="D451" s="12"/>
      <c r="E451" s="12"/>
      <c r="F451" s="12"/>
      <c r="H451" s="39"/>
    </row>
    <row r="452" spans="1:8" x14ac:dyDescent="0.45">
      <c r="A452" s="32">
        <v>0</v>
      </c>
      <c r="B452" s="11">
        <v>4</v>
      </c>
      <c r="C452" s="13">
        <v>2</v>
      </c>
      <c r="D452" s="13">
        <v>2</v>
      </c>
      <c r="E452" s="52">
        <v>9</v>
      </c>
      <c r="F452" s="29">
        <v>9</v>
      </c>
      <c r="H452" s="39"/>
    </row>
    <row r="453" spans="1:8" x14ac:dyDescent="0.45">
      <c r="A453" s="33"/>
      <c r="B453" s="12"/>
      <c r="C453" s="14">
        <v>20</v>
      </c>
      <c r="D453" s="14">
        <v>30</v>
      </c>
      <c r="E453" s="53"/>
      <c r="F453" s="27"/>
      <c r="H453" s="39"/>
    </row>
    <row r="454" spans="1:8" x14ac:dyDescent="0.45">
      <c r="A454" s="32">
        <v>0</v>
      </c>
      <c r="B454" s="15">
        <v>5</v>
      </c>
      <c r="C454" s="16">
        <v>7</v>
      </c>
      <c r="D454" s="15">
        <v>10</v>
      </c>
      <c r="E454" s="15">
        <v>5</v>
      </c>
      <c r="F454" s="28" t="s">
        <v>55</v>
      </c>
      <c r="H454" s="39"/>
    </row>
    <row r="455" spans="1:8" x14ac:dyDescent="0.45">
      <c r="A455" s="33"/>
      <c r="B455" s="38">
        <v>20</v>
      </c>
      <c r="C455" s="37"/>
      <c r="D455" s="38">
        <v>10</v>
      </c>
      <c r="E455" s="38">
        <v>20</v>
      </c>
      <c r="F455" s="27"/>
      <c r="H455" s="39"/>
    </row>
    <row r="456" spans="1:8" x14ac:dyDescent="0.45">
      <c r="A456" s="32">
        <v>0</v>
      </c>
      <c r="B456" s="13">
        <v>4</v>
      </c>
      <c r="C456" s="11">
        <v>15</v>
      </c>
      <c r="D456" s="11">
        <v>13</v>
      </c>
      <c r="E456" s="11">
        <v>6</v>
      </c>
      <c r="F456" s="30">
        <v>6</v>
      </c>
      <c r="H456" s="39"/>
    </row>
    <row r="457" spans="1:8" x14ac:dyDescent="0.45">
      <c r="A457" s="33"/>
      <c r="B457" s="14">
        <v>20</v>
      </c>
      <c r="C457" s="12"/>
      <c r="D457" s="12"/>
      <c r="E457" s="12"/>
      <c r="F457" s="14">
        <v>20</v>
      </c>
      <c r="H457" s="39"/>
    </row>
    <row r="458" spans="1:8" x14ac:dyDescent="0.45">
      <c r="A458" s="61">
        <v>0</v>
      </c>
      <c r="B458" s="54">
        <v>0</v>
      </c>
      <c r="C458" s="29">
        <v>0</v>
      </c>
      <c r="D458" s="63">
        <v>0</v>
      </c>
      <c r="E458" s="29">
        <v>0</v>
      </c>
      <c r="F458" s="59">
        <v>0</v>
      </c>
    </row>
    <row r="459" spans="1:8" x14ac:dyDescent="0.45">
      <c r="A459" s="62"/>
      <c r="B459" s="55"/>
      <c r="C459" s="27"/>
      <c r="D459" s="64">
        <v>10</v>
      </c>
      <c r="E459" s="27"/>
      <c r="F459" s="67">
        <v>0</v>
      </c>
    </row>
    <row r="461" spans="1:8" x14ac:dyDescent="0.45">
      <c r="A461" s="1" t="s">
        <v>7</v>
      </c>
    </row>
    <row r="463" spans="1:8" x14ac:dyDescent="0.45">
      <c r="A463" s="20" t="s">
        <v>4</v>
      </c>
      <c r="B463" s="21" t="s">
        <v>91</v>
      </c>
      <c r="C463" s="21" t="s">
        <v>37</v>
      </c>
      <c r="D463" s="21" t="s">
        <v>38</v>
      </c>
      <c r="E463" s="26" t="s">
        <v>92</v>
      </c>
      <c r="F463" s="49" t="s">
        <v>93</v>
      </c>
      <c r="H463" s="1" t="s">
        <v>32</v>
      </c>
    </row>
    <row r="464" spans="1:8" x14ac:dyDescent="0.45">
      <c r="A464" s="32" t="s">
        <v>13</v>
      </c>
      <c r="B464" s="11">
        <v>1</v>
      </c>
      <c r="C464" s="13">
        <v>2</v>
      </c>
      <c r="D464" s="11">
        <v>3</v>
      </c>
      <c r="E464" s="11">
        <v>1</v>
      </c>
      <c r="F464" s="28">
        <v>1</v>
      </c>
      <c r="H464" s="1" t="s">
        <v>33</v>
      </c>
    </row>
    <row r="465" spans="1:8" x14ac:dyDescent="0.45">
      <c r="A465" s="33"/>
      <c r="B465" s="12"/>
      <c r="C465" s="14">
        <v>20</v>
      </c>
      <c r="D465" s="12"/>
      <c r="E465" s="12"/>
      <c r="F465" s="12"/>
      <c r="H465" s="1" t="s">
        <v>34</v>
      </c>
    </row>
    <row r="466" spans="1:8" x14ac:dyDescent="0.45">
      <c r="A466" s="32" t="s">
        <v>39</v>
      </c>
      <c r="B466" s="11">
        <v>4</v>
      </c>
      <c r="C466" s="13">
        <v>2</v>
      </c>
      <c r="D466" s="13">
        <v>2</v>
      </c>
      <c r="E466" s="52">
        <v>9</v>
      </c>
      <c r="F466" s="29">
        <v>9</v>
      </c>
      <c r="H466" s="1" t="s">
        <v>86</v>
      </c>
    </row>
    <row r="467" spans="1:8" x14ac:dyDescent="0.45">
      <c r="A467" s="33"/>
      <c r="B467" s="12"/>
      <c r="C467" s="14">
        <v>20</v>
      </c>
      <c r="D467" s="14">
        <v>30</v>
      </c>
      <c r="E467" s="53"/>
      <c r="F467" s="27"/>
      <c r="H467" s="1" t="s">
        <v>87</v>
      </c>
    </row>
    <row r="468" spans="1:8" x14ac:dyDescent="0.45">
      <c r="A468" s="32" t="s">
        <v>94</v>
      </c>
      <c r="B468" s="15">
        <v>5</v>
      </c>
      <c r="C468" s="16">
        <v>7</v>
      </c>
      <c r="D468" s="15">
        <v>10</v>
      </c>
      <c r="E468" s="15">
        <v>5</v>
      </c>
      <c r="F468" s="28" t="s">
        <v>55</v>
      </c>
      <c r="H468" s="1" t="s">
        <v>88</v>
      </c>
    </row>
    <row r="469" spans="1:8" x14ac:dyDescent="0.45">
      <c r="A469" s="33"/>
      <c r="B469" s="38">
        <v>20</v>
      </c>
      <c r="C469" s="37" t="s">
        <v>63</v>
      </c>
      <c r="D469" s="38">
        <v>10</v>
      </c>
      <c r="E469" s="38">
        <v>20</v>
      </c>
      <c r="F469" s="27"/>
      <c r="H469" s="1" t="s">
        <v>89</v>
      </c>
    </row>
    <row r="470" spans="1:8" x14ac:dyDescent="0.45">
      <c r="A470" s="32" t="s">
        <v>95</v>
      </c>
      <c r="B470" s="13">
        <v>4</v>
      </c>
      <c r="C470" s="11">
        <v>15</v>
      </c>
      <c r="D470" s="11">
        <v>13</v>
      </c>
      <c r="E470" s="11">
        <v>6</v>
      </c>
      <c r="F470" s="30">
        <v>6</v>
      </c>
      <c r="H470" s="1" t="s">
        <v>90</v>
      </c>
    </row>
    <row r="471" spans="1:8" x14ac:dyDescent="0.45">
      <c r="A471" s="33"/>
      <c r="B471" s="14">
        <v>20</v>
      </c>
      <c r="C471" s="12"/>
      <c r="D471" s="12"/>
      <c r="E471" s="12"/>
      <c r="F471" s="14">
        <v>20</v>
      </c>
      <c r="H471" s="1" t="s">
        <v>35</v>
      </c>
    </row>
    <row r="472" spans="1:8" x14ac:dyDescent="0.45">
      <c r="A472" s="61" t="s">
        <v>41</v>
      </c>
      <c r="B472" s="54">
        <v>0</v>
      </c>
      <c r="C472" s="29">
        <v>0</v>
      </c>
      <c r="D472" s="63">
        <v>0</v>
      </c>
      <c r="E472" s="29">
        <v>0</v>
      </c>
      <c r="F472" s="59">
        <v>0</v>
      </c>
    </row>
    <row r="473" spans="1:8" x14ac:dyDescent="0.45">
      <c r="A473" s="62"/>
      <c r="B473" s="55"/>
      <c r="C473" s="27"/>
      <c r="D473" s="64">
        <v>10</v>
      </c>
      <c r="E473" s="27"/>
      <c r="F473" s="67">
        <v>0</v>
      </c>
    </row>
    <row r="475" spans="1:8" x14ac:dyDescent="0.45">
      <c r="A475" s="1" t="s">
        <v>96</v>
      </c>
    </row>
    <row r="477" spans="1:8" x14ac:dyDescent="0.45">
      <c r="A477" s="20"/>
      <c r="B477" s="21" t="s">
        <v>91</v>
      </c>
      <c r="C477" s="21" t="s">
        <v>37</v>
      </c>
      <c r="D477" s="21" t="s">
        <v>38</v>
      </c>
      <c r="E477" s="26" t="s">
        <v>92</v>
      </c>
      <c r="F477" s="49" t="s">
        <v>93</v>
      </c>
    </row>
    <row r="478" spans="1:8" x14ac:dyDescent="0.45">
      <c r="A478" s="32" t="s">
        <v>13</v>
      </c>
      <c r="B478" s="11">
        <v>1</v>
      </c>
      <c r="C478" s="13">
        <v>2</v>
      </c>
      <c r="D478" s="11">
        <v>3</v>
      </c>
      <c r="E478" s="11">
        <v>1</v>
      </c>
      <c r="F478" s="28">
        <v>1</v>
      </c>
    </row>
    <row r="479" spans="1:8" x14ac:dyDescent="0.45">
      <c r="A479" s="33"/>
      <c r="B479" s="12"/>
      <c r="C479" s="14">
        <v>20</v>
      </c>
      <c r="D479" s="12"/>
      <c r="E479" s="12"/>
      <c r="F479" s="12"/>
    </row>
    <row r="480" spans="1:8" x14ac:dyDescent="0.45">
      <c r="A480" s="32" t="s">
        <v>39</v>
      </c>
      <c r="B480" s="11">
        <v>4</v>
      </c>
      <c r="C480" s="13">
        <v>2</v>
      </c>
      <c r="D480" s="13">
        <v>2</v>
      </c>
      <c r="E480" s="52">
        <v>9</v>
      </c>
      <c r="F480" s="29">
        <v>9</v>
      </c>
    </row>
    <row r="481" spans="1:8" x14ac:dyDescent="0.45">
      <c r="A481" s="33"/>
      <c r="B481" s="12"/>
      <c r="C481" s="14" t="s">
        <v>65</v>
      </c>
      <c r="D481" s="14" t="s">
        <v>66</v>
      </c>
      <c r="E481" s="53"/>
      <c r="F481" s="27"/>
    </row>
    <row r="482" spans="1:8" x14ac:dyDescent="0.45">
      <c r="A482" s="32" t="s">
        <v>94</v>
      </c>
      <c r="B482" s="15">
        <v>5</v>
      </c>
      <c r="C482" s="16">
        <v>7</v>
      </c>
      <c r="D482" s="15">
        <v>10</v>
      </c>
      <c r="E482" s="15">
        <v>5</v>
      </c>
      <c r="F482" s="28" t="s">
        <v>55</v>
      </c>
    </row>
    <row r="483" spans="1:8" x14ac:dyDescent="0.45">
      <c r="A483" s="33"/>
      <c r="B483" s="38">
        <v>20</v>
      </c>
      <c r="C483" s="37" t="s">
        <v>70</v>
      </c>
      <c r="D483" s="38" t="s">
        <v>25</v>
      </c>
      <c r="E483" s="38">
        <v>20</v>
      </c>
      <c r="F483" s="27"/>
    </row>
    <row r="484" spans="1:8" x14ac:dyDescent="0.45">
      <c r="A484" s="32" t="s">
        <v>95</v>
      </c>
      <c r="B484" s="13">
        <v>4</v>
      </c>
      <c r="C484" s="11">
        <v>15</v>
      </c>
      <c r="D484" s="11">
        <v>13</v>
      </c>
      <c r="E484" s="11">
        <v>6</v>
      </c>
      <c r="F484" s="30">
        <v>6</v>
      </c>
    </row>
    <row r="485" spans="1:8" x14ac:dyDescent="0.45">
      <c r="A485" s="33"/>
      <c r="B485" s="14">
        <v>20</v>
      </c>
      <c r="C485" s="12"/>
      <c r="D485" s="12"/>
      <c r="E485" s="12"/>
      <c r="F485" s="14">
        <v>20</v>
      </c>
    </row>
    <row r="486" spans="1:8" x14ac:dyDescent="0.45">
      <c r="A486" s="61" t="s">
        <v>41</v>
      </c>
      <c r="B486" s="54">
        <v>0</v>
      </c>
      <c r="C486" s="29">
        <v>0</v>
      </c>
      <c r="D486" s="63">
        <v>0</v>
      </c>
      <c r="E486" s="29">
        <v>0</v>
      </c>
      <c r="F486" s="59">
        <v>0</v>
      </c>
    </row>
    <row r="487" spans="1:8" x14ac:dyDescent="0.45">
      <c r="A487" s="62"/>
      <c r="B487" s="55"/>
      <c r="C487" s="27"/>
      <c r="D487" s="64">
        <v>10</v>
      </c>
      <c r="E487" s="27"/>
      <c r="F487" s="67">
        <v>0</v>
      </c>
      <c r="H487" s="1" t="s">
        <v>97</v>
      </c>
    </row>
    <row r="489" spans="1:8" x14ac:dyDescent="0.45">
      <c r="A489" s="1" t="s">
        <v>22</v>
      </c>
    </row>
    <row r="491" spans="1:8" x14ac:dyDescent="0.45">
      <c r="A491" s="20" t="s">
        <v>4</v>
      </c>
      <c r="B491" s="21">
        <v>0</v>
      </c>
      <c r="C491" s="21">
        <v>0</v>
      </c>
      <c r="D491" s="21">
        <v>0</v>
      </c>
      <c r="E491" s="26">
        <v>0</v>
      </c>
      <c r="F491" s="49">
        <v>0</v>
      </c>
    </row>
    <row r="492" spans="1:8" x14ac:dyDescent="0.45">
      <c r="A492" s="32">
        <v>0</v>
      </c>
      <c r="B492" s="11">
        <v>1</v>
      </c>
      <c r="C492" s="13">
        <v>2</v>
      </c>
      <c r="D492" s="11">
        <v>3</v>
      </c>
      <c r="E492" s="11">
        <v>1</v>
      </c>
      <c r="F492" s="28">
        <v>1</v>
      </c>
    </row>
    <row r="493" spans="1:8" x14ac:dyDescent="0.45">
      <c r="A493" s="33"/>
      <c r="B493" s="12"/>
      <c r="C493" s="14">
        <v>20</v>
      </c>
      <c r="D493" s="12"/>
      <c r="E493" s="12"/>
      <c r="F493" s="12"/>
    </row>
    <row r="494" spans="1:8" x14ac:dyDescent="0.45">
      <c r="A494" s="32">
        <v>0</v>
      </c>
      <c r="B494" s="11">
        <v>4</v>
      </c>
      <c r="C494" s="13">
        <v>2</v>
      </c>
      <c r="D494" s="13">
        <v>2</v>
      </c>
      <c r="E494" s="52">
        <v>9</v>
      </c>
      <c r="F494" s="29">
        <v>9</v>
      </c>
    </row>
    <row r="495" spans="1:8" x14ac:dyDescent="0.45">
      <c r="A495" s="33"/>
      <c r="B495" s="12"/>
      <c r="C495" s="14">
        <v>10</v>
      </c>
      <c r="D495" s="14">
        <v>40</v>
      </c>
      <c r="E495" s="53"/>
      <c r="F495" s="27"/>
    </row>
    <row r="496" spans="1:8" x14ac:dyDescent="0.45">
      <c r="A496" s="32">
        <v>0</v>
      </c>
      <c r="B496" s="15">
        <v>5</v>
      </c>
      <c r="C496" s="15">
        <v>7</v>
      </c>
      <c r="D496" s="16">
        <v>10</v>
      </c>
      <c r="E496" s="15">
        <v>5</v>
      </c>
      <c r="F496" s="28" t="s">
        <v>55</v>
      </c>
    </row>
    <row r="497" spans="1:8" x14ac:dyDescent="0.45">
      <c r="A497" s="33"/>
      <c r="B497" s="38">
        <v>20</v>
      </c>
      <c r="C497" s="38">
        <v>10</v>
      </c>
      <c r="D497" s="37"/>
      <c r="E497" s="38">
        <v>20</v>
      </c>
      <c r="F497" s="27"/>
    </row>
    <row r="498" spans="1:8" x14ac:dyDescent="0.45">
      <c r="A498" s="32">
        <v>0</v>
      </c>
      <c r="B498" s="13">
        <v>4</v>
      </c>
      <c r="C498" s="11">
        <v>15</v>
      </c>
      <c r="D498" s="11">
        <v>13</v>
      </c>
      <c r="E498" s="11">
        <v>6</v>
      </c>
      <c r="F498" s="30">
        <v>6</v>
      </c>
    </row>
    <row r="499" spans="1:8" x14ac:dyDescent="0.45">
      <c r="A499" s="33"/>
      <c r="B499" s="14">
        <v>20</v>
      </c>
      <c r="C499" s="12"/>
      <c r="D499" s="12"/>
      <c r="E499" s="12"/>
      <c r="F499" s="14">
        <v>20</v>
      </c>
    </row>
    <row r="500" spans="1:8" x14ac:dyDescent="0.45">
      <c r="A500" s="61">
        <v>0</v>
      </c>
      <c r="B500" s="54">
        <v>0</v>
      </c>
      <c r="C500" s="29">
        <v>0</v>
      </c>
      <c r="D500" s="63">
        <v>0</v>
      </c>
      <c r="E500" s="29">
        <v>0</v>
      </c>
      <c r="F500" s="59">
        <v>0</v>
      </c>
    </row>
    <row r="501" spans="1:8" x14ac:dyDescent="0.45">
      <c r="A501" s="62"/>
      <c r="B501" s="55"/>
      <c r="C501" s="27"/>
      <c r="D501" s="64">
        <v>10</v>
      </c>
      <c r="E501" s="27"/>
      <c r="F501" s="67">
        <v>0</v>
      </c>
    </row>
    <row r="503" spans="1:8" x14ac:dyDescent="0.45">
      <c r="A503" s="1" t="s">
        <v>7</v>
      </c>
    </row>
    <row r="505" spans="1:8" x14ac:dyDescent="0.45">
      <c r="A505" s="20"/>
      <c r="B505" s="21" t="s">
        <v>98</v>
      </c>
      <c r="C505" s="21" t="s">
        <v>37</v>
      </c>
      <c r="D505" s="21" t="s">
        <v>38</v>
      </c>
      <c r="E505" s="26" t="s">
        <v>44</v>
      </c>
      <c r="F505" s="49" t="s">
        <v>99</v>
      </c>
      <c r="H505" s="1" t="s">
        <v>32</v>
      </c>
    </row>
    <row r="506" spans="1:8" x14ac:dyDescent="0.45">
      <c r="A506" s="32" t="s">
        <v>13</v>
      </c>
      <c r="B506" s="11">
        <v>1</v>
      </c>
      <c r="C506" s="13">
        <v>2</v>
      </c>
      <c r="D506" s="11">
        <v>3</v>
      </c>
      <c r="E506" s="11">
        <v>1</v>
      </c>
      <c r="F506" s="28">
        <v>1</v>
      </c>
      <c r="H506" s="1" t="s">
        <v>33</v>
      </c>
    </row>
    <row r="507" spans="1:8" x14ac:dyDescent="0.45">
      <c r="A507" s="33"/>
      <c r="B507" s="12"/>
      <c r="C507" s="14">
        <v>20</v>
      </c>
      <c r="D507" s="12"/>
      <c r="E507" s="12"/>
      <c r="F507" s="12"/>
      <c r="H507" s="1" t="s">
        <v>34</v>
      </c>
    </row>
    <row r="508" spans="1:8" x14ac:dyDescent="0.45">
      <c r="A508" s="32" t="s">
        <v>39</v>
      </c>
      <c r="B508" s="11">
        <v>4</v>
      </c>
      <c r="C508" s="13">
        <v>2</v>
      </c>
      <c r="D508" s="13">
        <v>2</v>
      </c>
      <c r="E508" s="52">
        <v>9</v>
      </c>
      <c r="F508" s="29">
        <v>9</v>
      </c>
      <c r="H508" s="1" t="s">
        <v>35</v>
      </c>
    </row>
    <row r="509" spans="1:8" x14ac:dyDescent="0.45">
      <c r="A509" s="33"/>
      <c r="B509" s="12"/>
      <c r="C509" s="14">
        <v>10</v>
      </c>
      <c r="D509" s="14">
        <v>40</v>
      </c>
      <c r="E509" s="53"/>
      <c r="F509" s="27"/>
      <c r="H509" s="1" t="s">
        <v>36</v>
      </c>
    </row>
    <row r="510" spans="1:8" x14ac:dyDescent="0.45">
      <c r="A510" s="32" t="s">
        <v>40</v>
      </c>
      <c r="B510" s="15">
        <v>5</v>
      </c>
      <c r="C510" s="15">
        <v>7</v>
      </c>
      <c r="D510" s="16">
        <v>10</v>
      </c>
      <c r="E510" s="15">
        <v>5</v>
      </c>
      <c r="F510" s="28" t="s">
        <v>55</v>
      </c>
      <c r="H510" s="1" t="s">
        <v>102</v>
      </c>
    </row>
    <row r="511" spans="1:8" x14ac:dyDescent="0.45">
      <c r="A511" s="33"/>
      <c r="B511" s="38">
        <v>20</v>
      </c>
      <c r="C511" s="38">
        <v>10</v>
      </c>
      <c r="D511" s="37"/>
      <c r="E511" s="38">
        <v>20</v>
      </c>
      <c r="F511" s="27"/>
      <c r="H511" s="1" t="s">
        <v>103</v>
      </c>
    </row>
    <row r="512" spans="1:8" x14ac:dyDescent="0.45">
      <c r="A512" s="32" t="s">
        <v>100</v>
      </c>
      <c r="B512" s="13">
        <v>4</v>
      </c>
      <c r="C512" s="11">
        <v>15</v>
      </c>
      <c r="D512" s="11">
        <v>13</v>
      </c>
      <c r="E512" s="11">
        <v>6</v>
      </c>
      <c r="F512" s="30">
        <v>6</v>
      </c>
      <c r="H512" s="1" t="s">
        <v>104</v>
      </c>
    </row>
    <row r="513" spans="1:8" x14ac:dyDescent="0.45">
      <c r="A513" s="33"/>
      <c r="B513" s="14">
        <v>20</v>
      </c>
      <c r="C513" s="12"/>
      <c r="D513" s="12"/>
      <c r="E513" s="12"/>
      <c r="F513" s="14">
        <v>20</v>
      </c>
      <c r="H513" s="1" t="s">
        <v>43</v>
      </c>
    </row>
    <row r="514" spans="1:8" x14ac:dyDescent="0.45">
      <c r="A514" s="61" t="s">
        <v>41</v>
      </c>
      <c r="B514" s="54">
        <v>0</v>
      </c>
      <c r="C514" s="29">
        <v>0</v>
      </c>
      <c r="D514" s="63">
        <v>0</v>
      </c>
      <c r="E514" s="29">
        <v>0</v>
      </c>
      <c r="F514" s="59">
        <v>0</v>
      </c>
    </row>
    <row r="515" spans="1:8" x14ac:dyDescent="0.45">
      <c r="A515" s="62"/>
      <c r="B515" s="55"/>
      <c r="C515" s="27"/>
      <c r="D515" s="64">
        <v>10</v>
      </c>
      <c r="E515" s="27"/>
      <c r="F515" s="67">
        <v>0</v>
      </c>
    </row>
    <row r="517" spans="1:8" x14ac:dyDescent="0.45">
      <c r="A517" s="1" t="s">
        <v>101</v>
      </c>
    </row>
    <row r="519" spans="1:8" x14ac:dyDescent="0.45">
      <c r="A519" s="20"/>
      <c r="B519" s="21" t="s">
        <v>98</v>
      </c>
      <c r="C519" s="21" t="s">
        <v>37</v>
      </c>
      <c r="D519" s="21" t="s">
        <v>38</v>
      </c>
      <c r="E519" s="26" t="s">
        <v>44</v>
      </c>
      <c r="F519" s="49" t="s">
        <v>99</v>
      </c>
    </row>
    <row r="520" spans="1:8" x14ac:dyDescent="0.45">
      <c r="A520" s="32" t="s">
        <v>13</v>
      </c>
      <c r="B520" s="11">
        <v>1</v>
      </c>
      <c r="C520" s="13">
        <v>2</v>
      </c>
      <c r="D520" s="11">
        <v>3</v>
      </c>
      <c r="E520" s="11">
        <v>1</v>
      </c>
      <c r="F520" s="28">
        <v>1</v>
      </c>
    </row>
    <row r="521" spans="1:8" x14ac:dyDescent="0.45">
      <c r="A521" s="33"/>
      <c r="B521" s="12"/>
      <c r="C521" s="14" t="s">
        <v>65</v>
      </c>
      <c r="D521" s="12"/>
      <c r="E521" s="12"/>
      <c r="F521" s="12" t="s">
        <v>42</v>
      </c>
    </row>
    <row r="522" spans="1:8" x14ac:dyDescent="0.45">
      <c r="A522" s="32" t="s">
        <v>39</v>
      </c>
      <c r="B522" s="11">
        <v>4</v>
      </c>
      <c r="C522" s="13">
        <v>2</v>
      </c>
      <c r="D522" s="13">
        <v>2</v>
      </c>
      <c r="E522" s="52">
        <v>9</v>
      </c>
      <c r="F522" s="29">
        <v>9</v>
      </c>
    </row>
    <row r="523" spans="1:8" x14ac:dyDescent="0.45">
      <c r="A523" s="33"/>
      <c r="B523" s="12"/>
      <c r="C523" s="14">
        <v>10</v>
      </c>
      <c r="D523" s="14">
        <v>40</v>
      </c>
      <c r="E523" s="53"/>
      <c r="F523" s="27"/>
    </row>
    <row r="524" spans="1:8" x14ac:dyDescent="0.45">
      <c r="A524" s="32" t="s">
        <v>40</v>
      </c>
      <c r="B524" s="15">
        <v>5</v>
      </c>
      <c r="C524" s="15">
        <v>7</v>
      </c>
      <c r="D524" s="16">
        <v>10</v>
      </c>
      <c r="E524" s="15">
        <v>5</v>
      </c>
      <c r="F524" s="28" t="s">
        <v>55</v>
      </c>
    </row>
    <row r="525" spans="1:8" x14ac:dyDescent="0.45">
      <c r="A525" s="33"/>
      <c r="B525" s="38" t="s">
        <v>65</v>
      </c>
      <c r="C525" s="38" t="s">
        <v>21</v>
      </c>
      <c r="D525" s="37"/>
      <c r="E525" s="38">
        <v>20</v>
      </c>
      <c r="F525" s="27"/>
    </row>
    <row r="526" spans="1:8" x14ac:dyDescent="0.45">
      <c r="A526" s="32" t="s">
        <v>100</v>
      </c>
      <c r="B526" s="13">
        <v>4</v>
      </c>
      <c r="C526" s="11">
        <v>15</v>
      </c>
      <c r="D526" s="11">
        <v>13</v>
      </c>
      <c r="E526" s="11">
        <v>6</v>
      </c>
      <c r="F526" s="30">
        <v>6</v>
      </c>
    </row>
    <row r="527" spans="1:8" x14ac:dyDescent="0.45">
      <c r="A527" s="33"/>
      <c r="B527" s="14" t="s">
        <v>67</v>
      </c>
      <c r="C527" s="12"/>
      <c r="D527" s="12"/>
      <c r="E527" s="12"/>
      <c r="F527" s="14" t="s">
        <v>65</v>
      </c>
    </row>
    <row r="528" spans="1:8" x14ac:dyDescent="0.45">
      <c r="A528" s="61" t="s">
        <v>41</v>
      </c>
      <c r="B528" s="54">
        <v>0</v>
      </c>
      <c r="C528" s="29">
        <v>0</v>
      </c>
      <c r="D528" s="63">
        <v>0</v>
      </c>
      <c r="E528" s="29">
        <v>0</v>
      </c>
      <c r="F528" s="59">
        <v>0</v>
      </c>
    </row>
    <row r="529" spans="1:8" x14ac:dyDescent="0.45">
      <c r="A529" s="62"/>
      <c r="B529" s="55"/>
      <c r="C529" s="27"/>
      <c r="D529" s="64">
        <v>10</v>
      </c>
      <c r="E529" s="27"/>
      <c r="F529" s="67">
        <v>0</v>
      </c>
      <c r="H529" s="1" t="s">
        <v>105</v>
      </c>
    </row>
    <row r="531" spans="1:8" x14ac:dyDescent="0.45">
      <c r="A531" s="1" t="s">
        <v>22</v>
      </c>
    </row>
    <row r="533" spans="1:8" x14ac:dyDescent="0.45">
      <c r="A533" s="20" t="s">
        <v>4</v>
      </c>
      <c r="B533" s="21">
        <v>0</v>
      </c>
      <c r="C533" s="21">
        <v>0</v>
      </c>
      <c r="D533" s="21">
        <v>0</v>
      </c>
      <c r="E533" s="26">
        <v>0</v>
      </c>
      <c r="F533" s="49">
        <v>0</v>
      </c>
    </row>
    <row r="534" spans="1:8" x14ac:dyDescent="0.45">
      <c r="A534" s="32">
        <v>0</v>
      </c>
      <c r="B534" s="11">
        <v>1</v>
      </c>
      <c r="C534" s="11">
        <v>2</v>
      </c>
      <c r="D534" s="11">
        <v>3</v>
      </c>
      <c r="E534" s="11">
        <v>1</v>
      </c>
      <c r="F534" s="30">
        <v>1</v>
      </c>
    </row>
    <row r="535" spans="1:8" x14ac:dyDescent="0.45">
      <c r="A535" s="33"/>
      <c r="B535" s="12"/>
      <c r="C535" s="12"/>
      <c r="D535" s="12"/>
      <c r="E535" s="12"/>
      <c r="F535" s="14">
        <v>20</v>
      </c>
    </row>
    <row r="536" spans="1:8" x14ac:dyDescent="0.45">
      <c r="A536" s="32">
        <v>0</v>
      </c>
      <c r="B536" s="11">
        <v>4</v>
      </c>
      <c r="C536" s="13">
        <v>2</v>
      </c>
      <c r="D536" s="13">
        <v>2</v>
      </c>
      <c r="E536" s="52">
        <v>9</v>
      </c>
      <c r="F536" s="29">
        <v>9</v>
      </c>
    </row>
    <row r="537" spans="1:8" x14ac:dyDescent="0.45">
      <c r="A537" s="33"/>
      <c r="B537" s="12"/>
      <c r="C537" s="14">
        <v>10</v>
      </c>
      <c r="D537" s="14">
        <v>40</v>
      </c>
      <c r="E537" s="53"/>
      <c r="F537" s="27"/>
    </row>
    <row r="538" spans="1:8" x14ac:dyDescent="0.45">
      <c r="A538" s="32">
        <v>0</v>
      </c>
      <c r="B538" s="15">
        <v>5</v>
      </c>
      <c r="C538" s="15">
        <v>7</v>
      </c>
      <c r="D538" s="16">
        <v>10</v>
      </c>
      <c r="E538" s="15">
        <v>5</v>
      </c>
      <c r="F538" s="28" t="s">
        <v>55</v>
      </c>
    </row>
    <row r="539" spans="1:8" x14ac:dyDescent="0.45">
      <c r="A539" s="33"/>
      <c r="B539" s="38">
        <v>0</v>
      </c>
      <c r="C539" s="38">
        <v>30</v>
      </c>
      <c r="D539" s="37"/>
      <c r="E539" s="38">
        <v>20</v>
      </c>
      <c r="F539" s="27"/>
    </row>
    <row r="540" spans="1:8" x14ac:dyDescent="0.45">
      <c r="A540" s="32">
        <v>0</v>
      </c>
      <c r="B540" s="13">
        <v>4</v>
      </c>
      <c r="C540" s="11">
        <v>15</v>
      </c>
      <c r="D540" s="11">
        <v>13</v>
      </c>
      <c r="E540" s="11">
        <v>6</v>
      </c>
      <c r="F540" s="30">
        <v>6</v>
      </c>
    </row>
    <row r="541" spans="1:8" x14ac:dyDescent="0.45">
      <c r="A541" s="33"/>
      <c r="B541" s="14">
        <v>40</v>
      </c>
      <c r="C541" s="12"/>
      <c r="D541" s="12"/>
      <c r="E541" s="12"/>
      <c r="F541" s="14">
        <v>0</v>
      </c>
    </row>
    <row r="542" spans="1:8" x14ac:dyDescent="0.45">
      <c r="A542" s="61">
        <v>0</v>
      </c>
      <c r="B542" s="54">
        <v>0</v>
      </c>
      <c r="C542" s="29">
        <v>0</v>
      </c>
      <c r="D542" s="63">
        <v>0</v>
      </c>
      <c r="E542" s="29">
        <v>0</v>
      </c>
      <c r="F542" s="59">
        <v>0</v>
      </c>
    </row>
    <row r="543" spans="1:8" x14ac:dyDescent="0.45">
      <c r="A543" s="62"/>
      <c r="B543" s="55"/>
      <c r="C543" s="27"/>
      <c r="D543" s="64">
        <v>10</v>
      </c>
      <c r="E543" s="27"/>
      <c r="F543" s="67">
        <v>0</v>
      </c>
    </row>
    <row r="545" spans="1:8" x14ac:dyDescent="0.45">
      <c r="A545" s="1" t="s">
        <v>7</v>
      </c>
    </row>
    <row r="547" spans="1:8" x14ac:dyDescent="0.45">
      <c r="A547" s="20"/>
      <c r="B547" s="21" t="s">
        <v>26</v>
      </c>
      <c r="C547" s="21" t="s">
        <v>106</v>
      </c>
      <c r="D547" s="21" t="s">
        <v>107</v>
      </c>
      <c r="E547" s="26" t="s">
        <v>108</v>
      </c>
      <c r="F547" s="49" t="s">
        <v>109</v>
      </c>
      <c r="H547" s="1" t="s">
        <v>113</v>
      </c>
    </row>
    <row r="548" spans="1:8" x14ac:dyDescent="0.45">
      <c r="A548" s="32" t="s">
        <v>13</v>
      </c>
      <c r="B548" s="11">
        <v>1</v>
      </c>
      <c r="C548" s="11">
        <v>2</v>
      </c>
      <c r="D548" s="11">
        <v>3</v>
      </c>
      <c r="E548" s="11">
        <v>1</v>
      </c>
      <c r="F548" s="30">
        <v>1</v>
      </c>
      <c r="H548" s="1" t="s">
        <v>114</v>
      </c>
    </row>
    <row r="549" spans="1:8" x14ac:dyDescent="0.45">
      <c r="A549" s="33"/>
      <c r="B549" s="12"/>
      <c r="C549" s="12"/>
      <c r="D549" s="12"/>
      <c r="E549" s="12"/>
      <c r="F549" s="14">
        <v>20</v>
      </c>
      <c r="H549" s="1" t="s">
        <v>30</v>
      </c>
    </row>
    <row r="550" spans="1:8" x14ac:dyDescent="0.45">
      <c r="A550" s="32" t="s">
        <v>110</v>
      </c>
      <c r="B550" s="11">
        <v>4</v>
      </c>
      <c r="C550" s="13">
        <v>2</v>
      </c>
      <c r="D550" s="13">
        <v>2</v>
      </c>
      <c r="E550" s="52">
        <v>9</v>
      </c>
      <c r="F550" s="29">
        <v>9</v>
      </c>
      <c r="H550" s="1" t="s">
        <v>115</v>
      </c>
    </row>
    <row r="551" spans="1:8" x14ac:dyDescent="0.45">
      <c r="A551" s="33"/>
      <c r="B551" s="12"/>
      <c r="C551" s="14">
        <v>10</v>
      </c>
      <c r="D551" s="14">
        <v>40</v>
      </c>
      <c r="E551" s="53"/>
      <c r="F551" s="27"/>
      <c r="H551" s="1" t="s">
        <v>116</v>
      </c>
    </row>
    <row r="552" spans="1:8" x14ac:dyDescent="0.45">
      <c r="A552" s="32" t="s">
        <v>111</v>
      </c>
      <c r="B552" s="15">
        <v>5</v>
      </c>
      <c r="C552" s="15">
        <v>7</v>
      </c>
      <c r="D552" s="16">
        <v>10</v>
      </c>
      <c r="E552" s="15">
        <v>5</v>
      </c>
      <c r="F552" s="28" t="s">
        <v>55</v>
      </c>
      <c r="H552" s="1" t="s">
        <v>117</v>
      </c>
    </row>
    <row r="553" spans="1:8" x14ac:dyDescent="0.45">
      <c r="A553" s="33"/>
      <c r="B553" s="38">
        <v>0</v>
      </c>
      <c r="C553" s="38">
        <v>30</v>
      </c>
      <c r="D553" s="37"/>
      <c r="E553" s="38">
        <v>20</v>
      </c>
      <c r="F553" s="27"/>
      <c r="H553" s="1" t="s">
        <v>118</v>
      </c>
    </row>
    <row r="554" spans="1:8" x14ac:dyDescent="0.45">
      <c r="A554" s="32" t="s">
        <v>28</v>
      </c>
      <c r="B554" s="13">
        <v>4</v>
      </c>
      <c r="C554" s="11">
        <v>15</v>
      </c>
      <c r="D554" s="11">
        <v>13</v>
      </c>
      <c r="E554" s="11">
        <v>6</v>
      </c>
      <c r="F554" s="30">
        <v>6</v>
      </c>
      <c r="H554" s="1" t="s">
        <v>119</v>
      </c>
    </row>
    <row r="555" spans="1:8" x14ac:dyDescent="0.45">
      <c r="A555" s="33"/>
      <c r="B555" s="14">
        <v>40</v>
      </c>
      <c r="C555" s="12"/>
      <c r="D555" s="12"/>
      <c r="E555" s="12"/>
      <c r="F555" s="14">
        <v>0</v>
      </c>
      <c r="H555" s="1" t="s">
        <v>120</v>
      </c>
    </row>
    <row r="556" spans="1:8" x14ac:dyDescent="0.45">
      <c r="A556" s="61" t="s">
        <v>112</v>
      </c>
      <c r="B556" s="54">
        <v>0</v>
      </c>
      <c r="C556" s="29">
        <v>0</v>
      </c>
      <c r="D556" s="63">
        <v>0</v>
      </c>
      <c r="E556" s="29">
        <v>0</v>
      </c>
      <c r="F556" s="59">
        <v>0</v>
      </c>
    </row>
    <row r="557" spans="1:8" x14ac:dyDescent="0.45">
      <c r="A557" s="62"/>
      <c r="B557" s="55"/>
      <c r="C557" s="27"/>
      <c r="D557" s="64">
        <v>10</v>
      </c>
      <c r="E557" s="27"/>
      <c r="F557" s="67">
        <v>0</v>
      </c>
    </row>
    <row r="559" spans="1:8" x14ac:dyDescent="0.45">
      <c r="A559" s="1" t="s">
        <v>45</v>
      </c>
    </row>
    <row r="560" spans="1:8" x14ac:dyDescent="0.45">
      <c r="A560" s="1" t="s">
        <v>121</v>
      </c>
    </row>
    <row r="562" spans="1:6" x14ac:dyDescent="0.45">
      <c r="A562" s="1" t="s">
        <v>48</v>
      </c>
    </row>
    <row r="563" spans="1:6" x14ac:dyDescent="0.45">
      <c r="A563" s="1" t="s">
        <v>122</v>
      </c>
    </row>
    <row r="564" spans="1:6" x14ac:dyDescent="0.45">
      <c r="A564" s="1" t="s">
        <v>50</v>
      </c>
    </row>
    <row r="565" spans="1:6" x14ac:dyDescent="0.45">
      <c r="A565" s="1" t="s">
        <v>123</v>
      </c>
    </row>
    <row r="566" spans="1:6" x14ac:dyDescent="0.45">
      <c r="A566" s="1" t="s">
        <v>51</v>
      </c>
    </row>
    <row r="567" spans="1:6" x14ac:dyDescent="0.45">
      <c r="A567" s="1" t="s">
        <v>47</v>
      </c>
    </row>
    <row r="568" spans="1:6" x14ac:dyDescent="0.45">
      <c r="A568" s="1" t="s">
        <v>49</v>
      </c>
    </row>
    <row r="569" spans="1:6" x14ac:dyDescent="0.45">
      <c r="A569" s="1" t="s">
        <v>124</v>
      </c>
    </row>
    <row r="571" spans="1:6" x14ac:dyDescent="0.45">
      <c r="A571" s="1" t="s">
        <v>125</v>
      </c>
    </row>
    <row r="573" spans="1:6" x14ac:dyDescent="0.45">
      <c r="A573" s="20"/>
      <c r="B573" s="21">
        <v>0</v>
      </c>
      <c r="C573" s="21">
        <v>0</v>
      </c>
      <c r="D573" s="21">
        <v>0</v>
      </c>
      <c r="E573" s="26">
        <v>0</v>
      </c>
      <c r="F573" s="46"/>
    </row>
    <row r="574" spans="1:6" x14ac:dyDescent="0.45">
      <c r="A574" s="32">
        <v>0</v>
      </c>
      <c r="B574" s="11">
        <v>1</v>
      </c>
      <c r="C574" s="13">
        <v>2</v>
      </c>
      <c r="D574" s="11">
        <v>3</v>
      </c>
      <c r="E574" s="13">
        <v>1</v>
      </c>
      <c r="F574" s="46"/>
    </row>
    <row r="575" spans="1:6" x14ac:dyDescent="0.45">
      <c r="A575" s="33"/>
      <c r="B575" s="12"/>
      <c r="C575" s="14">
        <v>20</v>
      </c>
      <c r="D575" s="12"/>
      <c r="E575" s="14">
        <v>20</v>
      </c>
      <c r="F575" s="47"/>
    </row>
    <row r="576" spans="1:6" x14ac:dyDescent="0.45">
      <c r="A576" s="32">
        <v>0</v>
      </c>
      <c r="B576" s="11">
        <v>4</v>
      </c>
      <c r="C576" s="13">
        <v>2</v>
      </c>
      <c r="D576" s="13">
        <v>2</v>
      </c>
      <c r="E576" s="13">
        <v>9</v>
      </c>
      <c r="F576" s="46"/>
    </row>
    <row r="577" spans="1:11" x14ac:dyDescent="0.45">
      <c r="A577" s="33"/>
      <c r="B577" s="12"/>
      <c r="C577" s="14">
        <v>10</v>
      </c>
      <c r="D577" s="14">
        <v>40</v>
      </c>
      <c r="E577" s="14">
        <v>0</v>
      </c>
      <c r="F577" s="46"/>
    </row>
    <row r="578" spans="1:11" x14ac:dyDescent="0.45">
      <c r="A578" s="32">
        <v>0</v>
      </c>
      <c r="B578" s="15">
        <v>5</v>
      </c>
      <c r="C578" s="15">
        <v>7</v>
      </c>
      <c r="D578" s="16">
        <v>10</v>
      </c>
      <c r="E578" s="15">
        <v>5</v>
      </c>
      <c r="F578" s="46"/>
    </row>
    <row r="579" spans="1:11" x14ac:dyDescent="0.45">
      <c r="A579" s="33"/>
      <c r="B579" s="38">
        <v>0</v>
      </c>
      <c r="C579" s="38">
        <v>30</v>
      </c>
      <c r="D579" s="37"/>
      <c r="E579" s="38">
        <v>20</v>
      </c>
      <c r="F579" s="46"/>
    </row>
    <row r="580" spans="1:11" x14ac:dyDescent="0.45">
      <c r="A580" s="32">
        <v>0</v>
      </c>
      <c r="B580" s="13">
        <v>4</v>
      </c>
      <c r="C580" s="11">
        <v>15</v>
      </c>
      <c r="D580" s="11">
        <v>13</v>
      </c>
      <c r="E580" s="13">
        <v>6</v>
      </c>
      <c r="F580" s="46"/>
    </row>
    <row r="581" spans="1:11" x14ac:dyDescent="0.45">
      <c r="A581" s="33"/>
      <c r="B581" s="14">
        <v>40</v>
      </c>
      <c r="C581" s="12"/>
      <c r="D581" s="12"/>
      <c r="E581" s="14">
        <v>0</v>
      </c>
      <c r="F581" s="47"/>
    </row>
    <row r="582" spans="1:11" x14ac:dyDescent="0.45">
      <c r="A582" s="50"/>
      <c r="B582" s="46"/>
      <c r="C582" s="46"/>
      <c r="D582" s="46"/>
      <c r="E582" s="46"/>
      <c r="F582" s="46"/>
    </row>
    <row r="583" spans="1:11" x14ac:dyDescent="0.45">
      <c r="A583" s="47" t="s">
        <v>126</v>
      </c>
      <c r="B583" s="46"/>
      <c r="C583" s="46"/>
      <c r="D583" s="47"/>
      <c r="E583" s="46"/>
      <c r="F583" s="47"/>
    </row>
    <row r="584" spans="1:11" x14ac:dyDescent="0.45">
      <c r="F584" s="68"/>
    </row>
    <row r="585" spans="1:11" x14ac:dyDescent="0.45">
      <c r="A585" s="20" t="s">
        <v>4</v>
      </c>
      <c r="B585" s="20">
        <v>40</v>
      </c>
      <c r="C585" s="20">
        <v>60</v>
      </c>
      <c r="D585" s="20">
        <v>50</v>
      </c>
      <c r="E585" s="20">
        <v>40</v>
      </c>
      <c r="G585" s="20" t="s">
        <v>4</v>
      </c>
      <c r="H585" s="20">
        <f>SUM(H586:H590)</f>
        <v>40</v>
      </c>
      <c r="I585" s="20">
        <f t="shared" ref="I585" si="2">SUM(I586:I590)</f>
        <v>60</v>
      </c>
      <c r="J585" s="20">
        <f t="shared" ref="J585" si="3">SUM(J586:J590)</f>
        <v>50</v>
      </c>
      <c r="K585" s="20">
        <f t="shared" ref="K585" si="4">SUM(K586:K590)</f>
        <v>40</v>
      </c>
    </row>
    <row r="586" spans="1:11" x14ac:dyDescent="0.45">
      <c r="A586" s="20">
        <v>40</v>
      </c>
      <c r="B586" s="41">
        <v>1</v>
      </c>
      <c r="C586" s="41">
        <v>2</v>
      </c>
      <c r="D586" s="41">
        <v>3</v>
      </c>
      <c r="E586" s="41">
        <v>1</v>
      </c>
      <c r="G586" s="20">
        <f>SUM(H586:K586)</f>
        <v>40</v>
      </c>
      <c r="H586" s="41">
        <v>0</v>
      </c>
      <c r="I586" s="41">
        <v>20</v>
      </c>
      <c r="J586" s="41">
        <v>0</v>
      </c>
      <c r="K586" s="41">
        <v>20</v>
      </c>
    </row>
    <row r="587" spans="1:11" x14ac:dyDescent="0.45">
      <c r="A587" s="20">
        <v>50</v>
      </c>
      <c r="B587" s="41">
        <v>4</v>
      </c>
      <c r="C587" s="41">
        <v>2</v>
      </c>
      <c r="D587" s="41">
        <v>2</v>
      </c>
      <c r="E587" s="41">
        <v>9</v>
      </c>
      <c r="G587" s="20">
        <f t="shared" ref="G587:G590" si="5">SUM(H587:K587)</f>
        <v>50</v>
      </c>
      <c r="H587" s="41">
        <v>0</v>
      </c>
      <c r="I587" s="41">
        <v>4</v>
      </c>
      <c r="J587" s="41">
        <v>46</v>
      </c>
      <c r="K587" s="41">
        <v>0</v>
      </c>
    </row>
    <row r="588" spans="1:11" x14ac:dyDescent="0.45">
      <c r="A588" s="20">
        <v>50</v>
      </c>
      <c r="B588" s="41">
        <v>5</v>
      </c>
      <c r="C588" s="41">
        <v>7</v>
      </c>
      <c r="D588" s="41">
        <v>10</v>
      </c>
      <c r="E588" s="41">
        <v>5</v>
      </c>
      <c r="G588" s="20">
        <f t="shared" si="5"/>
        <v>50</v>
      </c>
      <c r="H588" s="41">
        <v>0</v>
      </c>
      <c r="I588" s="41">
        <v>30</v>
      </c>
      <c r="J588" s="41">
        <v>0</v>
      </c>
      <c r="K588" s="41">
        <v>20</v>
      </c>
    </row>
    <row r="589" spans="1:11" x14ac:dyDescent="0.45">
      <c r="A589" s="20">
        <v>40</v>
      </c>
      <c r="B589" s="41">
        <v>4</v>
      </c>
      <c r="C589" s="41">
        <v>15</v>
      </c>
      <c r="D589" s="41">
        <v>13</v>
      </c>
      <c r="E589" s="41">
        <v>6</v>
      </c>
      <c r="G589" s="20">
        <f t="shared" si="5"/>
        <v>40</v>
      </c>
      <c r="H589" s="41">
        <v>40</v>
      </c>
      <c r="I589" s="41">
        <v>0</v>
      </c>
      <c r="J589" s="41">
        <v>0</v>
      </c>
      <c r="K589" s="41">
        <v>0</v>
      </c>
    </row>
    <row r="590" spans="1:11" x14ac:dyDescent="0.45">
      <c r="A590" s="42">
        <v>10</v>
      </c>
      <c r="B590" s="43">
        <v>0</v>
      </c>
      <c r="C590" s="43">
        <v>0</v>
      </c>
      <c r="D590" s="43">
        <v>0</v>
      </c>
      <c r="E590" s="43">
        <v>0</v>
      </c>
      <c r="G590" s="20">
        <f t="shared" si="5"/>
        <v>10</v>
      </c>
      <c r="H590" s="43">
        <v>0</v>
      </c>
      <c r="I590" s="43">
        <v>6</v>
      </c>
      <c r="J590" s="43">
        <v>4</v>
      </c>
      <c r="K590" s="43">
        <v>0</v>
      </c>
    </row>
    <row r="592" spans="1:11" x14ac:dyDescent="0.45">
      <c r="G592" s="44" t="s">
        <v>53</v>
      </c>
      <c r="H592" s="45">
        <f>SUMPRODUCT(B586:E590,H586:K590)</f>
        <v>630</v>
      </c>
    </row>
  </sheetData>
  <scenarios current="0">
    <scenario name="Task 1" count="20" user="Vladislav" comment="Created by Vladislav on 11/1/2024">
      <inputCells r="H340" val="0"/>
      <inputCells r="I340" val="40"/>
      <inputCells r="J340" val="0"/>
      <inputCells r="K340" val="0"/>
      <inputCells r="H341" val="0"/>
      <inputCells r="I341" val="6"/>
      <inputCells r="J341" val="44"/>
      <inputCells r="K341" val="0"/>
      <inputCells r="H342" val="0"/>
      <inputCells r="I342" val="10"/>
      <inputCells r="J342" val="0"/>
      <inputCells r="K342" val="40"/>
      <inputCells r="H343" val="40"/>
      <inputCells r="I343" val="0"/>
      <inputCells r="J343" val="0"/>
      <inputCells r="K343" val="0"/>
      <inputCells r="H344" val="0"/>
      <inputCells r="I344" val="4"/>
      <inputCells r="J344" val="6"/>
      <inputCells r="K344" val="0"/>
    </scenario>
  </scenarios>
  <mergeCells count="144">
    <mergeCell ref="A321:A322"/>
    <mergeCell ref="A299:A300"/>
    <mergeCell ref="A301:A302"/>
    <mergeCell ref="A303:A304"/>
    <mergeCell ref="A305:A306"/>
    <mergeCell ref="A307:A308"/>
    <mergeCell ref="A313:A314"/>
    <mergeCell ref="A315:A316"/>
    <mergeCell ref="A317:A318"/>
    <mergeCell ref="A319:A320"/>
    <mergeCell ref="A259:A260"/>
    <mergeCell ref="A261:A262"/>
    <mergeCell ref="A263:A264"/>
    <mergeCell ref="A265:A266"/>
    <mergeCell ref="A285:A286"/>
    <mergeCell ref="A287:A288"/>
    <mergeCell ref="A289:A290"/>
    <mergeCell ref="A291:A292"/>
    <mergeCell ref="A293:A294"/>
    <mergeCell ref="AQ27:AQ28"/>
    <mergeCell ref="AQ29:AQ30"/>
    <mergeCell ref="AQ31:AQ32"/>
    <mergeCell ref="AQ33:AQ34"/>
    <mergeCell ref="A377:A378"/>
    <mergeCell ref="A379:A380"/>
    <mergeCell ref="A381:A382"/>
    <mergeCell ref="A383:A384"/>
    <mergeCell ref="A385:A386"/>
    <mergeCell ref="AQ363:AQ364"/>
    <mergeCell ref="AQ365:AQ366"/>
    <mergeCell ref="AQ367:AQ368"/>
    <mergeCell ref="AQ369:AQ370"/>
    <mergeCell ref="AQ371:AQ372"/>
    <mergeCell ref="O363:O364"/>
    <mergeCell ref="O365:O366"/>
    <mergeCell ref="O367:O368"/>
    <mergeCell ref="O369:O370"/>
    <mergeCell ref="O371:O372"/>
    <mergeCell ref="V363:V364"/>
    <mergeCell ref="V365:V366"/>
    <mergeCell ref="V367:V368"/>
    <mergeCell ref="V369:V370"/>
    <mergeCell ref="V371:V372"/>
    <mergeCell ref="A365:A366"/>
    <mergeCell ref="A367:A368"/>
    <mergeCell ref="A369:A370"/>
    <mergeCell ref="A371:A372"/>
    <mergeCell ref="AX363:AX364"/>
    <mergeCell ref="AX365:AX366"/>
    <mergeCell ref="AX367:AX368"/>
    <mergeCell ref="AX369:AX370"/>
    <mergeCell ref="AX371:AX372"/>
    <mergeCell ref="AC363:AC364"/>
    <mergeCell ref="AC365:AC366"/>
    <mergeCell ref="AC367:AC368"/>
    <mergeCell ref="AC369:AC370"/>
    <mergeCell ref="AC371:AC372"/>
    <mergeCell ref="AJ363:AJ364"/>
    <mergeCell ref="AJ365:AJ366"/>
    <mergeCell ref="AJ367:AJ368"/>
    <mergeCell ref="AJ369:AJ370"/>
    <mergeCell ref="AJ371:AJ372"/>
    <mergeCell ref="H363:H364"/>
    <mergeCell ref="H365:H366"/>
    <mergeCell ref="H367:H368"/>
    <mergeCell ref="H369:H370"/>
    <mergeCell ref="H371:H372"/>
    <mergeCell ref="M33:M34"/>
    <mergeCell ref="M35:M36"/>
    <mergeCell ref="A353:A354"/>
    <mergeCell ref="A355:A356"/>
    <mergeCell ref="A357:A358"/>
    <mergeCell ref="A359:A360"/>
    <mergeCell ref="A363:A364"/>
    <mergeCell ref="A348:XFD348"/>
    <mergeCell ref="A234:A235"/>
    <mergeCell ref="A226:A227"/>
    <mergeCell ref="A228:A229"/>
    <mergeCell ref="A230:A231"/>
    <mergeCell ref="A232:A233"/>
    <mergeCell ref="A271:A272"/>
    <mergeCell ref="A273:A274"/>
    <mergeCell ref="A275:A276"/>
    <mergeCell ref="A277:A278"/>
    <mergeCell ref="A279:A280"/>
    <mergeCell ref="A243:A244"/>
    <mergeCell ref="A245:A246"/>
    <mergeCell ref="A247:A248"/>
    <mergeCell ref="A249:A250"/>
    <mergeCell ref="A251:A252"/>
    <mergeCell ref="A257:A258"/>
    <mergeCell ref="A35:A36"/>
    <mergeCell ref="A41:A42"/>
    <mergeCell ref="A43:A44"/>
    <mergeCell ref="A45:A46"/>
    <mergeCell ref="A47:A48"/>
    <mergeCell ref="A49:A50"/>
    <mergeCell ref="A20:XFD20"/>
    <mergeCell ref="A27:A28"/>
    <mergeCell ref="A29:A30"/>
    <mergeCell ref="A31:A32"/>
    <mergeCell ref="A33:A34"/>
    <mergeCell ref="G27:G28"/>
    <mergeCell ref="AE27:AE28"/>
    <mergeCell ref="AE29:AE30"/>
    <mergeCell ref="AE31:AE32"/>
    <mergeCell ref="AE33:AE34"/>
    <mergeCell ref="AE35:AE36"/>
    <mergeCell ref="G29:G30"/>
    <mergeCell ref="G31:G32"/>
    <mergeCell ref="G33:G34"/>
    <mergeCell ref="G35:G36"/>
    <mergeCell ref="M27:M28"/>
    <mergeCell ref="M29:M30"/>
    <mergeCell ref="M31:M32"/>
    <mergeCell ref="AK27:AK28"/>
    <mergeCell ref="AK29:AK30"/>
    <mergeCell ref="AK31:AK32"/>
    <mergeCell ref="AK33:AK34"/>
    <mergeCell ref="AK35:AK36"/>
    <mergeCell ref="S27:S28"/>
    <mergeCell ref="S29:S30"/>
    <mergeCell ref="S31:S32"/>
    <mergeCell ref="S33:S34"/>
    <mergeCell ref="S35:S36"/>
    <mergeCell ref="Y27:Y28"/>
    <mergeCell ref="Y29:Y30"/>
    <mergeCell ref="Y31:Y32"/>
    <mergeCell ref="Y33:Y34"/>
    <mergeCell ref="Y35:Y36"/>
    <mergeCell ref="E16:H16"/>
    <mergeCell ref="E17:H17"/>
    <mergeCell ref="E18:H18"/>
    <mergeCell ref="E19:H19"/>
    <mergeCell ref="A15:R15"/>
    <mergeCell ref="A10:XFD10"/>
    <mergeCell ref="A1:XFD1"/>
    <mergeCell ref="A16:D16"/>
    <mergeCell ref="A17:D17"/>
    <mergeCell ref="A18:D18"/>
    <mergeCell ref="H4:J4"/>
    <mergeCell ref="H3:J3"/>
    <mergeCell ref="H5:J5"/>
    <mergeCell ref="A19:D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934F-B0A8-40A8-B6B4-830AD47FDEE9}">
  <dimension ref="A1:AV180"/>
  <sheetViews>
    <sheetView zoomScale="85" zoomScaleNormal="85" workbookViewId="0">
      <selection activeCell="U14" sqref="U14"/>
    </sheetView>
  </sheetViews>
  <sheetFormatPr defaultColWidth="8.90625" defaultRowHeight="15.5" x14ac:dyDescent="0.45"/>
  <cols>
    <col min="1" max="16384" width="8.90625" style="45"/>
  </cols>
  <sheetData>
    <row r="1" spans="1:11" s="130" customFormat="1" x14ac:dyDescent="0.45">
      <c r="A1" s="130" t="s">
        <v>0</v>
      </c>
    </row>
    <row r="2" spans="1:11" s="99" customFormat="1" x14ac:dyDescent="0.45"/>
    <row r="13" spans="1:11" s="130" customFormat="1" x14ac:dyDescent="0.45">
      <c r="A13" s="130" t="s">
        <v>127</v>
      </c>
    </row>
    <row r="15" spans="1:11" x14ac:dyDescent="0.45">
      <c r="D15" s="45" t="s">
        <v>128</v>
      </c>
    </row>
    <row r="16" spans="1:11" x14ac:dyDescent="0.45">
      <c r="D16" s="45" t="s">
        <v>196</v>
      </c>
      <c r="G16" s="45" t="s">
        <v>144</v>
      </c>
      <c r="K16" s="45" t="s">
        <v>199</v>
      </c>
    </row>
    <row r="17" spans="1:11" x14ac:dyDescent="0.45">
      <c r="D17" s="45" t="s">
        <v>197</v>
      </c>
      <c r="G17" s="45" t="s">
        <v>145</v>
      </c>
      <c r="K17" s="45" t="s">
        <v>200</v>
      </c>
    </row>
    <row r="18" spans="1:11" x14ac:dyDescent="0.45">
      <c r="D18" s="45" t="s">
        <v>198</v>
      </c>
      <c r="K18" s="45" t="s">
        <v>201</v>
      </c>
    </row>
    <row r="19" spans="1:11" x14ac:dyDescent="0.45">
      <c r="K19" s="45" t="s">
        <v>202</v>
      </c>
    </row>
    <row r="20" spans="1:11" x14ac:dyDescent="0.45">
      <c r="D20" s="45" t="s">
        <v>129</v>
      </c>
      <c r="E20" s="45" t="s">
        <v>130</v>
      </c>
      <c r="F20" s="45" t="s">
        <v>131</v>
      </c>
    </row>
    <row r="23" spans="1:11" ht="16" thickBot="1" x14ac:dyDescent="0.5">
      <c r="A23" s="140" t="s">
        <v>142</v>
      </c>
      <c r="B23" s="140"/>
      <c r="C23" s="140"/>
      <c r="D23" s="140"/>
      <c r="F23" s="140" t="s">
        <v>143</v>
      </c>
      <c r="G23" s="140"/>
      <c r="H23" s="140"/>
      <c r="I23" s="140"/>
      <c r="J23" s="140"/>
      <c r="K23" s="140"/>
    </row>
    <row r="24" spans="1:11" ht="16" thickBot="1" x14ac:dyDescent="0.5">
      <c r="A24" s="87"/>
      <c r="B24" s="88" t="s">
        <v>134</v>
      </c>
      <c r="C24" s="89" t="s">
        <v>135</v>
      </c>
      <c r="D24" s="90"/>
      <c r="F24" s="87"/>
      <c r="G24" s="88" t="s">
        <v>137</v>
      </c>
      <c r="H24" s="89" t="s">
        <v>138</v>
      </c>
      <c r="I24" s="89" t="s">
        <v>139</v>
      </c>
      <c r="J24" s="89" t="s">
        <v>140</v>
      </c>
      <c r="K24" s="90"/>
    </row>
    <row r="25" spans="1:11" x14ac:dyDescent="0.45">
      <c r="A25" s="85" t="s">
        <v>132</v>
      </c>
      <c r="B25" s="72">
        <v>14</v>
      </c>
      <c r="C25" s="74">
        <v>18</v>
      </c>
      <c r="D25" s="93">
        <v>340</v>
      </c>
      <c r="F25" s="85" t="s">
        <v>134</v>
      </c>
      <c r="G25" s="72">
        <v>8</v>
      </c>
      <c r="H25" s="73">
        <v>6</v>
      </c>
      <c r="I25" s="73">
        <v>4</v>
      </c>
      <c r="J25" s="74">
        <v>2</v>
      </c>
      <c r="K25" s="93">
        <v>350</v>
      </c>
    </row>
    <row r="26" spans="1:11" ht="16" thickBot="1" x14ac:dyDescent="0.5">
      <c r="A26" s="83" t="s">
        <v>133</v>
      </c>
      <c r="B26" s="75">
        <v>16</v>
      </c>
      <c r="C26" s="76">
        <v>12</v>
      </c>
      <c r="D26" s="94">
        <v>150</v>
      </c>
      <c r="F26" s="83" t="s">
        <v>135</v>
      </c>
      <c r="G26" s="77">
        <v>10</v>
      </c>
      <c r="H26" s="78">
        <v>8</v>
      </c>
      <c r="I26" s="78">
        <v>6</v>
      </c>
      <c r="J26" s="79">
        <v>3</v>
      </c>
      <c r="K26" s="94">
        <v>450</v>
      </c>
    </row>
    <row r="27" spans="1:11" ht="16" thickBot="1" x14ac:dyDescent="0.5">
      <c r="A27" s="83" t="s">
        <v>136</v>
      </c>
      <c r="B27" s="77">
        <v>10</v>
      </c>
      <c r="C27" s="79">
        <v>14</v>
      </c>
      <c r="D27" s="94">
        <v>100</v>
      </c>
      <c r="F27" s="84"/>
      <c r="G27" s="95">
        <v>200</v>
      </c>
      <c r="H27" s="96">
        <v>160</v>
      </c>
      <c r="I27" s="96">
        <v>130</v>
      </c>
      <c r="J27" s="96">
        <v>100</v>
      </c>
      <c r="K27" s="79"/>
    </row>
    <row r="28" spans="1:11" ht="16" thickBot="1" x14ac:dyDescent="0.5">
      <c r="A28" s="84"/>
      <c r="B28" s="95">
        <v>350</v>
      </c>
      <c r="C28" s="96">
        <v>450</v>
      </c>
      <c r="D28" s="79"/>
    </row>
    <row r="30" spans="1:11" ht="16" thickBot="1" x14ac:dyDescent="0.5">
      <c r="A30" s="45" t="s">
        <v>141</v>
      </c>
    </row>
    <row r="31" spans="1:11" ht="16" thickBot="1" x14ac:dyDescent="0.5"/>
    <row r="32" spans="1:11" ht="16" thickBot="1" x14ac:dyDescent="0.5">
      <c r="A32" s="87"/>
      <c r="B32" s="88" t="s">
        <v>134</v>
      </c>
      <c r="C32" s="90" t="s">
        <v>135</v>
      </c>
      <c r="D32" s="91" t="s">
        <v>137</v>
      </c>
      <c r="E32" s="89" t="s">
        <v>138</v>
      </c>
      <c r="F32" s="89" t="s">
        <v>139</v>
      </c>
      <c r="G32" s="90" t="s">
        <v>140</v>
      </c>
    </row>
    <row r="33" spans="1:9" x14ac:dyDescent="0.45">
      <c r="A33" s="85" t="s">
        <v>132</v>
      </c>
      <c r="B33" s="70">
        <v>14</v>
      </c>
      <c r="C33" s="86">
        <v>18</v>
      </c>
      <c r="D33" s="92">
        <v>100</v>
      </c>
      <c r="E33" s="10">
        <v>100</v>
      </c>
      <c r="F33" s="10">
        <v>100</v>
      </c>
      <c r="G33" s="86">
        <v>100</v>
      </c>
    </row>
    <row r="34" spans="1:9" x14ac:dyDescent="0.45">
      <c r="A34" s="83" t="s">
        <v>133</v>
      </c>
      <c r="B34" s="71">
        <v>16</v>
      </c>
      <c r="C34" s="76">
        <v>12</v>
      </c>
      <c r="D34" s="75">
        <v>100</v>
      </c>
      <c r="E34" s="69">
        <v>100</v>
      </c>
      <c r="F34" s="69">
        <v>100</v>
      </c>
      <c r="G34" s="76">
        <v>100</v>
      </c>
    </row>
    <row r="35" spans="1:9" ht="16" thickBot="1" x14ac:dyDescent="0.5">
      <c r="A35" s="84" t="s">
        <v>136</v>
      </c>
      <c r="B35" s="81">
        <v>10</v>
      </c>
      <c r="C35" s="79">
        <v>14</v>
      </c>
      <c r="D35" s="77">
        <v>100</v>
      </c>
      <c r="E35" s="78">
        <v>100</v>
      </c>
      <c r="F35" s="78">
        <v>100</v>
      </c>
      <c r="G35" s="79">
        <v>100</v>
      </c>
    </row>
    <row r="36" spans="1:9" x14ac:dyDescent="0.45">
      <c r="A36" s="82" t="s">
        <v>134</v>
      </c>
      <c r="B36" s="80">
        <v>0</v>
      </c>
      <c r="C36" s="74">
        <v>100</v>
      </c>
      <c r="D36" s="72">
        <v>8</v>
      </c>
      <c r="E36" s="73">
        <v>6</v>
      </c>
      <c r="F36" s="73">
        <v>4</v>
      </c>
      <c r="G36" s="74">
        <v>2</v>
      </c>
    </row>
    <row r="37" spans="1:9" ht="16" thickBot="1" x14ac:dyDescent="0.5">
      <c r="A37" s="84" t="s">
        <v>135</v>
      </c>
      <c r="B37" s="81">
        <v>100</v>
      </c>
      <c r="C37" s="79">
        <v>0</v>
      </c>
      <c r="D37" s="77">
        <v>10</v>
      </c>
      <c r="E37" s="78">
        <v>8</v>
      </c>
      <c r="F37" s="78">
        <v>6</v>
      </c>
      <c r="G37" s="79">
        <v>3</v>
      </c>
    </row>
    <row r="39" spans="1:9" ht="16" thickBot="1" x14ac:dyDescent="0.5">
      <c r="A39" s="45" t="s">
        <v>146</v>
      </c>
    </row>
    <row r="40" spans="1:9" ht="16" thickBot="1" x14ac:dyDescent="0.5"/>
    <row r="41" spans="1:9" ht="16" thickBot="1" x14ac:dyDescent="0.5">
      <c r="A41" s="87"/>
      <c r="B41" s="88" t="s">
        <v>134</v>
      </c>
      <c r="C41" s="90" t="s">
        <v>135</v>
      </c>
      <c r="D41" s="91" t="s">
        <v>137</v>
      </c>
      <c r="E41" s="89" t="s">
        <v>138</v>
      </c>
      <c r="F41" s="89" t="s">
        <v>139</v>
      </c>
      <c r="G41" s="90" t="s">
        <v>140</v>
      </c>
      <c r="I41" s="45">
        <f>SUM(I42:I46)</f>
        <v>1390</v>
      </c>
    </row>
    <row r="42" spans="1:9" x14ac:dyDescent="0.45">
      <c r="A42" s="85" t="s">
        <v>132</v>
      </c>
      <c r="B42" s="70">
        <v>250</v>
      </c>
      <c r="C42" s="86">
        <v>90</v>
      </c>
      <c r="D42" s="92">
        <v>0</v>
      </c>
      <c r="E42" s="10">
        <v>0</v>
      </c>
      <c r="F42" s="10">
        <v>0</v>
      </c>
      <c r="G42" s="86">
        <v>0</v>
      </c>
      <c r="H42" s="45">
        <f>SUM(B42:G42)</f>
        <v>340</v>
      </c>
      <c r="I42" s="45">
        <v>340</v>
      </c>
    </row>
    <row r="43" spans="1:9" x14ac:dyDescent="0.45">
      <c r="A43" s="83" t="s">
        <v>133</v>
      </c>
      <c r="B43" s="71">
        <v>0</v>
      </c>
      <c r="C43" s="76">
        <v>150</v>
      </c>
      <c r="D43" s="75">
        <v>0</v>
      </c>
      <c r="E43" s="69">
        <v>0</v>
      </c>
      <c r="F43" s="69">
        <v>0</v>
      </c>
      <c r="G43" s="76">
        <v>0</v>
      </c>
      <c r="H43" s="45">
        <f t="shared" ref="H43:H46" si="0">SUM(B43:G43)</f>
        <v>150</v>
      </c>
      <c r="I43" s="45">
        <v>150</v>
      </c>
    </row>
    <row r="44" spans="1:9" ht="16" thickBot="1" x14ac:dyDescent="0.5">
      <c r="A44" s="84" t="s">
        <v>136</v>
      </c>
      <c r="B44" s="81">
        <v>100</v>
      </c>
      <c r="C44" s="79">
        <v>0</v>
      </c>
      <c r="D44" s="77">
        <v>0</v>
      </c>
      <c r="E44" s="78">
        <v>0</v>
      </c>
      <c r="F44" s="78">
        <v>0</v>
      </c>
      <c r="G44" s="79">
        <v>0</v>
      </c>
      <c r="H44" s="45">
        <f t="shared" si="0"/>
        <v>100</v>
      </c>
      <c r="I44" s="45">
        <v>100</v>
      </c>
    </row>
    <row r="45" spans="1:9" x14ac:dyDescent="0.45">
      <c r="A45" s="82" t="s">
        <v>134</v>
      </c>
      <c r="B45" s="80">
        <v>0</v>
      </c>
      <c r="C45" s="74">
        <v>0</v>
      </c>
      <c r="D45" s="72">
        <v>60</v>
      </c>
      <c r="E45" s="73">
        <v>160</v>
      </c>
      <c r="F45" s="73">
        <v>130</v>
      </c>
      <c r="G45" s="74">
        <v>0</v>
      </c>
      <c r="H45" s="45">
        <f t="shared" si="0"/>
        <v>350</v>
      </c>
      <c r="I45" s="45">
        <v>350</v>
      </c>
    </row>
    <row r="46" spans="1:9" ht="16" thickBot="1" x14ac:dyDescent="0.5">
      <c r="A46" s="84" t="s">
        <v>135</v>
      </c>
      <c r="B46" s="81">
        <v>0</v>
      </c>
      <c r="C46" s="79">
        <v>210</v>
      </c>
      <c r="D46" s="77">
        <v>140</v>
      </c>
      <c r="E46" s="78">
        <v>0</v>
      </c>
      <c r="F46" s="78">
        <v>0</v>
      </c>
      <c r="G46" s="79">
        <v>100</v>
      </c>
      <c r="H46" s="45">
        <f t="shared" si="0"/>
        <v>450</v>
      </c>
      <c r="I46" s="45">
        <v>450</v>
      </c>
    </row>
    <row r="47" spans="1:9" x14ac:dyDescent="0.45">
      <c r="B47" s="45">
        <f>SUM(B42:B46)</f>
        <v>350</v>
      </c>
      <c r="C47" s="45">
        <f t="shared" ref="C47:G47" si="1">SUM(C42:C46)</f>
        <v>450</v>
      </c>
      <c r="D47" s="45">
        <f t="shared" si="1"/>
        <v>200</v>
      </c>
      <c r="E47" s="45">
        <f t="shared" si="1"/>
        <v>160</v>
      </c>
      <c r="F47" s="45">
        <f t="shared" si="1"/>
        <v>130</v>
      </c>
      <c r="G47" s="45">
        <f t="shared" si="1"/>
        <v>100</v>
      </c>
    </row>
    <row r="48" spans="1:9" x14ac:dyDescent="0.45">
      <c r="A48" s="45">
        <f>SUM(B48:G48)</f>
        <v>1390</v>
      </c>
      <c r="B48" s="45">
        <v>350</v>
      </c>
      <c r="C48" s="45">
        <v>450</v>
      </c>
      <c r="D48" s="45">
        <v>200</v>
      </c>
      <c r="E48" s="45">
        <v>160</v>
      </c>
      <c r="F48" s="45">
        <v>130</v>
      </c>
      <c r="G48" s="45">
        <v>100</v>
      </c>
      <c r="I48" s="45">
        <f>SUMPRODUCT(B33:G37,B42:G46)</f>
        <v>11580</v>
      </c>
    </row>
    <row r="50" spans="1:23" s="130" customFormat="1" x14ac:dyDescent="0.45">
      <c r="A50" s="130" t="s">
        <v>147</v>
      </c>
    </row>
    <row r="51" spans="1:23" x14ac:dyDescent="0.45">
      <c r="A51"/>
    </row>
    <row r="52" spans="1:23" x14ac:dyDescent="0.45">
      <c r="A52" s="20"/>
      <c r="B52" s="21">
        <v>350</v>
      </c>
      <c r="C52" s="26">
        <v>450</v>
      </c>
      <c r="D52" s="25"/>
      <c r="E52" s="20"/>
      <c r="F52" s="21">
        <v>250</v>
      </c>
      <c r="G52" s="26">
        <v>450</v>
      </c>
      <c r="I52" s="20"/>
      <c r="J52" s="21">
        <v>250</v>
      </c>
      <c r="K52" s="26">
        <v>300</v>
      </c>
      <c r="M52" s="20"/>
      <c r="N52" s="21">
        <v>0</v>
      </c>
      <c r="O52" s="26">
        <v>300</v>
      </c>
      <c r="Q52" s="20"/>
      <c r="R52" s="21">
        <v>0</v>
      </c>
      <c r="S52" s="26">
        <v>210</v>
      </c>
      <c r="U52" s="20"/>
      <c r="V52" s="21">
        <v>0</v>
      </c>
      <c r="W52" s="26">
        <v>0</v>
      </c>
    </row>
    <row r="53" spans="1:23" x14ac:dyDescent="0.45">
      <c r="A53" s="97">
        <v>340</v>
      </c>
      <c r="B53" s="17">
        <v>14</v>
      </c>
      <c r="C53" s="17">
        <v>18</v>
      </c>
      <c r="D53" s="100"/>
      <c r="E53" s="97">
        <v>340</v>
      </c>
      <c r="F53" s="17">
        <v>14</v>
      </c>
      <c r="G53" s="17">
        <v>18</v>
      </c>
      <c r="I53" s="97">
        <v>340</v>
      </c>
      <c r="J53" s="17">
        <v>14</v>
      </c>
      <c r="K53" s="17">
        <v>18</v>
      </c>
      <c r="M53" s="97">
        <v>90</v>
      </c>
      <c r="N53" s="13">
        <v>14</v>
      </c>
      <c r="O53" s="17">
        <v>18</v>
      </c>
      <c r="Q53" s="97">
        <v>0</v>
      </c>
      <c r="R53" s="13">
        <v>14</v>
      </c>
      <c r="S53" s="13">
        <v>18</v>
      </c>
      <c r="U53" s="97">
        <v>0</v>
      </c>
      <c r="V53" s="13">
        <v>14</v>
      </c>
      <c r="W53" s="13">
        <v>18</v>
      </c>
    </row>
    <row r="54" spans="1:23" x14ac:dyDescent="0.45">
      <c r="A54" s="98"/>
      <c r="B54" s="18"/>
      <c r="C54" s="18"/>
      <c r="D54" s="47"/>
      <c r="E54" s="98"/>
      <c r="F54" s="18"/>
      <c r="G54" s="18"/>
      <c r="I54" s="98"/>
      <c r="J54" s="18"/>
      <c r="K54" s="18"/>
      <c r="M54" s="98"/>
      <c r="N54" s="14">
        <v>250</v>
      </c>
      <c r="O54" s="18"/>
      <c r="Q54" s="98"/>
      <c r="R54" s="14">
        <v>250</v>
      </c>
      <c r="S54" s="14">
        <v>90</v>
      </c>
      <c r="U54" s="98"/>
      <c r="V54" s="14">
        <v>250</v>
      </c>
      <c r="W54" s="14">
        <v>90</v>
      </c>
    </row>
    <row r="55" spans="1:23" x14ac:dyDescent="0.45">
      <c r="A55" s="97">
        <v>150</v>
      </c>
      <c r="B55" s="17">
        <v>16</v>
      </c>
      <c r="C55" s="17">
        <v>12</v>
      </c>
      <c r="D55" s="100"/>
      <c r="E55" s="97">
        <v>150</v>
      </c>
      <c r="F55" s="17">
        <v>16</v>
      </c>
      <c r="G55" s="17">
        <v>12</v>
      </c>
      <c r="I55" s="97">
        <v>0</v>
      </c>
      <c r="J55" s="11">
        <v>16</v>
      </c>
      <c r="K55" s="13">
        <v>12</v>
      </c>
      <c r="M55" s="97">
        <v>0</v>
      </c>
      <c r="N55" s="11">
        <v>16</v>
      </c>
      <c r="O55" s="13">
        <v>12</v>
      </c>
      <c r="Q55" s="97">
        <v>0</v>
      </c>
      <c r="R55" s="11">
        <v>16</v>
      </c>
      <c r="S55" s="13">
        <v>12</v>
      </c>
      <c r="U55" s="97">
        <v>0</v>
      </c>
      <c r="V55" s="11">
        <v>16</v>
      </c>
      <c r="W55" s="13">
        <v>12</v>
      </c>
    </row>
    <row r="56" spans="1:23" x14ac:dyDescent="0.45">
      <c r="A56" s="98"/>
      <c r="B56" s="18"/>
      <c r="C56" s="18"/>
      <c r="D56" s="47"/>
      <c r="E56" s="98"/>
      <c r="F56" s="18"/>
      <c r="G56" s="18"/>
      <c r="I56" s="98"/>
      <c r="J56" s="12"/>
      <c r="K56" s="14">
        <v>150</v>
      </c>
      <c r="M56" s="98"/>
      <c r="N56" s="12"/>
      <c r="O56" s="14">
        <v>150</v>
      </c>
      <c r="Q56" s="98"/>
      <c r="R56" s="12"/>
      <c r="S56" s="14">
        <v>150</v>
      </c>
      <c r="U56" s="98"/>
      <c r="V56" s="12"/>
      <c r="W56" s="14">
        <v>150</v>
      </c>
    </row>
    <row r="57" spans="1:23" x14ac:dyDescent="0.45">
      <c r="A57" s="97">
        <v>100</v>
      </c>
      <c r="B57" s="19">
        <v>10</v>
      </c>
      <c r="C57" s="19">
        <v>14</v>
      </c>
      <c r="D57" s="100"/>
      <c r="E57" s="97">
        <v>0</v>
      </c>
      <c r="F57" s="15">
        <v>10</v>
      </c>
      <c r="G57" s="16">
        <v>14</v>
      </c>
      <c r="I57" s="97">
        <v>0</v>
      </c>
      <c r="J57" s="15">
        <v>10</v>
      </c>
      <c r="K57" s="16">
        <v>14</v>
      </c>
      <c r="M57" s="97">
        <v>0</v>
      </c>
      <c r="N57" s="15">
        <v>10</v>
      </c>
      <c r="O57" s="16">
        <v>14</v>
      </c>
      <c r="Q57" s="97">
        <v>0</v>
      </c>
      <c r="R57" s="15">
        <v>10</v>
      </c>
      <c r="S57" s="16">
        <v>14</v>
      </c>
      <c r="U57" s="97">
        <v>0</v>
      </c>
      <c r="V57" s="15">
        <v>10</v>
      </c>
      <c r="W57" s="16">
        <v>14</v>
      </c>
    </row>
    <row r="58" spans="1:23" x14ac:dyDescent="0.45">
      <c r="A58" s="98"/>
      <c r="B58" s="56"/>
      <c r="C58" s="56"/>
      <c r="D58" s="47"/>
      <c r="E58" s="98"/>
      <c r="F58" s="38">
        <v>100</v>
      </c>
      <c r="G58" s="37"/>
      <c r="I58" s="98"/>
      <c r="J58" s="38">
        <v>100</v>
      </c>
      <c r="K58" s="37"/>
      <c r="M58" s="98"/>
      <c r="N58" s="38">
        <v>100</v>
      </c>
      <c r="O58" s="37"/>
      <c r="Q58" s="98"/>
      <c r="R58" s="38">
        <v>100</v>
      </c>
      <c r="S58" s="37"/>
      <c r="U58" s="98"/>
      <c r="V58" s="38">
        <v>100</v>
      </c>
      <c r="W58" s="37"/>
    </row>
    <row r="59" spans="1:23" x14ac:dyDescent="0.45">
      <c r="A59" s="97">
        <v>210</v>
      </c>
      <c r="B59" s="17">
        <v>0</v>
      </c>
      <c r="C59" s="17">
        <v>0</v>
      </c>
      <c r="D59" s="100"/>
      <c r="E59" s="97">
        <v>210</v>
      </c>
      <c r="F59" s="17">
        <v>0</v>
      </c>
      <c r="G59" s="17">
        <v>0</v>
      </c>
      <c r="I59" s="97">
        <v>210</v>
      </c>
      <c r="J59" s="17">
        <v>0</v>
      </c>
      <c r="K59" s="17">
        <v>0</v>
      </c>
      <c r="M59" s="97">
        <v>210</v>
      </c>
      <c r="N59" s="11">
        <v>0</v>
      </c>
      <c r="O59" s="17">
        <v>0</v>
      </c>
      <c r="Q59" s="97">
        <v>210</v>
      </c>
      <c r="R59" s="11">
        <v>0</v>
      </c>
      <c r="S59" s="17">
        <v>0</v>
      </c>
      <c r="U59" s="97">
        <v>0</v>
      </c>
      <c r="V59" s="11">
        <v>0</v>
      </c>
      <c r="W59" s="13">
        <v>0</v>
      </c>
    </row>
    <row r="60" spans="1:23" x14ac:dyDescent="0.45">
      <c r="A60" s="98"/>
      <c r="B60" s="18"/>
      <c r="C60" s="18"/>
      <c r="D60" s="47"/>
      <c r="E60" s="98"/>
      <c r="F60" s="18"/>
      <c r="G60" s="18"/>
      <c r="I60" s="98"/>
      <c r="J60" s="18"/>
      <c r="K60" s="18"/>
      <c r="M60" s="98"/>
      <c r="N60" s="12"/>
      <c r="O60" s="18"/>
      <c r="Q60" s="98"/>
      <c r="R60" s="12"/>
      <c r="S60" s="18"/>
      <c r="U60" s="98"/>
      <c r="V60" s="12"/>
      <c r="W60" s="14">
        <v>210</v>
      </c>
    </row>
    <row r="62" spans="1:23" x14ac:dyDescent="0.45">
      <c r="A62" s="45" t="s">
        <v>22</v>
      </c>
    </row>
    <row r="64" spans="1:23" x14ac:dyDescent="0.45">
      <c r="A64" s="20" t="s">
        <v>4</v>
      </c>
      <c r="B64" s="21">
        <v>0</v>
      </c>
      <c r="C64" s="26">
        <v>0</v>
      </c>
    </row>
    <row r="65" spans="1:5" x14ac:dyDescent="0.45">
      <c r="A65" s="97">
        <v>0</v>
      </c>
      <c r="B65" s="13">
        <v>14</v>
      </c>
      <c r="C65" s="13">
        <v>18</v>
      </c>
    </row>
    <row r="66" spans="1:5" x14ac:dyDescent="0.45">
      <c r="A66" s="98"/>
      <c r="B66" s="14">
        <v>250</v>
      </c>
      <c r="C66" s="14">
        <v>90</v>
      </c>
    </row>
    <row r="67" spans="1:5" x14ac:dyDescent="0.45">
      <c r="A67" s="97">
        <v>0</v>
      </c>
      <c r="B67" s="11">
        <v>16</v>
      </c>
      <c r="C67" s="13">
        <v>12</v>
      </c>
    </row>
    <row r="68" spans="1:5" x14ac:dyDescent="0.45">
      <c r="A68" s="98"/>
      <c r="B68" s="12"/>
      <c r="C68" s="14">
        <v>150</v>
      </c>
    </row>
    <row r="69" spans="1:5" x14ac:dyDescent="0.45">
      <c r="A69" s="97">
        <v>0</v>
      </c>
      <c r="B69" s="15">
        <v>10</v>
      </c>
      <c r="C69" s="16">
        <v>14</v>
      </c>
    </row>
    <row r="70" spans="1:5" x14ac:dyDescent="0.45">
      <c r="A70" s="98"/>
      <c r="B70" s="38">
        <v>100</v>
      </c>
      <c r="C70" s="37"/>
    </row>
    <row r="71" spans="1:5" x14ac:dyDescent="0.45">
      <c r="A71" s="97">
        <v>0</v>
      </c>
      <c r="B71" s="11">
        <v>0</v>
      </c>
      <c r="C71" s="13">
        <v>0</v>
      </c>
    </row>
    <row r="72" spans="1:5" x14ac:dyDescent="0.45">
      <c r="A72" s="98"/>
      <c r="B72" s="12"/>
      <c r="C72" s="14">
        <v>210</v>
      </c>
    </row>
    <row r="74" spans="1:5" x14ac:dyDescent="0.45">
      <c r="A74" s="45" t="s">
        <v>148</v>
      </c>
    </row>
    <row r="75" spans="1:5" x14ac:dyDescent="0.45">
      <c r="A75" s="45" t="s">
        <v>149</v>
      </c>
    </row>
    <row r="77" spans="1:5" x14ac:dyDescent="0.45">
      <c r="A77" s="45" t="s">
        <v>7</v>
      </c>
    </row>
    <row r="79" spans="1:5" x14ac:dyDescent="0.45">
      <c r="A79" s="20"/>
      <c r="B79" s="21" t="s">
        <v>155</v>
      </c>
      <c r="C79" s="26" t="s">
        <v>156</v>
      </c>
      <c r="E79" s="45" t="s">
        <v>150</v>
      </c>
    </row>
    <row r="80" spans="1:5" x14ac:dyDescent="0.45">
      <c r="A80" s="97" t="s">
        <v>13</v>
      </c>
      <c r="B80" s="13">
        <v>14</v>
      </c>
      <c r="C80" s="13">
        <v>18</v>
      </c>
      <c r="E80" s="45" t="s">
        <v>151</v>
      </c>
    </row>
    <row r="81" spans="1:48" x14ac:dyDescent="0.45">
      <c r="A81" s="98"/>
      <c r="B81" s="14">
        <v>250</v>
      </c>
      <c r="C81" s="14">
        <v>90</v>
      </c>
      <c r="E81" s="45" t="s">
        <v>152</v>
      </c>
    </row>
    <row r="82" spans="1:48" x14ac:dyDescent="0.45">
      <c r="A82" s="97" t="s">
        <v>27</v>
      </c>
      <c r="B82" s="11">
        <v>16</v>
      </c>
      <c r="C82" s="13">
        <v>12</v>
      </c>
      <c r="E82" s="45" t="s">
        <v>153</v>
      </c>
    </row>
    <row r="83" spans="1:48" x14ac:dyDescent="0.45">
      <c r="A83" s="98"/>
      <c r="B83" s="12"/>
      <c r="C83" s="14">
        <v>150</v>
      </c>
      <c r="E83" s="45" t="s">
        <v>154</v>
      </c>
    </row>
    <row r="84" spans="1:48" x14ac:dyDescent="0.45">
      <c r="A84" s="97" t="s">
        <v>157</v>
      </c>
      <c r="B84" s="15">
        <v>10</v>
      </c>
      <c r="C84" s="16">
        <v>14</v>
      </c>
    </row>
    <row r="85" spans="1:48" x14ac:dyDescent="0.45">
      <c r="A85" s="98"/>
      <c r="B85" s="38">
        <v>100</v>
      </c>
      <c r="C85" s="37"/>
    </row>
    <row r="86" spans="1:48" x14ac:dyDescent="0.45">
      <c r="A86" s="97" t="s">
        <v>158</v>
      </c>
      <c r="B86" s="11">
        <v>0</v>
      </c>
      <c r="C86" s="13">
        <v>0</v>
      </c>
    </row>
    <row r="87" spans="1:48" x14ac:dyDescent="0.45">
      <c r="A87" s="98"/>
      <c r="B87" s="12"/>
      <c r="C87" s="14">
        <v>210</v>
      </c>
    </row>
    <row r="89" spans="1:48" x14ac:dyDescent="0.45">
      <c r="A89" s="45" t="s">
        <v>159</v>
      </c>
    </row>
    <row r="90" spans="1:48" x14ac:dyDescent="0.45">
      <c r="A90" s="45" t="s">
        <v>48</v>
      </c>
    </row>
    <row r="91" spans="1:48" x14ac:dyDescent="0.45">
      <c r="A91" s="45" t="s">
        <v>192</v>
      </c>
    </row>
    <row r="92" spans="1:48" x14ac:dyDescent="0.45">
      <c r="A92" s="45" t="s">
        <v>161</v>
      </c>
    </row>
    <row r="93" spans="1:48" x14ac:dyDescent="0.45">
      <c r="A93" s="45" t="s">
        <v>162</v>
      </c>
    </row>
    <row r="94" spans="1:48" x14ac:dyDescent="0.45">
      <c r="A94" s="45" t="s">
        <v>160</v>
      </c>
    </row>
    <row r="96" spans="1:48" x14ac:dyDescent="0.45">
      <c r="A96" s="20" t="s">
        <v>4</v>
      </c>
      <c r="B96" s="21">
        <v>200</v>
      </c>
      <c r="C96" s="21">
        <v>160</v>
      </c>
      <c r="D96" s="21">
        <v>130</v>
      </c>
      <c r="E96" s="26">
        <v>100</v>
      </c>
      <c r="F96" s="103">
        <v>210</v>
      </c>
      <c r="H96" s="20" t="s">
        <v>4</v>
      </c>
      <c r="I96" s="21">
        <v>200</v>
      </c>
      <c r="J96" s="21">
        <v>160</v>
      </c>
      <c r="K96" s="21">
        <v>130</v>
      </c>
      <c r="L96" s="26">
        <v>0</v>
      </c>
      <c r="M96" s="103">
        <v>210</v>
      </c>
      <c r="O96" s="20" t="s">
        <v>4</v>
      </c>
      <c r="P96" s="21">
        <v>200</v>
      </c>
      <c r="Q96" s="21">
        <v>160</v>
      </c>
      <c r="R96" s="21">
        <v>0</v>
      </c>
      <c r="S96" s="26">
        <v>0</v>
      </c>
      <c r="T96" s="103">
        <v>210</v>
      </c>
      <c r="V96" s="20" t="s">
        <v>4</v>
      </c>
      <c r="W96" s="21">
        <v>200</v>
      </c>
      <c r="X96" s="21">
        <v>40</v>
      </c>
      <c r="Y96" s="21">
        <v>0</v>
      </c>
      <c r="Z96" s="26">
        <v>0</v>
      </c>
      <c r="AA96" s="103">
        <v>210</v>
      </c>
      <c r="AC96" s="20" t="s">
        <v>4</v>
      </c>
      <c r="AD96" s="21">
        <v>200</v>
      </c>
      <c r="AE96" s="21">
        <v>0</v>
      </c>
      <c r="AF96" s="21">
        <v>0</v>
      </c>
      <c r="AG96" s="26">
        <v>0</v>
      </c>
      <c r="AH96" s="103">
        <v>210</v>
      </c>
      <c r="AJ96" s="20" t="s">
        <v>4</v>
      </c>
      <c r="AK96" s="21">
        <v>0</v>
      </c>
      <c r="AL96" s="21">
        <v>0</v>
      </c>
      <c r="AM96" s="21">
        <v>0</v>
      </c>
      <c r="AN96" s="26">
        <v>0</v>
      </c>
      <c r="AO96" s="103">
        <v>210</v>
      </c>
      <c r="AQ96" s="20" t="s">
        <v>4</v>
      </c>
      <c r="AR96" s="21">
        <v>0</v>
      </c>
      <c r="AS96" s="21">
        <v>0</v>
      </c>
      <c r="AT96" s="21">
        <v>0</v>
      </c>
      <c r="AU96" s="26">
        <v>0</v>
      </c>
      <c r="AV96" s="103">
        <v>0</v>
      </c>
    </row>
    <row r="97" spans="1:48" x14ac:dyDescent="0.45">
      <c r="A97" s="134">
        <v>350</v>
      </c>
      <c r="B97" s="6">
        <v>8</v>
      </c>
      <c r="C97" s="6">
        <v>6</v>
      </c>
      <c r="D97" s="6">
        <v>4</v>
      </c>
      <c r="E97" s="6">
        <v>2</v>
      </c>
      <c r="F97" s="104">
        <v>0</v>
      </c>
      <c r="H97" s="134">
        <v>250</v>
      </c>
      <c r="I97" s="6">
        <v>8</v>
      </c>
      <c r="J97" s="6">
        <v>6</v>
      </c>
      <c r="K97" s="6">
        <v>4</v>
      </c>
      <c r="L97" s="13">
        <v>2</v>
      </c>
      <c r="M97" s="104">
        <v>0</v>
      </c>
      <c r="O97" s="134">
        <v>120</v>
      </c>
      <c r="P97" s="6">
        <v>8</v>
      </c>
      <c r="Q97" s="6">
        <v>6</v>
      </c>
      <c r="R97" s="13">
        <v>4</v>
      </c>
      <c r="S97" s="13">
        <v>2</v>
      </c>
      <c r="T97" s="104">
        <v>0</v>
      </c>
      <c r="V97" s="134">
        <v>0</v>
      </c>
      <c r="W97" s="11">
        <v>8</v>
      </c>
      <c r="X97" s="13">
        <v>6</v>
      </c>
      <c r="Y97" s="13">
        <v>4</v>
      </c>
      <c r="Z97" s="13">
        <v>2</v>
      </c>
      <c r="AA97" s="106">
        <v>0</v>
      </c>
      <c r="AC97" s="134">
        <v>0</v>
      </c>
      <c r="AD97" s="11">
        <v>8</v>
      </c>
      <c r="AE97" s="13">
        <v>6</v>
      </c>
      <c r="AF97" s="13">
        <v>4</v>
      </c>
      <c r="AG97" s="13">
        <v>2</v>
      </c>
      <c r="AH97" s="106">
        <v>0</v>
      </c>
      <c r="AJ97" s="134">
        <v>0</v>
      </c>
      <c r="AK97" s="11">
        <v>8</v>
      </c>
      <c r="AL97" s="13">
        <v>6</v>
      </c>
      <c r="AM97" s="13">
        <v>4</v>
      </c>
      <c r="AN97" s="13">
        <v>2</v>
      </c>
      <c r="AO97" s="106">
        <v>0</v>
      </c>
      <c r="AQ97" s="134">
        <v>0</v>
      </c>
      <c r="AR97" s="11">
        <v>8</v>
      </c>
      <c r="AS97" s="13">
        <v>6</v>
      </c>
      <c r="AT97" s="13">
        <v>4</v>
      </c>
      <c r="AU97" s="13">
        <v>2</v>
      </c>
      <c r="AV97" s="106">
        <v>0</v>
      </c>
    </row>
    <row r="98" spans="1:48" x14ac:dyDescent="0.45">
      <c r="A98" s="135"/>
      <c r="B98" s="10"/>
      <c r="C98" s="10"/>
      <c r="D98" s="10"/>
      <c r="E98" s="10"/>
      <c r="F98" s="102"/>
      <c r="H98" s="135"/>
      <c r="I98" s="10"/>
      <c r="J98" s="10"/>
      <c r="K98" s="10"/>
      <c r="L98" s="14">
        <v>100</v>
      </c>
      <c r="M98" s="102"/>
      <c r="O98" s="135"/>
      <c r="P98" s="10"/>
      <c r="Q98" s="10"/>
      <c r="R98" s="14">
        <v>130</v>
      </c>
      <c r="S98" s="14">
        <v>100</v>
      </c>
      <c r="T98" s="102"/>
      <c r="V98" s="135"/>
      <c r="W98" s="12"/>
      <c r="X98" s="14">
        <v>120</v>
      </c>
      <c r="Y98" s="14">
        <v>130</v>
      </c>
      <c r="Z98" s="14">
        <v>100</v>
      </c>
      <c r="AA98" s="107"/>
      <c r="AC98" s="135"/>
      <c r="AD98" s="12"/>
      <c r="AE98" s="14">
        <v>120</v>
      </c>
      <c r="AF98" s="14">
        <v>130</v>
      </c>
      <c r="AG98" s="14">
        <v>100</v>
      </c>
      <c r="AH98" s="107"/>
      <c r="AJ98" s="135"/>
      <c r="AK98" s="12"/>
      <c r="AL98" s="14">
        <v>120</v>
      </c>
      <c r="AM98" s="14">
        <v>130</v>
      </c>
      <c r="AN98" s="14">
        <v>100</v>
      </c>
      <c r="AO98" s="107"/>
      <c r="AQ98" s="135"/>
      <c r="AR98" s="12"/>
      <c r="AS98" s="14">
        <v>120</v>
      </c>
      <c r="AT98" s="14">
        <v>130</v>
      </c>
      <c r="AU98" s="14">
        <v>100</v>
      </c>
      <c r="AV98" s="107"/>
    </row>
    <row r="99" spans="1:48" x14ac:dyDescent="0.45">
      <c r="A99" s="134">
        <v>450</v>
      </c>
      <c r="B99" s="6">
        <v>10</v>
      </c>
      <c r="C99" s="6">
        <v>8</v>
      </c>
      <c r="D99" s="6">
        <v>6</v>
      </c>
      <c r="E99" s="6">
        <v>3</v>
      </c>
      <c r="F99" s="105">
        <v>0</v>
      </c>
      <c r="H99" s="134">
        <v>450</v>
      </c>
      <c r="I99" s="6">
        <v>10</v>
      </c>
      <c r="J99" s="6">
        <v>8</v>
      </c>
      <c r="K99" s="6">
        <v>6</v>
      </c>
      <c r="L99" s="11">
        <v>3</v>
      </c>
      <c r="M99" s="105">
        <v>0</v>
      </c>
      <c r="O99" s="134">
        <v>450</v>
      </c>
      <c r="P99" s="6">
        <v>10</v>
      </c>
      <c r="Q99" s="6">
        <v>8</v>
      </c>
      <c r="R99" s="11">
        <v>6</v>
      </c>
      <c r="S99" s="11">
        <v>3</v>
      </c>
      <c r="T99" s="105">
        <v>0</v>
      </c>
      <c r="V99" s="134">
        <v>450</v>
      </c>
      <c r="W99" s="6">
        <v>10</v>
      </c>
      <c r="X99" s="6">
        <v>8</v>
      </c>
      <c r="Y99" s="11">
        <v>6</v>
      </c>
      <c r="Z99" s="11">
        <v>3</v>
      </c>
      <c r="AA99" s="105">
        <v>0</v>
      </c>
      <c r="AC99" s="134">
        <v>410</v>
      </c>
      <c r="AD99" s="6">
        <v>10</v>
      </c>
      <c r="AE99" s="13">
        <v>8</v>
      </c>
      <c r="AF99" s="11">
        <v>6</v>
      </c>
      <c r="AG99" s="11">
        <v>3</v>
      </c>
      <c r="AH99" s="105">
        <v>0</v>
      </c>
      <c r="AJ99" s="134">
        <v>210</v>
      </c>
      <c r="AK99" s="13">
        <v>10</v>
      </c>
      <c r="AL99" s="13">
        <v>8</v>
      </c>
      <c r="AM99" s="11">
        <v>6</v>
      </c>
      <c r="AN99" s="11">
        <v>3</v>
      </c>
      <c r="AO99" s="105">
        <v>0</v>
      </c>
      <c r="AQ99" s="134">
        <v>0</v>
      </c>
      <c r="AR99" s="13">
        <v>10</v>
      </c>
      <c r="AS99" s="13">
        <v>8</v>
      </c>
      <c r="AT99" s="11">
        <v>6</v>
      </c>
      <c r="AU99" s="11">
        <v>3</v>
      </c>
      <c r="AV99" s="108">
        <v>0</v>
      </c>
    </row>
    <row r="100" spans="1:48" x14ac:dyDescent="0.45">
      <c r="A100" s="135"/>
      <c r="B100" s="10"/>
      <c r="C100" s="10"/>
      <c r="D100" s="10"/>
      <c r="E100" s="10"/>
      <c r="F100" s="102"/>
      <c r="H100" s="135"/>
      <c r="I100" s="10"/>
      <c r="J100" s="10"/>
      <c r="K100" s="10"/>
      <c r="L100" s="12"/>
      <c r="M100" s="102"/>
      <c r="O100" s="135"/>
      <c r="P100" s="10"/>
      <c r="Q100" s="10"/>
      <c r="R100" s="12"/>
      <c r="S100" s="12"/>
      <c r="T100" s="102"/>
      <c r="V100" s="135"/>
      <c r="W100" s="10"/>
      <c r="X100" s="10"/>
      <c r="Y100" s="12"/>
      <c r="Z100" s="12"/>
      <c r="AA100" s="102"/>
      <c r="AC100" s="135"/>
      <c r="AD100" s="10"/>
      <c r="AE100" s="14">
        <v>40</v>
      </c>
      <c r="AF100" s="12"/>
      <c r="AG100" s="12"/>
      <c r="AH100" s="102"/>
      <c r="AJ100" s="135"/>
      <c r="AK100" s="14">
        <v>200</v>
      </c>
      <c r="AL100" s="14">
        <v>40</v>
      </c>
      <c r="AM100" s="12"/>
      <c r="AN100" s="12"/>
      <c r="AO100" s="102"/>
      <c r="AQ100" s="135"/>
      <c r="AR100" s="14">
        <v>200</v>
      </c>
      <c r="AS100" s="14">
        <v>40</v>
      </c>
      <c r="AT100" s="12"/>
      <c r="AU100" s="12"/>
      <c r="AV100" s="109">
        <v>210</v>
      </c>
    </row>
    <row r="101" spans="1:48" x14ac:dyDescent="0.45">
      <c r="A101" s="25"/>
      <c r="B101" s="100"/>
      <c r="C101" s="100"/>
      <c r="D101" s="100"/>
      <c r="E101" s="100"/>
    </row>
    <row r="102" spans="1:48" x14ac:dyDescent="0.45">
      <c r="A102" s="110" t="s">
        <v>22</v>
      </c>
      <c r="B102" s="100"/>
      <c r="C102" s="100"/>
      <c r="D102" s="100"/>
      <c r="E102" s="100"/>
    </row>
    <row r="103" spans="1:48" x14ac:dyDescent="0.45">
      <c r="A103" s="25"/>
      <c r="B103" s="47"/>
      <c r="C103" s="47"/>
      <c r="D103" s="47"/>
      <c r="E103" s="47"/>
    </row>
    <row r="104" spans="1:48" x14ac:dyDescent="0.45">
      <c r="A104" s="20" t="s">
        <v>4</v>
      </c>
      <c r="B104" s="21">
        <v>0</v>
      </c>
      <c r="C104" s="21">
        <v>0</v>
      </c>
      <c r="D104" s="21">
        <v>0</v>
      </c>
      <c r="E104" s="26">
        <v>0</v>
      </c>
      <c r="F104" s="103">
        <v>0</v>
      </c>
    </row>
    <row r="105" spans="1:48" x14ac:dyDescent="0.45">
      <c r="A105" s="134">
        <v>0</v>
      </c>
      <c r="B105" s="11">
        <v>8</v>
      </c>
      <c r="C105" s="13">
        <v>6</v>
      </c>
      <c r="D105" s="13">
        <v>4</v>
      </c>
      <c r="E105" s="13">
        <v>2</v>
      </c>
      <c r="F105" s="106">
        <v>0</v>
      </c>
    </row>
    <row r="106" spans="1:48" x14ac:dyDescent="0.45">
      <c r="A106" s="135"/>
      <c r="B106" s="12"/>
      <c r="C106" s="14">
        <v>120</v>
      </c>
      <c r="D106" s="14">
        <v>130</v>
      </c>
      <c r="E106" s="14">
        <v>100</v>
      </c>
      <c r="F106" s="107"/>
    </row>
    <row r="107" spans="1:48" x14ac:dyDescent="0.45">
      <c r="A107" s="134">
        <v>0</v>
      </c>
      <c r="B107" s="13">
        <v>10</v>
      </c>
      <c r="C107" s="13">
        <v>8</v>
      </c>
      <c r="D107" s="11">
        <v>6</v>
      </c>
      <c r="E107" s="11">
        <v>3</v>
      </c>
      <c r="F107" s="108">
        <v>0</v>
      </c>
    </row>
    <row r="108" spans="1:48" x14ac:dyDescent="0.45">
      <c r="A108" s="135"/>
      <c r="B108" s="14">
        <v>200</v>
      </c>
      <c r="C108" s="14">
        <v>40</v>
      </c>
      <c r="D108" s="12"/>
      <c r="E108" s="12"/>
      <c r="F108" s="109">
        <v>210</v>
      </c>
    </row>
    <row r="110" spans="1:48" x14ac:dyDescent="0.45">
      <c r="A110" s="45" t="s">
        <v>163</v>
      </c>
    </row>
    <row r="111" spans="1:48" x14ac:dyDescent="0.45">
      <c r="A111" s="45" t="s">
        <v>164</v>
      </c>
    </row>
    <row r="113" spans="1:8" x14ac:dyDescent="0.45">
      <c r="A113" s="45" t="s">
        <v>7</v>
      </c>
    </row>
    <row r="115" spans="1:8" x14ac:dyDescent="0.45">
      <c r="A115" s="20"/>
      <c r="B115" s="21" t="s">
        <v>171</v>
      </c>
      <c r="C115" s="21" t="s">
        <v>79</v>
      </c>
      <c r="D115" s="21" t="s">
        <v>172</v>
      </c>
      <c r="E115" s="26" t="s">
        <v>175</v>
      </c>
      <c r="F115" s="103" t="s">
        <v>173</v>
      </c>
      <c r="H115" s="45" t="s">
        <v>165</v>
      </c>
    </row>
    <row r="116" spans="1:8" x14ac:dyDescent="0.45">
      <c r="A116" s="134" t="s">
        <v>13</v>
      </c>
      <c r="B116" s="11">
        <v>8</v>
      </c>
      <c r="C116" s="13">
        <v>6</v>
      </c>
      <c r="D116" s="13">
        <v>4</v>
      </c>
      <c r="E116" s="13">
        <v>2</v>
      </c>
      <c r="F116" s="106">
        <v>0</v>
      </c>
      <c r="H116" s="45" t="s">
        <v>166</v>
      </c>
    </row>
    <row r="117" spans="1:8" x14ac:dyDescent="0.45">
      <c r="A117" s="135"/>
      <c r="B117" s="12"/>
      <c r="C117" s="14">
        <v>120</v>
      </c>
      <c r="D117" s="14">
        <v>130</v>
      </c>
      <c r="E117" s="14">
        <v>100</v>
      </c>
      <c r="F117" s="107"/>
      <c r="H117" s="45" t="s">
        <v>167</v>
      </c>
    </row>
    <row r="118" spans="1:8" x14ac:dyDescent="0.45">
      <c r="A118" s="134" t="s">
        <v>174</v>
      </c>
      <c r="B118" s="13">
        <v>10</v>
      </c>
      <c r="C118" s="13">
        <v>8</v>
      </c>
      <c r="D118" s="11">
        <v>6</v>
      </c>
      <c r="E118" s="11">
        <v>3</v>
      </c>
      <c r="F118" s="108">
        <v>0</v>
      </c>
      <c r="H118" s="45" t="s">
        <v>168</v>
      </c>
    </row>
    <row r="119" spans="1:8" x14ac:dyDescent="0.45">
      <c r="A119" s="135"/>
      <c r="B119" s="14">
        <v>200</v>
      </c>
      <c r="C119" s="14">
        <v>40</v>
      </c>
      <c r="D119" s="12"/>
      <c r="E119" s="12"/>
      <c r="F119" s="109">
        <v>210</v>
      </c>
      <c r="H119" s="45" t="s">
        <v>169</v>
      </c>
    </row>
    <row r="120" spans="1:8" x14ac:dyDescent="0.45">
      <c r="H120" s="45" t="s">
        <v>170</v>
      </c>
    </row>
    <row r="121" spans="1:8" x14ac:dyDescent="0.45">
      <c r="A121" s="45" t="s">
        <v>176</v>
      </c>
    </row>
    <row r="123" spans="1:8" x14ac:dyDescent="0.45">
      <c r="A123" s="20" t="s">
        <v>4</v>
      </c>
      <c r="B123" s="21" t="s">
        <v>171</v>
      </c>
      <c r="C123" s="21" t="s">
        <v>79</v>
      </c>
      <c r="D123" s="21" t="s">
        <v>172</v>
      </c>
      <c r="E123" s="26" t="s">
        <v>175</v>
      </c>
      <c r="F123" s="103" t="s">
        <v>173</v>
      </c>
    </row>
    <row r="124" spans="1:8" x14ac:dyDescent="0.45">
      <c r="A124" s="134" t="s">
        <v>13</v>
      </c>
      <c r="B124" s="11">
        <v>8</v>
      </c>
      <c r="C124" s="13">
        <v>6</v>
      </c>
      <c r="D124" s="13">
        <v>4</v>
      </c>
      <c r="E124" s="13">
        <v>2</v>
      </c>
      <c r="F124" s="106">
        <v>0</v>
      </c>
    </row>
    <row r="125" spans="1:8" x14ac:dyDescent="0.45">
      <c r="A125" s="135"/>
      <c r="B125" s="12"/>
      <c r="C125" s="14" t="s">
        <v>178</v>
      </c>
      <c r="D125" s="14">
        <v>130</v>
      </c>
      <c r="E125" s="14" t="s">
        <v>177</v>
      </c>
      <c r="F125" s="107"/>
    </row>
    <row r="126" spans="1:8" x14ac:dyDescent="0.45">
      <c r="A126" s="134" t="s">
        <v>174</v>
      </c>
      <c r="B126" s="13">
        <v>10</v>
      </c>
      <c r="C126" s="13">
        <v>8</v>
      </c>
      <c r="D126" s="11">
        <v>6</v>
      </c>
      <c r="E126" s="11">
        <v>3</v>
      </c>
      <c r="F126" s="108">
        <v>0</v>
      </c>
    </row>
    <row r="127" spans="1:8" x14ac:dyDescent="0.45">
      <c r="A127" s="135"/>
      <c r="B127" s="14">
        <v>200</v>
      </c>
      <c r="C127" s="14" t="s">
        <v>20</v>
      </c>
      <c r="D127" s="12"/>
      <c r="E127" s="12" t="s">
        <v>42</v>
      </c>
      <c r="F127" s="109">
        <v>210</v>
      </c>
      <c r="H127" s="45" t="s">
        <v>179</v>
      </c>
    </row>
    <row r="129" spans="1:8" x14ac:dyDescent="0.45">
      <c r="A129" s="45" t="s">
        <v>22</v>
      </c>
    </row>
    <row r="131" spans="1:8" x14ac:dyDescent="0.45">
      <c r="A131" s="20" t="s">
        <v>4</v>
      </c>
      <c r="B131" s="21">
        <v>0</v>
      </c>
      <c r="C131" s="21">
        <v>0</v>
      </c>
      <c r="D131" s="21">
        <v>0</v>
      </c>
      <c r="E131" s="26">
        <v>0</v>
      </c>
      <c r="F131" s="103">
        <v>0</v>
      </c>
    </row>
    <row r="132" spans="1:8" x14ac:dyDescent="0.45">
      <c r="A132" s="134">
        <v>0</v>
      </c>
      <c r="B132" s="11">
        <v>8</v>
      </c>
      <c r="C132" s="13">
        <v>6</v>
      </c>
      <c r="D132" s="13">
        <v>4</v>
      </c>
      <c r="E132" s="13">
        <v>2</v>
      </c>
      <c r="F132" s="106">
        <v>0</v>
      </c>
    </row>
    <row r="133" spans="1:8" x14ac:dyDescent="0.45">
      <c r="A133" s="135"/>
      <c r="B133" s="12"/>
      <c r="C133" s="14">
        <v>160</v>
      </c>
      <c r="D133" s="14">
        <v>130</v>
      </c>
      <c r="E133" s="14">
        <v>60</v>
      </c>
      <c r="F133" s="107"/>
    </row>
    <row r="134" spans="1:8" x14ac:dyDescent="0.45">
      <c r="A134" s="134">
        <v>0</v>
      </c>
      <c r="B134" s="13">
        <v>10</v>
      </c>
      <c r="C134" s="11">
        <v>8</v>
      </c>
      <c r="D134" s="11">
        <v>6</v>
      </c>
      <c r="E134" s="13">
        <v>3</v>
      </c>
      <c r="F134" s="108">
        <v>0</v>
      </c>
    </row>
    <row r="135" spans="1:8" x14ac:dyDescent="0.45">
      <c r="A135" s="135"/>
      <c r="B135" s="14">
        <v>200</v>
      </c>
      <c r="C135" s="12"/>
      <c r="D135" s="12"/>
      <c r="E135" s="14">
        <v>40</v>
      </c>
      <c r="F135" s="109">
        <v>210</v>
      </c>
    </row>
    <row r="137" spans="1:8" x14ac:dyDescent="0.45">
      <c r="A137" s="45" t="s">
        <v>7</v>
      </c>
    </row>
    <row r="139" spans="1:8" x14ac:dyDescent="0.45">
      <c r="A139" s="20"/>
      <c r="B139" s="21" t="s">
        <v>183</v>
      </c>
      <c r="C139" s="21" t="s">
        <v>79</v>
      </c>
      <c r="D139" s="21" t="s">
        <v>172</v>
      </c>
      <c r="E139" s="26" t="s">
        <v>175</v>
      </c>
      <c r="F139" s="103" t="s">
        <v>93</v>
      </c>
      <c r="H139" s="45" t="s">
        <v>165</v>
      </c>
    </row>
    <row r="140" spans="1:8" x14ac:dyDescent="0.45">
      <c r="A140" s="134" t="s">
        <v>13</v>
      </c>
      <c r="B140" s="11">
        <v>8</v>
      </c>
      <c r="C140" s="13">
        <v>6</v>
      </c>
      <c r="D140" s="13">
        <v>4</v>
      </c>
      <c r="E140" s="13">
        <v>2</v>
      </c>
      <c r="F140" s="106">
        <v>0</v>
      </c>
      <c r="H140" s="45" t="s">
        <v>169</v>
      </c>
    </row>
    <row r="141" spans="1:8" x14ac:dyDescent="0.45">
      <c r="A141" s="135"/>
      <c r="B141" s="12"/>
      <c r="C141" s="14">
        <v>160</v>
      </c>
      <c r="D141" s="14">
        <v>130</v>
      </c>
      <c r="E141" s="14">
        <v>60</v>
      </c>
      <c r="F141" s="107"/>
      <c r="H141" s="45" t="s">
        <v>170</v>
      </c>
    </row>
    <row r="142" spans="1:8" x14ac:dyDescent="0.45">
      <c r="A142" s="134" t="s">
        <v>110</v>
      </c>
      <c r="B142" s="13">
        <v>10</v>
      </c>
      <c r="C142" s="11">
        <v>8</v>
      </c>
      <c r="D142" s="11">
        <v>6</v>
      </c>
      <c r="E142" s="13">
        <v>3</v>
      </c>
      <c r="F142" s="108">
        <v>0</v>
      </c>
      <c r="H142" s="45" t="s">
        <v>180</v>
      </c>
    </row>
    <row r="143" spans="1:8" x14ac:dyDescent="0.45">
      <c r="A143" s="135"/>
      <c r="B143" s="14">
        <v>200</v>
      </c>
      <c r="C143" s="12"/>
      <c r="D143" s="12"/>
      <c r="E143" s="14">
        <v>40</v>
      </c>
      <c r="F143" s="109">
        <v>210</v>
      </c>
      <c r="H143" s="45" t="s">
        <v>181</v>
      </c>
    </row>
    <row r="144" spans="1:8" x14ac:dyDescent="0.45">
      <c r="H144" s="45" t="s">
        <v>182</v>
      </c>
    </row>
    <row r="145" spans="1:8" x14ac:dyDescent="0.45">
      <c r="A145" s="45" t="s">
        <v>184</v>
      </c>
    </row>
    <row r="147" spans="1:8" x14ac:dyDescent="0.45">
      <c r="A147" s="20"/>
      <c r="B147" s="21" t="s">
        <v>183</v>
      </c>
      <c r="C147" s="21" t="s">
        <v>79</v>
      </c>
      <c r="D147" s="21" t="s">
        <v>172</v>
      </c>
      <c r="E147" s="26" t="s">
        <v>175</v>
      </c>
      <c r="F147" s="103" t="s">
        <v>93</v>
      </c>
    </row>
    <row r="148" spans="1:8" x14ac:dyDescent="0.45">
      <c r="A148" s="134" t="s">
        <v>13</v>
      </c>
      <c r="B148" s="11">
        <v>8</v>
      </c>
      <c r="C148" s="13">
        <v>6</v>
      </c>
      <c r="D148" s="13">
        <v>4</v>
      </c>
      <c r="E148" s="13">
        <v>2</v>
      </c>
      <c r="F148" s="106">
        <v>0</v>
      </c>
    </row>
    <row r="149" spans="1:8" x14ac:dyDescent="0.45">
      <c r="A149" s="135"/>
      <c r="B149" s="12" t="s">
        <v>42</v>
      </c>
      <c r="C149" s="14">
        <v>160</v>
      </c>
      <c r="D149" s="14">
        <v>130</v>
      </c>
      <c r="E149" s="14" t="s">
        <v>185</v>
      </c>
      <c r="F149" s="107"/>
    </row>
    <row r="150" spans="1:8" x14ac:dyDescent="0.45">
      <c r="A150" s="134" t="s">
        <v>110</v>
      </c>
      <c r="B150" s="13">
        <v>10</v>
      </c>
      <c r="C150" s="11">
        <v>8</v>
      </c>
      <c r="D150" s="11">
        <v>6</v>
      </c>
      <c r="E150" s="13">
        <v>3</v>
      </c>
      <c r="F150" s="108">
        <v>0</v>
      </c>
    </row>
    <row r="151" spans="1:8" x14ac:dyDescent="0.45">
      <c r="A151" s="135"/>
      <c r="B151" s="14" t="s">
        <v>186</v>
      </c>
      <c r="C151" s="12"/>
      <c r="D151" s="12"/>
      <c r="E151" s="14" t="s">
        <v>24</v>
      </c>
      <c r="F151" s="109">
        <v>210</v>
      </c>
      <c r="H151" s="45" t="s">
        <v>187</v>
      </c>
    </row>
    <row r="153" spans="1:8" x14ac:dyDescent="0.45">
      <c r="A153" s="45" t="s">
        <v>22</v>
      </c>
    </row>
    <row r="155" spans="1:8" x14ac:dyDescent="0.45">
      <c r="A155" s="20" t="s">
        <v>4</v>
      </c>
      <c r="B155" s="21">
        <v>0</v>
      </c>
      <c r="C155" s="21">
        <v>0</v>
      </c>
      <c r="D155" s="21">
        <v>0</v>
      </c>
      <c r="E155" s="26">
        <v>0</v>
      </c>
      <c r="F155" s="103">
        <v>0</v>
      </c>
    </row>
    <row r="156" spans="1:8" x14ac:dyDescent="0.45">
      <c r="A156" s="134">
        <v>0</v>
      </c>
      <c r="B156" s="13">
        <v>8</v>
      </c>
      <c r="C156" s="13">
        <v>6</v>
      </c>
      <c r="D156" s="13">
        <v>4</v>
      </c>
      <c r="E156" s="11">
        <v>2</v>
      </c>
      <c r="F156" s="106">
        <v>0</v>
      </c>
    </row>
    <row r="157" spans="1:8" x14ac:dyDescent="0.45">
      <c r="A157" s="135"/>
      <c r="B157" s="14">
        <v>60</v>
      </c>
      <c r="C157" s="14">
        <v>160</v>
      </c>
      <c r="D157" s="14">
        <v>130</v>
      </c>
      <c r="E157" s="12"/>
      <c r="F157" s="107"/>
    </row>
    <row r="158" spans="1:8" x14ac:dyDescent="0.45">
      <c r="A158" s="134">
        <v>0</v>
      </c>
      <c r="B158" s="13">
        <v>10</v>
      </c>
      <c r="C158" s="11">
        <v>8</v>
      </c>
      <c r="D158" s="11">
        <v>6</v>
      </c>
      <c r="E158" s="13">
        <v>3</v>
      </c>
      <c r="F158" s="108">
        <v>0</v>
      </c>
    </row>
    <row r="159" spans="1:8" x14ac:dyDescent="0.45">
      <c r="A159" s="135"/>
      <c r="B159" s="14">
        <v>140</v>
      </c>
      <c r="C159" s="12"/>
      <c r="D159" s="12"/>
      <c r="E159" s="14">
        <v>100</v>
      </c>
      <c r="F159" s="109">
        <v>210</v>
      </c>
    </row>
    <row r="161" spans="1:11" x14ac:dyDescent="0.45">
      <c r="A161" s="45" t="s">
        <v>7</v>
      </c>
    </row>
    <row r="163" spans="1:11" x14ac:dyDescent="0.45">
      <c r="A163" s="20"/>
      <c r="B163" s="21" t="s">
        <v>171</v>
      </c>
      <c r="C163" s="21" t="s">
        <v>79</v>
      </c>
      <c r="D163" s="21" t="s">
        <v>172</v>
      </c>
      <c r="E163" s="26" t="s">
        <v>12</v>
      </c>
      <c r="F163" s="101" t="s">
        <v>173</v>
      </c>
      <c r="H163" s="45" t="s">
        <v>188</v>
      </c>
    </row>
    <row r="164" spans="1:11" x14ac:dyDescent="0.45">
      <c r="A164" s="134" t="s">
        <v>13</v>
      </c>
      <c r="B164" s="13">
        <v>8</v>
      </c>
      <c r="C164" s="13">
        <v>6</v>
      </c>
      <c r="D164" s="13">
        <v>4</v>
      </c>
      <c r="E164" s="11">
        <v>2</v>
      </c>
      <c r="F164" s="106">
        <v>0</v>
      </c>
      <c r="H164" s="45" t="s">
        <v>189</v>
      </c>
    </row>
    <row r="165" spans="1:11" x14ac:dyDescent="0.45">
      <c r="A165" s="135"/>
      <c r="B165" s="14">
        <v>60</v>
      </c>
      <c r="C165" s="14">
        <v>160</v>
      </c>
      <c r="D165" s="14">
        <v>130</v>
      </c>
      <c r="E165" s="12"/>
      <c r="F165" s="107"/>
      <c r="H165" s="45" t="s">
        <v>190</v>
      </c>
    </row>
    <row r="166" spans="1:11" x14ac:dyDescent="0.45">
      <c r="A166" s="134" t="s">
        <v>174</v>
      </c>
      <c r="B166" s="13">
        <v>10</v>
      </c>
      <c r="C166" s="11">
        <v>8</v>
      </c>
      <c r="D166" s="11">
        <v>6</v>
      </c>
      <c r="E166" s="13">
        <v>3</v>
      </c>
      <c r="F166" s="108">
        <v>0</v>
      </c>
      <c r="H166" s="45" t="s">
        <v>168</v>
      </c>
    </row>
    <row r="167" spans="1:11" x14ac:dyDescent="0.45">
      <c r="A167" s="135"/>
      <c r="B167" s="14">
        <v>140</v>
      </c>
      <c r="C167" s="12"/>
      <c r="D167" s="12"/>
      <c r="E167" s="14">
        <v>100</v>
      </c>
      <c r="F167" s="109">
        <v>210</v>
      </c>
      <c r="H167" s="45" t="s">
        <v>165</v>
      </c>
    </row>
    <row r="168" spans="1:11" x14ac:dyDescent="0.45">
      <c r="H168" s="45" t="s">
        <v>169</v>
      </c>
    </row>
    <row r="169" spans="1:11" x14ac:dyDescent="0.45">
      <c r="A169" s="45" t="s">
        <v>159</v>
      </c>
    </row>
    <row r="170" spans="1:11" x14ac:dyDescent="0.45">
      <c r="A170" s="45" t="s">
        <v>48</v>
      </c>
    </row>
    <row r="171" spans="1:11" x14ac:dyDescent="0.45">
      <c r="A171" s="45" t="s">
        <v>191</v>
      </c>
    </row>
    <row r="172" spans="1:11" x14ac:dyDescent="0.45">
      <c r="A172" s="45" t="s">
        <v>193</v>
      </c>
    </row>
    <row r="173" spans="1:11" x14ac:dyDescent="0.45">
      <c r="A173" s="45" t="s">
        <v>194</v>
      </c>
    </row>
    <row r="174" spans="1:11" x14ac:dyDescent="0.45">
      <c r="A174" s="45" t="s">
        <v>160</v>
      </c>
    </row>
    <row r="176" spans="1:11" ht="16.25" customHeight="1" x14ac:dyDescent="0.45">
      <c r="A176" s="141" t="s">
        <v>195</v>
      </c>
      <c r="B176" s="141"/>
      <c r="C176" s="141"/>
      <c r="D176" s="141"/>
      <c r="E176" s="141"/>
      <c r="F176" s="141"/>
      <c r="G176" s="141"/>
      <c r="H176" s="141"/>
      <c r="I176" s="141"/>
      <c r="J176" s="141"/>
      <c r="K176" s="111"/>
    </row>
    <row r="177" spans="1:11" x14ac:dyDescent="0.45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11"/>
    </row>
    <row r="178" spans="1:11" x14ac:dyDescent="0.45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11"/>
    </row>
    <row r="179" spans="1:11" x14ac:dyDescent="0.45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11"/>
    </row>
    <row r="180" spans="1:11" x14ac:dyDescent="0.45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</row>
  </sheetData>
  <mergeCells count="36">
    <mergeCell ref="A176:J179"/>
    <mergeCell ref="A150:A151"/>
    <mergeCell ref="A156:A157"/>
    <mergeCell ref="A158:A159"/>
    <mergeCell ref="A164:A165"/>
    <mergeCell ref="A166:A167"/>
    <mergeCell ref="A132:A133"/>
    <mergeCell ref="A134:A135"/>
    <mergeCell ref="A140:A141"/>
    <mergeCell ref="A142:A143"/>
    <mergeCell ref="A148:A149"/>
    <mergeCell ref="A107:A108"/>
    <mergeCell ref="A116:A117"/>
    <mergeCell ref="A118:A119"/>
    <mergeCell ref="A124:A125"/>
    <mergeCell ref="A126:A127"/>
    <mergeCell ref="AJ97:AJ98"/>
    <mergeCell ref="AJ99:AJ100"/>
    <mergeCell ref="AQ97:AQ98"/>
    <mergeCell ref="AQ99:AQ100"/>
    <mergeCell ref="A105:A106"/>
    <mergeCell ref="H97:H98"/>
    <mergeCell ref="H99:H100"/>
    <mergeCell ref="O97:O98"/>
    <mergeCell ref="O99:O100"/>
    <mergeCell ref="A97:A98"/>
    <mergeCell ref="A99:A100"/>
    <mergeCell ref="V97:V98"/>
    <mergeCell ref="V99:V100"/>
    <mergeCell ref="AC97:AC98"/>
    <mergeCell ref="AC99:AC100"/>
    <mergeCell ref="A1:XFD1"/>
    <mergeCell ref="A13:XFD13"/>
    <mergeCell ref="A23:D23"/>
    <mergeCell ref="F23:K23"/>
    <mergeCell ref="A50:XFD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о результатах 1</vt:lpstr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Саша Бражалович</cp:lastModifiedBy>
  <dcterms:created xsi:type="dcterms:W3CDTF">2015-06-05T18:17:20Z</dcterms:created>
  <dcterms:modified xsi:type="dcterms:W3CDTF">2025-11-10T14:30:05Z</dcterms:modified>
</cp:coreProperties>
</file>