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asha\BSUIR\5 semester\MathProg\lab 6\"/>
    </mc:Choice>
  </mc:AlternateContent>
  <xr:revisionPtr revIDLastSave="0" documentId="13_ncr:1_{5FE6D5EB-A269-43FB-AEBE-44EB3D1BFB56}" xr6:coauthVersionLast="47" xr6:coauthVersionMax="47" xr10:uidLastSave="{00000000-0000-0000-0000-000000000000}"/>
  <bookViews>
    <workbookView xWindow="8450" yWindow="5850" windowWidth="9790" windowHeight="11170" activeTab="1" xr2:uid="{00000000-000D-0000-FFFF-FFFF00000000}"/>
  </bookViews>
  <sheets>
    <sheet name="Задание1" sheetId="9" r:id="rId1"/>
    <sheet name="Задание2" sheetId="10" r:id="rId2"/>
  </sheets>
  <definedNames>
    <definedName name="solver_adj" localSheetId="0" hidden="1">Задание1!$B$24:$D$33</definedName>
    <definedName name="solver_adj" localSheetId="1" hidden="1">Задание2!$B$8:$D$15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2</definedName>
    <definedName name="solver_eng" localSheetId="1" hidden="1">2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1" localSheetId="0" hidden="1">Задание1!$B$24:$B$33</definedName>
    <definedName name="solver_lhs1" localSheetId="1" hidden="1">Задание2!$B$8:$B$15</definedName>
    <definedName name="solver_lhs10" localSheetId="0" hidden="1">Задание1!$C$29</definedName>
    <definedName name="solver_lhs10" localSheetId="1" hidden="1">Задание2!$C$8:$C$10</definedName>
    <definedName name="solver_lhs11" localSheetId="0" hidden="1">Задание1!$C$29:$C$30</definedName>
    <definedName name="solver_lhs11" localSheetId="1" hidden="1">Задание2!$D$16</definedName>
    <definedName name="solver_lhs12" localSheetId="0" hidden="1">Задание1!$C$31</definedName>
    <definedName name="solver_lhs12" localSheetId="1" hidden="1">Задание2!$E$8:$E$15</definedName>
    <definedName name="solver_lhs13" localSheetId="0" hidden="1">Задание1!$C$31:$C$32</definedName>
    <definedName name="solver_lhs13" localSheetId="1" hidden="1">Задание2!$E$8:$E$15</definedName>
    <definedName name="solver_lhs14" localSheetId="0" hidden="1">Задание1!$C$31:$C$32</definedName>
    <definedName name="solver_lhs15" localSheetId="0" hidden="1">Задание1!$C$31:$C$32</definedName>
    <definedName name="solver_lhs16" localSheetId="0" hidden="1">Задание1!$C$33</definedName>
    <definedName name="solver_lhs17" localSheetId="0" hidden="1">Задание1!$C$33</definedName>
    <definedName name="solver_lhs18" localSheetId="0" hidden="1">Задание1!$E$24:$E$33</definedName>
    <definedName name="solver_lhs19" localSheetId="0" hidden="1">Задание1!$E$24:$E$33</definedName>
    <definedName name="solver_lhs2" localSheetId="0" hidden="1">Задание1!$B$24:$D$33</definedName>
    <definedName name="solver_lhs2" localSheetId="1" hidden="1">Задание2!$B$8:$D$15</definedName>
    <definedName name="solver_lhs20" localSheetId="0" hidden="1">Задание1!$E$24:$E$33</definedName>
    <definedName name="solver_lhs21" localSheetId="0" hidden="1">Задание1!$E$24:$E$33</definedName>
    <definedName name="solver_lhs3" localSheetId="0" hidden="1">Задание1!$B$24:$D$33</definedName>
    <definedName name="solver_lhs3" localSheetId="1" hidden="1">Задание2!$C$11</definedName>
    <definedName name="solver_lhs4" localSheetId="0" hidden="1">Задание1!$B$30</definedName>
    <definedName name="solver_lhs4" localSheetId="1" hidden="1">Задание2!$C$12:$C$13</definedName>
    <definedName name="solver_lhs5" localSheetId="0" hidden="1">Задание1!$B$32</definedName>
    <definedName name="solver_lhs5" localSheetId="1" hidden="1">Задание2!$C$12:$C$13</definedName>
    <definedName name="solver_lhs6" localSheetId="0" hidden="1">Задание1!$B$33</definedName>
    <definedName name="solver_lhs6" localSheetId="1" hidden="1">Задание2!$C$14</definedName>
    <definedName name="solver_lhs7" localSheetId="0" hidden="1">Задание1!$C$24:$C$26</definedName>
    <definedName name="solver_lhs7" localSheetId="1" hidden="1">Задание2!$C$14</definedName>
    <definedName name="solver_lhs8" localSheetId="0" hidden="1">Задание1!$C$27</definedName>
    <definedName name="solver_lhs8" localSheetId="1" hidden="1">Задание2!$C$15</definedName>
    <definedName name="solver_lhs9" localSheetId="0" hidden="1">Задание1!$C$27:$C$28</definedName>
    <definedName name="solver_lhs9" localSheetId="1" hidden="1">Задание2!$C$15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19</definedName>
    <definedName name="solver_num" localSheetId="1" hidden="1">13</definedName>
    <definedName name="solver_nwt" localSheetId="0" hidden="1">1</definedName>
    <definedName name="solver_nwt" localSheetId="1" hidden="1">1</definedName>
    <definedName name="solver_opt" localSheetId="0" hidden="1">Задание1!$D$34</definedName>
    <definedName name="solver_opt" localSheetId="1" hidden="1">Задание2!$B$16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1</definedName>
    <definedName name="solver_rel1" localSheetId="0" hidden="1">2</definedName>
    <definedName name="solver_rel1" localSheetId="1" hidden="1">2</definedName>
    <definedName name="solver_rel10" localSheetId="0" hidden="1">2</definedName>
    <definedName name="solver_rel10" localSheetId="1" hidden="1">2</definedName>
    <definedName name="solver_rel11" localSheetId="0" hidden="1">3</definedName>
    <definedName name="solver_rel11" localSheetId="1" hidden="1">1</definedName>
    <definedName name="solver_rel12" localSheetId="0" hidden="1">2</definedName>
    <definedName name="solver_rel12" localSheetId="1" hidden="1">2</definedName>
    <definedName name="solver_rel13" localSheetId="0" hidden="1">3</definedName>
    <definedName name="solver_rel13" localSheetId="1" hidden="1">3</definedName>
    <definedName name="solver_rel14" localSheetId="0" hidden="1">3</definedName>
    <definedName name="solver_rel15" localSheetId="0" hidden="1">3</definedName>
    <definedName name="solver_rel16" localSheetId="0" hidden="1">3</definedName>
    <definedName name="solver_rel17" localSheetId="0" hidden="1">3</definedName>
    <definedName name="solver_rel18" localSheetId="0" hidden="1">2</definedName>
    <definedName name="solver_rel19" localSheetId="0" hidden="1">3</definedName>
    <definedName name="solver_rel2" localSheetId="0" hidden="1">4</definedName>
    <definedName name="solver_rel2" localSheetId="1" hidden="1">4</definedName>
    <definedName name="solver_rel20" localSheetId="0" hidden="1">2</definedName>
    <definedName name="solver_rel21" localSheetId="0" hidden="1">3</definedName>
    <definedName name="solver_rel3" localSheetId="0" hidden="1">3</definedName>
    <definedName name="solver_rel3" localSheetId="1" hidden="1">3</definedName>
    <definedName name="solver_rel4" localSheetId="0" hidden="1">1</definedName>
    <definedName name="solver_rel4" localSheetId="1" hidden="1">3</definedName>
    <definedName name="solver_rel5" localSheetId="0" hidden="1">1</definedName>
    <definedName name="solver_rel5" localSheetId="1" hidden="1">3</definedName>
    <definedName name="solver_rel6" localSheetId="0" hidden="1">1</definedName>
    <definedName name="solver_rel6" localSheetId="1" hidden="1">3</definedName>
    <definedName name="solver_rel7" localSheetId="0" hidden="1">2</definedName>
    <definedName name="solver_rel7" localSheetId="1" hidden="1">3</definedName>
    <definedName name="solver_rel8" localSheetId="0" hidden="1">2</definedName>
    <definedName name="solver_rel8" localSheetId="1" hidden="1">3</definedName>
    <definedName name="solver_rel9" localSheetId="0" hidden="1">3</definedName>
    <definedName name="solver_rel9" localSheetId="1" hidden="1">3</definedName>
    <definedName name="solver_rhs1" localSheetId="0" hidden="1">Задание1!$J$24:$J$33</definedName>
    <definedName name="solver_rhs1" localSheetId="1" hidden="1">Задание2!$J$8:$J$15</definedName>
    <definedName name="solver_rhs10" localSheetId="0" hidden="1">Задание1!$C$30</definedName>
    <definedName name="solver_rhs10" localSheetId="1" hidden="1">0</definedName>
    <definedName name="solver_rhs11" localSheetId="0" hidden="1">Задание1!$B$25</definedName>
    <definedName name="solver_rhs11" localSheetId="1" hidden="1">Задание2!$B$5</definedName>
    <definedName name="solver_rhs12" localSheetId="0" hidden="1">Задание1!$C$32</definedName>
    <definedName name="solver_rhs12" localSheetId="1" hidden="1">Задание2!$H$8:$H$15</definedName>
    <definedName name="solver_rhs13" localSheetId="0" hidden="1">Задание1!$B$26</definedName>
    <definedName name="solver_rhs13" localSheetId="1" hidden="1">Задание2!$G$8:$G$15</definedName>
    <definedName name="solver_rhs14" localSheetId="0" hidden="1">Задание1!$B$27</definedName>
    <definedName name="solver_rhs15" localSheetId="0" hidden="1">Задание1!$B$29</definedName>
    <definedName name="solver_rhs16" localSheetId="0" hidden="1">Задание1!$B$28</definedName>
    <definedName name="solver_rhs17" localSheetId="0" hidden="1">Задание1!$B$31</definedName>
    <definedName name="solver_rhs18" localSheetId="0" hidden="1">Задание1!$H$24:$H$33</definedName>
    <definedName name="solver_rhs19" localSheetId="0" hidden="1">Задание1!$G$24:$G$33</definedName>
    <definedName name="solver_rhs2" localSheetId="0" hidden="1">"целое"</definedName>
    <definedName name="solver_rhs2" localSheetId="1" hidden="1">"целое"</definedName>
    <definedName name="solver_rhs20" localSheetId="0" hidden="1">Задание1!$H$24:$H$33</definedName>
    <definedName name="solver_rhs21" localSheetId="0" hidden="1">Задание1!$G$24:$G$33</definedName>
    <definedName name="solver_rhs3" localSheetId="0" hidden="1">0</definedName>
    <definedName name="solver_rhs3" localSheetId="1" hidden="1">Задание2!$B$8</definedName>
    <definedName name="solver_rhs4" localSheetId="0" hidden="1">40</definedName>
    <definedName name="solver_rhs4" localSheetId="1" hidden="1">Задание2!$B$11</definedName>
    <definedName name="solver_rhs5" localSheetId="0" hidden="1">40</definedName>
    <definedName name="solver_rhs5" localSheetId="1" hidden="1">Задание2!$B$9</definedName>
    <definedName name="solver_rhs6" localSheetId="0" hidden="1">40</definedName>
    <definedName name="solver_rhs6" localSheetId="1" hidden="1">Задание2!$B$10</definedName>
    <definedName name="solver_rhs7" localSheetId="0" hidden="1">0</definedName>
    <definedName name="solver_rhs7" localSheetId="1" hidden="1">Задание2!$B$12</definedName>
    <definedName name="solver_rhs8" localSheetId="0" hidden="1">Задание1!$C$28</definedName>
    <definedName name="solver_rhs8" localSheetId="1" hidden="1">Задание2!$B$13</definedName>
    <definedName name="solver_rhs9" localSheetId="0" hidden="1">Задание1!$B$24</definedName>
    <definedName name="solver_rhs9" localSheetId="1" hidden="1">Задание2!$B$14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2</definedName>
    <definedName name="solver_typ" localSheetId="1" hidden="1">2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" i="10" l="1"/>
  <c r="H13" i="10"/>
  <c r="H12" i="10"/>
  <c r="H11" i="10"/>
  <c r="H10" i="10"/>
  <c r="H9" i="10"/>
  <c r="H8" i="10"/>
  <c r="H33" i="9"/>
  <c r="H32" i="9"/>
  <c r="H31" i="9"/>
  <c r="H30" i="9"/>
  <c r="H29" i="9"/>
  <c r="H28" i="9"/>
  <c r="H27" i="9"/>
  <c r="H26" i="9"/>
  <c r="H25" i="9"/>
  <c r="H24" i="9"/>
  <c r="E9" i="10" l="1"/>
  <c r="E10" i="10"/>
  <c r="E11" i="10"/>
  <c r="E12" i="10"/>
  <c r="E13" i="10"/>
  <c r="E14" i="10"/>
  <c r="E15" i="10"/>
  <c r="E8" i="10"/>
  <c r="J15" i="10"/>
  <c r="J31" i="9" l="1"/>
  <c r="J33" i="9"/>
  <c r="J32" i="9"/>
  <c r="J30" i="9"/>
  <c r="J29" i="9"/>
  <c r="J28" i="9"/>
  <c r="J27" i="9"/>
  <c r="J26" i="9"/>
  <c r="J25" i="9"/>
  <c r="J24" i="9"/>
  <c r="D16" i="10" l="1"/>
  <c r="B16" i="10"/>
  <c r="J14" i="10"/>
  <c r="J13" i="10"/>
  <c r="J12" i="10"/>
  <c r="J11" i="10"/>
  <c r="J10" i="10"/>
  <c r="J9" i="10"/>
  <c r="J8" i="10"/>
  <c r="E46" i="9"/>
  <c r="E45" i="9"/>
  <c r="E44" i="9"/>
  <c r="E43" i="9"/>
  <c r="E42" i="9"/>
  <c r="E41" i="9"/>
  <c r="E40" i="9"/>
  <c r="E39" i="9"/>
  <c r="E38" i="9"/>
  <c r="E37" i="9"/>
  <c r="E24" i="9" l="1"/>
  <c r="D34" i="9"/>
  <c r="E33" i="9"/>
  <c r="E32" i="9"/>
  <c r="E31" i="9"/>
  <c r="E30" i="9"/>
  <c r="E29" i="9"/>
  <c r="E28" i="9"/>
  <c r="E27" i="9"/>
  <c r="E26" i="9"/>
  <c r="E25" i="9"/>
  <c r="E17" i="9"/>
  <c r="E16" i="9"/>
  <c r="E15" i="9"/>
  <c r="E14" i="9"/>
  <c r="E13" i="9"/>
  <c r="E12" i="9"/>
  <c r="E11" i="9"/>
  <c r="E10" i="9"/>
  <c r="E9" i="9"/>
  <c r="E8" i="9"/>
</calcChain>
</file>

<file path=xl/sharedStrings.xml><?xml version="1.0" encoding="utf-8"?>
<sst xmlns="http://schemas.openxmlformats.org/spreadsheetml/2006/main" count="66" uniqueCount="23">
  <si>
    <t>tij</t>
  </si>
  <si>
    <t>dij</t>
  </si>
  <si>
    <t>kij</t>
  </si>
  <si>
    <t>t0</t>
  </si>
  <si>
    <t>(i, j)</t>
  </si>
  <si>
    <t>tрн</t>
  </si>
  <si>
    <t>Rп</t>
  </si>
  <si>
    <t>(1, 2)</t>
  </si>
  <si>
    <t>(1, 3)</t>
  </si>
  <si>
    <t>(1, 4)</t>
  </si>
  <si>
    <t>(2, 4)</t>
  </si>
  <si>
    <t>(2, 5)</t>
  </si>
  <si>
    <t>(3, 4)</t>
  </si>
  <si>
    <t>(3, 6)</t>
  </si>
  <si>
    <t>(4, 5)</t>
  </si>
  <si>
    <t>(4, 6)</t>
  </si>
  <si>
    <t>(5, 6)</t>
  </si>
  <si>
    <t>tн</t>
  </si>
  <si>
    <t>x</t>
  </si>
  <si>
    <t>t0 - tн</t>
  </si>
  <si>
    <t>B</t>
  </si>
  <si>
    <t>(2, 3)</t>
  </si>
  <si>
    <t>(3, 5)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</si>
</sst>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3" xfId="0" applyBorder="1"/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</a:t>
            </a:r>
            <a:r>
              <a:rPr lang="ru-RU" baseline="0"/>
              <a:t> Ганта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Задание1!$B$7</c:f>
              <c:strCache>
                <c:ptCount val="1"/>
                <c:pt idx="0">
                  <c:v>tрн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Задание1!$A$8:$A$17</c:f>
              <c:strCache>
                <c:ptCount val="10"/>
                <c:pt idx="0">
                  <c:v>(1, 2)</c:v>
                </c:pt>
                <c:pt idx="1">
                  <c:v>(1, 3)</c:v>
                </c:pt>
                <c:pt idx="2">
                  <c:v>(1, 4)</c:v>
                </c:pt>
                <c:pt idx="3">
                  <c:v>(2, 4)</c:v>
                </c:pt>
                <c:pt idx="4">
                  <c:v>(2, 5)</c:v>
                </c:pt>
                <c:pt idx="5">
                  <c:v>(3, 4)</c:v>
                </c:pt>
                <c:pt idx="6">
                  <c:v>(3, 6)</c:v>
                </c:pt>
                <c:pt idx="7">
                  <c:v>(4, 5)</c:v>
                </c:pt>
                <c:pt idx="8">
                  <c:v>(4, 6)</c:v>
                </c:pt>
                <c:pt idx="9">
                  <c:v>(5, 6)</c:v>
                </c:pt>
              </c:strCache>
            </c:strRef>
          </c:cat>
          <c:val>
            <c:numRef>
              <c:f>Задание1!$B$8:$B$17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6</c:v>
                </c:pt>
                <c:pt idx="5">
                  <c:v>13</c:v>
                </c:pt>
                <c:pt idx="6">
                  <c:v>13</c:v>
                </c:pt>
                <c:pt idx="7">
                  <c:v>29</c:v>
                </c:pt>
                <c:pt idx="8">
                  <c:v>29</c:v>
                </c:pt>
                <c:pt idx="9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AC-4681-9BF1-10ACFDFEA431}"/>
            </c:ext>
          </c:extLst>
        </c:ser>
        <c:ser>
          <c:idx val="1"/>
          <c:order val="1"/>
          <c:tx>
            <c:strRef>
              <c:f>Задание1!$C$7</c:f>
              <c:strCache>
                <c:ptCount val="1"/>
                <c:pt idx="0">
                  <c:v>tij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Задание1!$A$8:$A$17</c:f>
              <c:strCache>
                <c:ptCount val="10"/>
                <c:pt idx="0">
                  <c:v>(1, 2)</c:v>
                </c:pt>
                <c:pt idx="1">
                  <c:v>(1, 3)</c:v>
                </c:pt>
                <c:pt idx="2">
                  <c:v>(1, 4)</c:v>
                </c:pt>
                <c:pt idx="3">
                  <c:v>(2, 4)</c:v>
                </c:pt>
                <c:pt idx="4">
                  <c:v>(2, 5)</c:v>
                </c:pt>
                <c:pt idx="5">
                  <c:v>(3, 4)</c:v>
                </c:pt>
                <c:pt idx="6">
                  <c:v>(3, 6)</c:v>
                </c:pt>
                <c:pt idx="7">
                  <c:v>(4, 5)</c:v>
                </c:pt>
                <c:pt idx="8">
                  <c:v>(4, 6)</c:v>
                </c:pt>
                <c:pt idx="9">
                  <c:v>(5, 6)</c:v>
                </c:pt>
              </c:strCache>
            </c:strRef>
          </c:cat>
          <c:val>
            <c:numRef>
              <c:f>Задание1!$C$8:$C$17</c:f>
              <c:numCache>
                <c:formatCode>General</c:formatCode>
                <c:ptCount val="10"/>
                <c:pt idx="0">
                  <c:v>6</c:v>
                </c:pt>
                <c:pt idx="1">
                  <c:v>13</c:v>
                </c:pt>
                <c:pt idx="2">
                  <c:v>20</c:v>
                </c:pt>
                <c:pt idx="3">
                  <c:v>9</c:v>
                </c:pt>
                <c:pt idx="4">
                  <c:v>14</c:v>
                </c:pt>
                <c:pt idx="5">
                  <c:v>16</c:v>
                </c:pt>
                <c:pt idx="6">
                  <c:v>15</c:v>
                </c:pt>
                <c:pt idx="7">
                  <c:v>10</c:v>
                </c:pt>
                <c:pt idx="8">
                  <c:v>17</c:v>
                </c:pt>
                <c:pt idx="9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AC-4681-9BF1-10ACFDFEA431}"/>
            </c:ext>
          </c:extLst>
        </c:ser>
        <c:ser>
          <c:idx val="2"/>
          <c:order val="2"/>
          <c:tx>
            <c:strRef>
              <c:f>Задание1!$D$7</c:f>
              <c:strCache>
                <c:ptCount val="1"/>
                <c:pt idx="0">
                  <c:v>Rп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Задание1!$A$8:$A$17</c:f>
              <c:strCache>
                <c:ptCount val="10"/>
                <c:pt idx="0">
                  <c:v>(1, 2)</c:v>
                </c:pt>
                <c:pt idx="1">
                  <c:v>(1, 3)</c:v>
                </c:pt>
                <c:pt idx="2">
                  <c:v>(1, 4)</c:v>
                </c:pt>
                <c:pt idx="3">
                  <c:v>(2, 4)</c:v>
                </c:pt>
                <c:pt idx="4">
                  <c:v>(2, 5)</c:v>
                </c:pt>
                <c:pt idx="5">
                  <c:v>(3, 4)</c:v>
                </c:pt>
                <c:pt idx="6">
                  <c:v>(3, 6)</c:v>
                </c:pt>
                <c:pt idx="7">
                  <c:v>(4, 5)</c:v>
                </c:pt>
                <c:pt idx="8">
                  <c:v>(4, 6)</c:v>
                </c:pt>
                <c:pt idx="9">
                  <c:v>(5, 6)</c:v>
                </c:pt>
              </c:strCache>
            </c:strRef>
          </c:cat>
          <c:val>
            <c:numRef>
              <c:f>Задание1!$D$8:$D$17</c:f>
              <c:numCache>
                <c:formatCode>General</c:formatCode>
                <c:ptCount val="10"/>
                <c:pt idx="0">
                  <c:v>14</c:v>
                </c:pt>
                <c:pt idx="1">
                  <c:v>0</c:v>
                </c:pt>
                <c:pt idx="2">
                  <c:v>9</c:v>
                </c:pt>
                <c:pt idx="3">
                  <c:v>14</c:v>
                </c:pt>
                <c:pt idx="4">
                  <c:v>19</c:v>
                </c:pt>
                <c:pt idx="5">
                  <c:v>0</c:v>
                </c:pt>
                <c:pt idx="6">
                  <c:v>24</c:v>
                </c:pt>
                <c:pt idx="7">
                  <c:v>0</c:v>
                </c:pt>
                <c:pt idx="8">
                  <c:v>6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AC-4681-9BF1-10ACFDFEA4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03015183"/>
        <c:axId val="1167497231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Задание1!$E$7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Задание1!$A$8:$A$17</c15:sqref>
                        </c15:formulaRef>
                      </c:ext>
                    </c:extLst>
                    <c:strCache>
                      <c:ptCount val="10"/>
                      <c:pt idx="0">
                        <c:v>(1, 2)</c:v>
                      </c:pt>
                      <c:pt idx="1">
                        <c:v>(1, 3)</c:v>
                      </c:pt>
                      <c:pt idx="2">
                        <c:v>(1, 4)</c:v>
                      </c:pt>
                      <c:pt idx="3">
                        <c:v>(2, 4)</c:v>
                      </c:pt>
                      <c:pt idx="4">
                        <c:v>(2, 5)</c:v>
                      </c:pt>
                      <c:pt idx="5">
                        <c:v>(3, 4)</c:v>
                      </c:pt>
                      <c:pt idx="6">
                        <c:v>(3, 6)</c:v>
                      </c:pt>
                      <c:pt idx="7">
                        <c:v>(4, 5)</c:v>
                      </c:pt>
                      <c:pt idx="8">
                        <c:v>(4, 6)</c:v>
                      </c:pt>
                      <c:pt idx="9">
                        <c:v>(5, 6)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Задание1!$E$8:$E$17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68AC-4681-9BF1-10ACFDFEA431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Задание1!$F$7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Задание1!$A$8:$A$17</c15:sqref>
                        </c15:formulaRef>
                      </c:ext>
                    </c:extLst>
                    <c:strCache>
                      <c:ptCount val="10"/>
                      <c:pt idx="0">
                        <c:v>(1, 2)</c:v>
                      </c:pt>
                      <c:pt idx="1">
                        <c:v>(1, 3)</c:v>
                      </c:pt>
                      <c:pt idx="2">
                        <c:v>(1, 4)</c:v>
                      </c:pt>
                      <c:pt idx="3">
                        <c:v>(2, 4)</c:v>
                      </c:pt>
                      <c:pt idx="4">
                        <c:v>(2, 5)</c:v>
                      </c:pt>
                      <c:pt idx="5">
                        <c:v>(3, 4)</c:v>
                      </c:pt>
                      <c:pt idx="6">
                        <c:v>(3, 6)</c:v>
                      </c:pt>
                      <c:pt idx="7">
                        <c:v>(4, 5)</c:v>
                      </c:pt>
                      <c:pt idx="8">
                        <c:v>(4, 6)</c:v>
                      </c:pt>
                      <c:pt idx="9">
                        <c:v>(5, 6)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Задание1!$F$8:$F$17</c15:sqref>
                        </c15:formulaRef>
                      </c:ext>
                    </c:extLst>
                    <c:numCache>
                      <c:formatCode>General</c:formatCode>
                      <c:ptCount val="10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8AC-4681-9BF1-10ACFDFEA431}"/>
                  </c:ext>
                </c:extLst>
              </c15:ser>
            </c15:filteredBarSeries>
          </c:ext>
        </c:extLst>
      </c:barChart>
      <c:catAx>
        <c:axId val="11030151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67497231"/>
        <c:crosses val="autoZero"/>
        <c:auto val="1"/>
        <c:lblAlgn val="ctr"/>
        <c:lblOffset val="100"/>
        <c:noMultiLvlLbl val="0"/>
      </c:catAx>
      <c:valAx>
        <c:axId val="1167497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03015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</a:t>
            </a:r>
            <a:r>
              <a:rPr lang="ru-RU" baseline="0"/>
              <a:t> Ганта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Задание1!$A$37:$A$46</c:f>
              <c:strCache>
                <c:ptCount val="10"/>
                <c:pt idx="0">
                  <c:v>(1, 2)</c:v>
                </c:pt>
                <c:pt idx="1">
                  <c:v>(1, 3)</c:v>
                </c:pt>
                <c:pt idx="2">
                  <c:v>(1, 4)</c:v>
                </c:pt>
                <c:pt idx="3">
                  <c:v>(2, 4)</c:v>
                </c:pt>
                <c:pt idx="4">
                  <c:v>(2, 5)</c:v>
                </c:pt>
                <c:pt idx="5">
                  <c:v>(3, 4)</c:v>
                </c:pt>
                <c:pt idx="6">
                  <c:v>(3, 6)</c:v>
                </c:pt>
                <c:pt idx="7">
                  <c:v>(4, 5)</c:v>
                </c:pt>
                <c:pt idx="8">
                  <c:v>(4, 6)</c:v>
                </c:pt>
                <c:pt idx="9">
                  <c:v>(5, 6)</c:v>
                </c:pt>
              </c:strCache>
            </c:strRef>
          </c:cat>
          <c:val>
            <c:numRef>
              <c:f>Задание1!$B$37:$B$46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6</c:v>
                </c:pt>
                <c:pt idx="5">
                  <c:v>10</c:v>
                </c:pt>
                <c:pt idx="6">
                  <c:v>10</c:v>
                </c:pt>
                <c:pt idx="7">
                  <c:v>23</c:v>
                </c:pt>
                <c:pt idx="8">
                  <c:v>23</c:v>
                </c:pt>
                <c:pt idx="9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D4-4041-BC9A-96504AAA4F2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Задание1!$A$37:$A$46</c:f>
              <c:strCache>
                <c:ptCount val="10"/>
                <c:pt idx="0">
                  <c:v>(1, 2)</c:v>
                </c:pt>
                <c:pt idx="1">
                  <c:v>(1, 3)</c:v>
                </c:pt>
                <c:pt idx="2">
                  <c:v>(1, 4)</c:v>
                </c:pt>
                <c:pt idx="3">
                  <c:v>(2, 4)</c:v>
                </c:pt>
                <c:pt idx="4">
                  <c:v>(2, 5)</c:v>
                </c:pt>
                <c:pt idx="5">
                  <c:v>(3, 4)</c:v>
                </c:pt>
                <c:pt idx="6">
                  <c:v>(3, 6)</c:v>
                </c:pt>
                <c:pt idx="7">
                  <c:v>(4, 5)</c:v>
                </c:pt>
                <c:pt idx="8">
                  <c:v>(4, 6)</c:v>
                </c:pt>
                <c:pt idx="9">
                  <c:v>(5, 6)</c:v>
                </c:pt>
              </c:strCache>
            </c:strRef>
          </c:cat>
          <c:val>
            <c:numRef>
              <c:f>Задание1!$C$37:$C$46</c:f>
              <c:numCache>
                <c:formatCode>General</c:formatCode>
                <c:ptCount val="10"/>
                <c:pt idx="0">
                  <c:v>6</c:v>
                </c:pt>
                <c:pt idx="1">
                  <c:v>10</c:v>
                </c:pt>
                <c:pt idx="2">
                  <c:v>20</c:v>
                </c:pt>
                <c:pt idx="3">
                  <c:v>9</c:v>
                </c:pt>
                <c:pt idx="4">
                  <c:v>14</c:v>
                </c:pt>
                <c:pt idx="5">
                  <c:v>13</c:v>
                </c:pt>
                <c:pt idx="6">
                  <c:v>15</c:v>
                </c:pt>
                <c:pt idx="7">
                  <c:v>7</c:v>
                </c:pt>
                <c:pt idx="8">
                  <c:v>17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D4-4041-BC9A-96504AAA4F23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Задание1!$A$37:$A$46</c:f>
              <c:strCache>
                <c:ptCount val="10"/>
                <c:pt idx="0">
                  <c:v>(1, 2)</c:v>
                </c:pt>
                <c:pt idx="1">
                  <c:v>(1, 3)</c:v>
                </c:pt>
                <c:pt idx="2">
                  <c:v>(1, 4)</c:v>
                </c:pt>
                <c:pt idx="3">
                  <c:v>(2, 4)</c:v>
                </c:pt>
                <c:pt idx="4">
                  <c:v>(2, 5)</c:v>
                </c:pt>
                <c:pt idx="5">
                  <c:v>(3, 4)</c:v>
                </c:pt>
                <c:pt idx="6">
                  <c:v>(3, 6)</c:v>
                </c:pt>
                <c:pt idx="7">
                  <c:v>(4, 5)</c:v>
                </c:pt>
                <c:pt idx="8">
                  <c:v>(4, 6)</c:v>
                </c:pt>
                <c:pt idx="9">
                  <c:v>(5, 6)</c:v>
                </c:pt>
              </c:strCache>
            </c:strRef>
          </c:cat>
          <c:val>
            <c:numRef>
              <c:f>Задание1!$D$37:$D$46</c:f>
              <c:numCache>
                <c:formatCode>General</c:formatCode>
                <c:ptCount val="10"/>
                <c:pt idx="0">
                  <c:v>8</c:v>
                </c:pt>
                <c:pt idx="1">
                  <c:v>0</c:v>
                </c:pt>
                <c:pt idx="2">
                  <c:v>3</c:v>
                </c:pt>
                <c:pt idx="3">
                  <c:v>8</c:v>
                </c:pt>
                <c:pt idx="4">
                  <c:v>10</c:v>
                </c:pt>
                <c:pt idx="5">
                  <c:v>0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D4-4041-BC9A-96504AAA4F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76800175"/>
        <c:axId val="1577259007"/>
      </c:barChart>
      <c:catAx>
        <c:axId val="15768001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77259007"/>
        <c:crosses val="autoZero"/>
        <c:auto val="1"/>
        <c:lblAlgn val="ctr"/>
        <c:lblOffset val="100"/>
        <c:noMultiLvlLbl val="0"/>
      </c:catAx>
      <c:valAx>
        <c:axId val="1577259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7680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6</xdr:row>
      <xdr:rowOff>7620</xdr:rowOff>
    </xdr:from>
    <xdr:to>
      <xdr:col>14</xdr:col>
      <xdr:colOff>304800</xdr:colOff>
      <xdr:row>21</xdr:row>
      <xdr:rowOff>7620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B1F373C-8451-4363-B61E-D730D1DE3B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34</xdr:row>
      <xdr:rowOff>175260</xdr:rowOff>
    </xdr:from>
    <xdr:to>
      <xdr:col>14</xdr:col>
      <xdr:colOff>304800</xdr:colOff>
      <xdr:row>49</xdr:row>
      <xdr:rowOff>175260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3B3E152B-8E58-412D-8378-BAA8E8B230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552450</xdr:colOff>
      <xdr:row>0</xdr:row>
      <xdr:rowOff>0</xdr:rowOff>
    </xdr:from>
    <xdr:to>
      <xdr:col>25</xdr:col>
      <xdr:colOff>430147</xdr:colOff>
      <xdr:row>4</xdr:row>
      <xdr:rowOff>34815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400E97FE-49D8-4FCA-9246-B9B0C7AF2D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58050" y="0"/>
          <a:ext cx="8412097" cy="7714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121860</xdr:rowOff>
    </xdr:from>
    <xdr:to>
      <xdr:col>10</xdr:col>
      <xdr:colOff>13843</xdr:colOff>
      <xdr:row>21</xdr:row>
      <xdr:rowOff>152543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5C07A390-8DF5-46E5-B14F-239E2157A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252410"/>
          <a:ext cx="6109843" cy="7672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4AFD5-55FE-4AE3-A9D9-AF043B8A8CCC}">
  <dimension ref="A1:K46"/>
  <sheetViews>
    <sheetView topLeftCell="A7" workbookViewId="0">
      <selection activeCell="D20" sqref="D20"/>
    </sheetView>
  </sheetViews>
  <sheetFormatPr defaultRowHeight="14.5" x14ac:dyDescent="0.35"/>
  <sheetData>
    <row r="1" spans="1:11" x14ac:dyDescent="0.35">
      <c r="A1" s="1"/>
      <c r="B1" s="1">
        <v>1.2</v>
      </c>
      <c r="C1" s="1">
        <v>1.3</v>
      </c>
      <c r="D1" s="1">
        <v>1.4</v>
      </c>
      <c r="E1" s="1">
        <v>2.4</v>
      </c>
      <c r="F1" s="1">
        <v>2.5</v>
      </c>
      <c r="G1" s="1">
        <v>3.4</v>
      </c>
      <c r="H1" s="1">
        <v>3.6</v>
      </c>
      <c r="I1" s="1">
        <v>4.5</v>
      </c>
      <c r="J1" s="1">
        <v>4.5999999999999996</v>
      </c>
      <c r="K1" s="1">
        <v>5.6</v>
      </c>
    </row>
    <row r="2" spans="1:11" x14ac:dyDescent="0.35">
      <c r="A2" s="1" t="s">
        <v>0</v>
      </c>
      <c r="B2" s="1">
        <v>6</v>
      </c>
      <c r="C2" s="1">
        <v>13</v>
      </c>
      <c r="D2" s="1">
        <v>20</v>
      </c>
      <c r="E2" s="1">
        <v>9</v>
      </c>
      <c r="F2" s="1">
        <v>14</v>
      </c>
      <c r="G2" s="1">
        <v>16</v>
      </c>
      <c r="H2" s="1">
        <v>15</v>
      </c>
      <c r="I2" s="1">
        <v>10</v>
      </c>
      <c r="J2" s="1">
        <v>17</v>
      </c>
      <c r="K2" s="1">
        <v>13</v>
      </c>
    </row>
    <row r="3" spans="1:11" x14ac:dyDescent="0.35">
      <c r="A3" s="1" t="s">
        <v>1</v>
      </c>
      <c r="B3" s="1">
        <v>5</v>
      </c>
      <c r="C3" s="1">
        <v>10</v>
      </c>
      <c r="D3" s="1">
        <v>16</v>
      </c>
      <c r="E3" s="1">
        <v>7</v>
      </c>
      <c r="F3" s="1">
        <v>11</v>
      </c>
      <c r="G3" s="1">
        <v>13</v>
      </c>
      <c r="H3" s="1">
        <v>12</v>
      </c>
      <c r="I3" s="1">
        <v>7</v>
      </c>
      <c r="J3" s="1">
        <v>15</v>
      </c>
      <c r="K3" s="1">
        <v>9</v>
      </c>
    </row>
    <row r="4" spans="1:11" x14ac:dyDescent="0.35">
      <c r="A4" s="1" t="s">
        <v>2</v>
      </c>
      <c r="B4" s="1">
        <v>0.05</v>
      </c>
      <c r="C4" s="1">
        <v>0.25</v>
      </c>
      <c r="D4" s="1">
        <v>0.3</v>
      </c>
      <c r="E4" s="1">
        <v>7.0000000000000007E-2</v>
      </c>
      <c r="F4" s="1">
        <v>0.15</v>
      </c>
      <c r="G4" s="1">
        <v>0.1</v>
      </c>
      <c r="H4" s="1">
        <v>0.05</v>
      </c>
      <c r="I4" s="1">
        <v>0.03</v>
      </c>
      <c r="J4" s="1">
        <v>0.14000000000000001</v>
      </c>
      <c r="K4" s="1">
        <v>0.5</v>
      </c>
    </row>
    <row r="5" spans="1:11" x14ac:dyDescent="0.35">
      <c r="A5" s="2" t="s">
        <v>3</v>
      </c>
      <c r="B5" s="2">
        <v>40</v>
      </c>
    </row>
    <row r="7" spans="1:11" x14ac:dyDescent="0.35">
      <c r="A7" s="2" t="s">
        <v>4</v>
      </c>
      <c r="B7" s="2" t="s">
        <v>5</v>
      </c>
      <c r="C7" s="2" t="s">
        <v>0</v>
      </c>
      <c r="D7" s="2" t="s">
        <v>6</v>
      </c>
    </row>
    <row r="8" spans="1:11" x14ac:dyDescent="0.35">
      <c r="A8" s="2" t="s">
        <v>7</v>
      </c>
      <c r="B8" s="2">
        <v>0</v>
      </c>
      <c r="C8" s="2">
        <v>6</v>
      </c>
      <c r="D8" s="2">
        <v>14</v>
      </c>
      <c r="E8" s="9" t="str">
        <f>IF(D8=0,"Крит. путь", "Есть резерв")</f>
        <v>Есть резерв</v>
      </c>
      <c r="F8" s="10"/>
    </row>
    <row r="9" spans="1:11" x14ac:dyDescent="0.35">
      <c r="A9" s="2" t="s">
        <v>8</v>
      </c>
      <c r="B9" s="2">
        <v>0</v>
      </c>
      <c r="C9" s="2">
        <v>13</v>
      </c>
      <c r="D9" s="2">
        <v>0</v>
      </c>
      <c r="E9" s="9" t="str">
        <f t="shared" ref="E9:E17" si="0">IF(D9=0,"Крит. путь", "Есть резерв")</f>
        <v>Крит. путь</v>
      </c>
      <c r="F9" s="10"/>
    </row>
    <row r="10" spans="1:11" x14ac:dyDescent="0.35">
      <c r="A10" s="2" t="s">
        <v>9</v>
      </c>
      <c r="B10" s="2">
        <v>0</v>
      </c>
      <c r="C10" s="2">
        <v>20</v>
      </c>
      <c r="D10" s="2">
        <v>9</v>
      </c>
      <c r="E10" s="9" t="str">
        <f t="shared" si="0"/>
        <v>Есть резерв</v>
      </c>
      <c r="F10" s="10"/>
    </row>
    <row r="11" spans="1:11" x14ac:dyDescent="0.35">
      <c r="A11" s="2" t="s">
        <v>10</v>
      </c>
      <c r="B11" s="2">
        <v>6</v>
      </c>
      <c r="C11" s="2">
        <v>9</v>
      </c>
      <c r="D11" s="2">
        <v>14</v>
      </c>
      <c r="E11" s="9" t="str">
        <f t="shared" si="0"/>
        <v>Есть резерв</v>
      </c>
      <c r="F11" s="10"/>
    </row>
    <row r="12" spans="1:11" x14ac:dyDescent="0.35">
      <c r="A12" s="2" t="s">
        <v>11</v>
      </c>
      <c r="B12" s="2">
        <v>6</v>
      </c>
      <c r="C12" s="2">
        <v>14</v>
      </c>
      <c r="D12" s="2">
        <v>19</v>
      </c>
      <c r="E12" s="9" t="str">
        <f t="shared" si="0"/>
        <v>Есть резерв</v>
      </c>
      <c r="F12" s="10"/>
    </row>
    <row r="13" spans="1:11" x14ac:dyDescent="0.35">
      <c r="A13" s="2" t="s">
        <v>12</v>
      </c>
      <c r="B13" s="2">
        <v>13</v>
      </c>
      <c r="C13" s="2">
        <v>16</v>
      </c>
      <c r="D13" s="2">
        <v>0</v>
      </c>
      <c r="E13" s="9" t="str">
        <f t="shared" si="0"/>
        <v>Крит. путь</v>
      </c>
      <c r="F13" s="10"/>
    </row>
    <row r="14" spans="1:11" x14ac:dyDescent="0.35">
      <c r="A14" s="2" t="s">
        <v>13</v>
      </c>
      <c r="B14" s="2">
        <v>13</v>
      </c>
      <c r="C14" s="2">
        <v>15</v>
      </c>
      <c r="D14" s="2">
        <v>24</v>
      </c>
      <c r="E14" s="9" t="str">
        <f t="shared" si="0"/>
        <v>Есть резерв</v>
      </c>
      <c r="F14" s="10"/>
    </row>
    <row r="15" spans="1:11" x14ac:dyDescent="0.35">
      <c r="A15" s="2" t="s">
        <v>14</v>
      </c>
      <c r="B15" s="2">
        <v>29</v>
      </c>
      <c r="C15" s="2">
        <v>10</v>
      </c>
      <c r="D15" s="2">
        <v>0</v>
      </c>
      <c r="E15" s="9" t="str">
        <f t="shared" si="0"/>
        <v>Крит. путь</v>
      </c>
      <c r="F15" s="10"/>
    </row>
    <row r="16" spans="1:11" x14ac:dyDescent="0.35">
      <c r="A16" s="2" t="s">
        <v>15</v>
      </c>
      <c r="B16" s="2">
        <v>29</v>
      </c>
      <c r="C16" s="2">
        <v>17</v>
      </c>
      <c r="D16" s="2">
        <v>6</v>
      </c>
      <c r="E16" s="9" t="str">
        <f t="shared" si="0"/>
        <v>Есть резерв</v>
      </c>
      <c r="F16" s="10"/>
    </row>
    <row r="17" spans="1:10" x14ac:dyDescent="0.35">
      <c r="A17" s="2" t="s">
        <v>16</v>
      </c>
      <c r="B17" s="2">
        <v>39</v>
      </c>
      <c r="C17" s="2">
        <v>14</v>
      </c>
      <c r="D17" s="2">
        <v>0</v>
      </c>
      <c r="E17" s="9" t="str">
        <f t="shared" si="0"/>
        <v>Крит. путь</v>
      </c>
      <c r="F17" s="10"/>
    </row>
    <row r="23" spans="1:10" x14ac:dyDescent="0.35">
      <c r="A23" s="2" t="s">
        <v>4</v>
      </c>
      <c r="B23" s="2" t="s">
        <v>3</v>
      </c>
      <c r="C23" s="2" t="s">
        <v>17</v>
      </c>
      <c r="D23" s="2" t="s">
        <v>18</v>
      </c>
      <c r="E23" s="2" t="s">
        <v>19</v>
      </c>
      <c r="G23" s="1" t="s">
        <v>1</v>
      </c>
      <c r="H23" s="1"/>
    </row>
    <row r="24" spans="1:10" x14ac:dyDescent="0.35">
      <c r="A24" s="2" t="s">
        <v>7</v>
      </c>
      <c r="B24" s="1">
        <v>6</v>
      </c>
      <c r="C24" s="1">
        <v>0</v>
      </c>
      <c r="D24" s="1">
        <v>0</v>
      </c>
      <c r="E24" s="1">
        <f>B24-C24</f>
        <v>6</v>
      </c>
      <c r="F24" s="3"/>
      <c r="G24" s="1">
        <v>5</v>
      </c>
      <c r="H24" s="1">
        <f>C8 - B4 * D24</f>
        <v>6</v>
      </c>
      <c r="J24">
        <f>C24+H24</f>
        <v>6</v>
      </c>
    </row>
    <row r="25" spans="1:10" x14ac:dyDescent="0.35">
      <c r="A25" s="2" t="s">
        <v>8</v>
      </c>
      <c r="B25" s="1">
        <v>10</v>
      </c>
      <c r="C25" s="1">
        <v>0</v>
      </c>
      <c r="D25" s="1">
        <v>12</v>
      </c>
      <c r="E25" s="1">
        <f t="shared" ref="E25:E33" si="1">B25-C25</f>
        <v>10</v>
      </c>
      <c r="F25" s="3"/>
      <c r="G25" s="1">
        <v>10</v>
      </c>
      <c r="H25" s="1">
        <f>C9 - C4 * D25</f>
        <v>10</v>
      </c>
      <c r="J25">
        <f t="shared" ref="J25:J33" si="2">C25+H25</f>
        <v>10</v>
      </c>
    </row>
    <row r="26" spans="1:10" x14ac:dyDescent="0.35">
      <c r="A26" s="2" t="s">
        <v>9</v>
      </c>
      <c r="B26" s="1">
        <v>20</v>
      </c>
      <c r="C26" s="1">
        <v>0</v>
      </c>
      <c r="D26" s="1">
        <v>0</v>
      </c>
      <c r="E26" s="1">
        <f t="shared" si="1"/>
        <v>20</v>
      </c>
      <c r="F26" s="3"/>
      <c r="G26" s="1">
        <v>16</v>
      </c>
      <c r="H26" s="1">
        <f>C10 - D4 * D26</f>
        <v>20</v>
      </c>
      <c r="J26">
        <f t="shared" si="2"/>
        <v>20</v>
      </c>
    </row>
    <row r="27" spans="1:10" x14ac:dyDescent="0.35">
      <c r="A27" s="2" t="s">
        <v>10</v>
      </c>
      <c r="B27" s="1">
        <v>15</v>
      </c>
      <c r="C27" s="1">
        <v>6</v>
      </c>
      <c r="D27" s="1">
        <v>0</v>
      </c>
      <c r="E27" s="1">
        <f t="shared" si="1"/>
        <v>9</v>
      </c>
      <c r="F27" s="3"/>
      <c r="G27" s="1">
        <v>7</v>
      </c>
      <c r="H27" s="1">
        <f>C11 - E4 * D27</f>
        <v>9</v>
      </c>
      <c r="J27">
        <f t="shared" si="2"/>
        <v>15</v>
      </c>
    </row>
    <row r="28" spans="1:10" x14ac:dyDescent="0.35">
      <c r="A28" s="2" t="s">
        <v>11</v>
      </c>
      <c r="B28" s="1">
        <v>20</v>
      </c>
      <c r="C28" s="1">
        <v>6</v>
      </c>
      <c r="D28" s="1">
        <v>0</v>
      </c>
      <c r="E28" s="1">
        <f t="shared" si="1"/>
        <v>14</v>
      </c>
      <c r="F28" s="3"/>
      <c r="G28" s="1">
        <v>11</v>
      </c>
      <c r="H28" s="1">
        <f>C12 - F4 * D28</f>
        <v>14</v>
      </c>
      <c r="J28">
        <f t="shared" si="2"/>
        <v>20</v>
      </c>
    </row>
    <row r="29" spans="1:10" x14ac:dyDescent="0.35">
      <c r="A29" s="2" t="s">
        <v>12</v>
      </c>
      <c r="B29" s="1">
        <v>23</v>
      </c>
      <c r="C29" s="1">
        <v>10</v>
      </c>
      <c r="D29" s="1">
        <v>30</v>
      </c>
      <c r="E29" s="1">
        <f t="shared" si="1"/>
        <v>13</v>
      </c>
      <c r="F29" s="3"/>
      <c r="G29" s="1">
        <v>13</v>
      </c>
      <c r="H29" s="1">
        <f>C13 - G4 * D29</f>
        <v>13</v>
      </c>
      <c r="J29">
        <f t="shared" si="2"/>
        <v>23</v>
      </c>
    </row>
    <row r="30" spans="1:10" x14ac:dyDescent="0.35">
      <c r="A30" s="2" t="s">
        <v>13</v>
      </c>
      <c r="B30" s="1">
        <v>25</v>
      </c>
      <c r="C30" s="1">
        <v>10</v>
      </c>
      <c r="D30" s="1">
        <v>0</v>
      </c>
      <c r="E30" s="1">
        <f t="shared" si="1"/>
        <v>15</v>
      </c>
      <c r="F30" s="3"/>
      <c r="G30" s="1">
        <v>12</v>
      </c>
      <c r="H30" s="1">
        <f>C14 - H4 * D30</f>
        <v>15</v>
      </c>
      <c r="J30">
        <f t="shared" si="2"/>
        <v>25</v>
      </c>
    </row>
    <row r="31" spans="1:10" x14ac:dyDescent="0.35">
      <c r="A31" s="2" t="s">
        <v>14</v>
      </c>
      <c r="B31" s="1">
        <v>30</v>
      </c>
      <c r="C31" s="1">
        <v>23</v>
      </c>
      <c r="D31" s="1">
        <v>100</v>
      </c>
      <c r="E31" s="1">
        <f t="shared" si="1"/>
        <v>7</v>
      </c>
      <c r="F31" s="3"/>
      <c r="G31" s="1">
        <v>7</v>
      </c>
      <c r="H31" s="1">
        <f>C15 - I4 * D31</f>
        <v>7</v>
      </c>
      <c r="J31">
        <f t="shared" si="2"/>
        <v>30</v>
      </c>
    </row>
    <row r="32" spans="1:10" x14ac:dyDescent="0.35">
      <c r="A32" s="2" t="s">
        <v>15</v>
      </c>
      <c r="B32" s="1">
        <v>40</v>
      </c>
      <c r="C32" s="1">
        <v>23</v>
      </c>
      <c r="D32" s="1">
        <v>0</v>
      </c>
      <c r="E32" s="1">
        <f t="shared" si="1"/>
        <v>17</v>
      </c>
      <c r="F32" s="3"/>
      <c r="G32" s="1">
        <v>15</v>
      </c>
      <c r="H32" s="1">
        <f>C16 - J4 * D32</f>
        <v>17</v>
      </c>
      <c r="J32">
        <f t="shared" si="2"/>
        <v>40</v>
      </c>
    </row>
    <row r="33" spans="1:10" x14ac:dyDescent="0.35">
      <c r="A33" s="2" t="s">
        <v>16</v>
      </c>
      <c r="B33" s="1">
        <v>40</v>
      </c>
      <c r="C33" s="1">
        <v>30</v>
      </c>
      <c r="D33" s="1">
        <v>8</v>
      </c>
      <c r="E33" s="1">
        <f t="shared" si="1"/>
        <v>10</v>
      </c>
      <c r="F33" s="3"/>
      <c r="G33" s="1">
        <v>9</v>
      </c>
      <c r="H33" s="1">
        <f>C17 - K4 * D33</f>
        <v>10</v>
      </c>
      <c r="J33">
        <f t="shared" si="2"/>
        <v>40</v>
      </c>
    </row>
    <row r="34" spans="1:10" x14ac:dyDescent="0.35">
      <c r="D34" s="1">
        <f>SUM(D24:D33)</f>
        <v>150</v>
      </c>
    </row>
    <row r="36" spans="1:10" x14ac:dyDescent="0.35">
      <c r="A36" s="2" t="s">
        <v>4</v>
      </c>
      <c r="B36" s="2" t="s">
        <v>5</v>
      </c>
      <c r="C36" s="2" t="s">
        <v>0</v>
      </c>
      <c r="D36" s="2" t="s">
        <v>6</v>
      </c>
    </row>
    <row r="37" spans="1:10" x14ac:dyDescent="0.35">
      <c r="A37" s="2" t="s">
        <v>7</v>
      </c>
      <c r="B37" s="1">
        <v>0</v>
      </c>
      <c r="C37" s="2">
        <v>6</v>
      </c>
      <c r="D37" s="2">
        <v>8</v>
      </c>
      <c r="E37" s="9" t="str">
        <f>IF(D37=0,"Крит. путь", "Есть резерв")</f>
        <v>Есть резерв</v>
      </c>
      <c r="F37" s="10"/>
    </row>
    <row r="38" spans="1:10" x14ac:dyDescent="0.35">
      <c r="A38" s="2" t="s">
        <v>8</v>
      </c>
      <c r="B38" s="1">
        <v>0</v>
      </c>
      <c r="C38" s="2">
        <v>10</v>
      </c>
      <c r="D38" s="2">
        <v>0</v>
      </c>
      <c r="E38" s="9" t="str">
        <f t="shared" ref="E38:E46" si="3">IF(D38=0,"Крит. путь", "Есть резерв")</f>
        <v>Крит. путь</v>
      </c>
      <c r="F38" s="10"/>
    </row>
    <row r="39" spans="1:10" x14ac:dyDescent="0.35">
      <c r="A39" s="2" t="s">
        <v>9</v>
      </c>
      <c r="B39" s="1">
        <v>0</v>
      </c>
      <c r="C39" s="2">
        <v>20</v>
      </c>
      <c r="D39" s="2">
        <v>3</v>
      </c>
      <c r="E39" s="9" t="str">
        <f t="shared" si="3"/>
        <v>Есть резерв</v>
      </c>
      <c r="F39" s="10"/>
    </row>
    <row r="40" spans="1:10" x14ac:dyDescent="0.35">
      <c r="A40" s="2" t="s">
        <v>10</v>
      </c>
      <c r="B40" s="1">
        <v>6</v>
      </c>
      <c r="C40" s="2">
        <v>9</v>
      </c>
      <c r="D40" s="2">
        <v>8</v>
      </c>
      <c r="E40" s="9" t="str">
        <f t="shared" si="3"/>
        <v>Есть резерв</v>
      </c>
      <c r="F40" s="10"/>
    </row>
    <row r="41" spans="1:10" x14ac:dyDescent="0.35">
      <c r="A41" s="2" t="s">
        <v>11</v>
      </c>
      <c r="B41" s="1">
        <v>6</v>
      </c>
      <c r="C41" s="2">
        <v>14</v>
      </c>
      <c r="D41" s="2">
        <v>10</v>
      </c>
      <c r="E41" s="9" t="str">
        <f t="shared" si="3"/>
        <v>Есть резерв</v>
      </c>
      <c r="F41" s="10"/>
    </row>
    <row r="42" spans="1:10" x14ac:dyDescent="0.35">
      <c r="A42" s="2" t="s">
        <v>12</v>
      </c>
      <c r="B42" s="1">
        <v>10</v>
      </c>
      <c r="C42" s="2">
        <v>13</v>
      </c>
      <c r="D42" s="2">
        <v>0</v>
      </c>
      <c r="E42" s="9" t="str">
        <f t="shared" si="3"/>
        <v>Крит. путь</v>
      </c>
      <c r="F42" s="10"/>
    </row>
    <row r="43" spans="1:10" x14ac:dyDescent="0.35">
      <c r="A43" s="2" t="s">
        <v>13</v>
      </c>
      <c r="B43" s="1">
        <v>10</v>
      </c>
      <c r="C43" s="2">
        <v>15</v>
      </c>
      <c r="D43" s="2">
        <v>15</v>
      </c>
      <c r="E43" s="9" t="str">
        <f t="shared" si="3"/>
        <v>Есть резерв</v>
      </c>
      <c r="F43" s="10"/>
    </row>
    <row r="44" spans="1:10" x14ac:dyDescent="0.35">
      <c r="A44" s="2" t="s">
        <v>14</v>
      </c>
      <c r="B44" s="1">
        <v>23</v>
      </c>
      <c r="C44" s="2">
        <v>7</v>
      </c>
      <c r="D44" s="2">
        <v>0</v>
      </c>
      <c r="E44" s="9" t="str">
        <f t="shared" si="3"/>
        <v>Крит. путь</v>
      </c>
      <c r="F44" s="10"/>
    </row>
    <row r="45" spans="1:10" x14ac:dyDescent="0.35">
      <c r="A45" s="2" t="s">
        <v>15</v>
      </c>
      <c r="B45" s="1">
        <v>23</v>
      </c>
      <c r="C45" s="2">
        <v>17</v>
      </c>
      <c r="D45" s="2">
        <v>0</v>
      </c>
      <c r="E45" s="9" t="str">
        <f t="shared" si="3"/>
        <v>Крит. путь</v>
      </c>
      <c r="F45" s="10"/>
    </row>
    <row r="46" spans="1:10" x14ac:dyDescent="0.35">
      <c r="A46" s="2" t="s">
        <v>16</v>
      </c>
      <c r="B46" s="1">
        <v>30</v>
      </c>
      <c r="C46" s="2">
        <v>10</v>
      </c>
      <c r="D46" s="2">
        <v>0</v>
      </c>
      <c r="E46" s="9" t="str">
        <f t="shared" si="3"/>
        <v>Крит. путь</v>
      </c>
      <c r="F46" s="10"/>
    </row>
  </sheetData>
  <mergeCells count="20">
    <mergeCell ref="E42:F42"/>
    <mergeCell ref="E43:F43"/>
    <mergeCell ref="E44:F44"/>
    <mergeCell ref="E45:F45"/>
    <mergeCell ref="E46:F46"/>
    <mergeCell ref="E37:F37"/>
    <mergeCell ref="E38:F38"/>
    <mergeCell ref="E39:F39"/>
    <mergeCell ref="E40:F40"/>
    <mergeCell ref="E41:F41"/>
    <mergeCell ref="E14:F14"/>
    <mergeCell ref="E15:F15"/>
    <mergeCell ref="E16:F16"/>
    <mergeCell ref="E17:F17"/>
    <mergeCell ref="E8:F8"/>
    <mergeCell ref="E9:F9"/>
    <mergeCell ref="E10:F10"/>
    <mergeCell ref="E11:F11"/>
    <mergeCell ref="E12:F12"/>
    <mergeCell ref="E13:F1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070EF-E7FC-4D43-9415-48EC00E2C92A}">
  <dimension ref="A1:J16"/>
  <sheetViews>
    <sheetView tabSelected="1" workbookViewId="0">
      <selection activeCell="K6" sqref="K6"/>
    </sheetView>
  </sheetViews>
  <sheetFormatPr defaultRowHeight="14.5" x14ac:dyDescent="0.35"/>
  <sheetData>
    <row r="1" spans="1:10" x14ac:dyDescent="0.35">
      <c r="A1" s="4"/>
      <c r="B1" s="4">
        <v>1.2</v>
      </c>
      <c r="C1" s="4">
        <v>1.3</v>
      </c>
      <c r="D1" s="4">
        <v>1.4</v>
      </c>
      <c r="E1" s="4">
        <v>2.2999999999999998</v>
      </c>
      <c r="F1" s="4">
        <v>3.4</v>
      </c>
      <c r="G1" s="4">
        <v>3.5</v>
      </c>
      <c r="H1" s="4">
        <v>4.5</v>
      </c>
      <c r="I1" s="7"/>
    </row>
    <row r="2" spans="1:10" x14ac:dyDescent="0.35">
      <c r="A2" s="4" t="s">
        <v>0</v>
      </c>
      <c r="B2" s="4">
        <v>15</v>
      </c>
      <c r="C2" s="4">
        <v>8</v>
      </c>
      <c r="D2" s="4">
        <v>7</v>
      </c>
      <c r="E2" s="4">
        <v>5</v>
      </c>
      <c r="F2" s="4">
        <v>13</v>
      </c>
      <c r="G2" s="4">
        <v>11</v>
      </c>
      <c r="H2" s="4">
        <v>7</v>
      </c>
      <c r="I2" s="8"/>
    </row>
    <row r="3" spans="1:10" x14ac:dyDescent="0.35">
      <c r="A3" s="4" t="s">
        <v>1</v>
      </c>
      <c r="B3" s="4">
        <v>12</v>
      </c>
      <c r="C3" s="4">
        <v>5</v>
      </c>
      <c r="D3" s="4">
        <v>4</v>
      </c>
      <c r="E3" s="4">
        <v>3</v>
      </c>
      <c r="F3" s="4">
        <v>10</v>
      </c>
      <c r="G3" s="4">
        <v>8</v>
      </c>
      <c r="H3" s="4">
        <v>4</v>
      </c>
      <c r="I3" s="8"/>
    </row>
    <row r="4" spans="1:10" x14ac:dyDescent="0.35">
      <c r="A4" s="4" t="s">
        <v>2</v>
      </c>
      <c r="B4" s="4">
        <v>0.25</v>
      </c>
      <c r="C4" s="4">
        <v>0.2</v>
      </c>
      <c r="D4" s="4">
        <v>0.15</v>
      </c>
      <c r="E4" s="4">
        <v>0.1</v>
      </c>
      <c r="F4" s="4">
        <v>0.3</v>
      </c>
      <c r="G4" s="4">
        <v>0.4</v>
      </c>
      <c r="H4" s="4">
        <v>0.2</v>
      </c>
      <c r="I4" s="8"/>
    </row>
    <row r="5" spans="1:10" x14ac:dyDescent="0.35">
      <c r="A5" s="4" t="s">
        <v>20</v>
      </c>
      <c r="B5" s="4">
        <v>47</v>
      </c>
      <c r="C5" s="5"/>
      <c r="D5" s="5"/>
      <c r="E5" s="5"/>
      <c r="F5" s="5"/>
      <c r="G5" s="5"/>
      <c r="H5" s="5"/>
    </row>
    <row r="7" spans="1:10" x14ac:dyDescent="0.35">
      <c r="A7" s="2" t="s">
        <v>4</v>
      </c>
      <c r="B7" s="2" t="s">
        <v>3</v>
      </c>
      <c r="C7" s="2" t="s">
        <v>17</v>
      </c>
      <c r="D7" s="2" t="s">
        <v>18</v>
      </c>
      <c r="E7" s="2" t="s">
        <v>19</v>
      </c>
      <c r="G7" s="1" t="s">
        <v>1</v>
      </c>
      <c r="H7" s="1"/>
    </row>
    <row r="8" spans="1:10" x14ac:dyDescent="0.35">
      <c r="A8" s="2" t="s">
        <v>7</v>
      </c>
      <c r="B8" s="1">
        <v>12</v>
      </c>
      <c r="C8" s="1">
        <v>0</v>
      </c>
      <c r="D8" s="1">
        <v>12</v>
      </c>
      <c r="E8" s="1">
        <f>B8-C8</f>
        <v>12</v>
      </c>
      <c r="F8" s="3"/>
      <c r="G8" s="1">
        <v>12</v>
      </c>
      <c r="H8" s="1">
        <f>B2 - B4 * D8</f>
        <v>12</v>
      </c>
      <c r="J8">
        <f>C8+H8</f>
        <v>12</v>
      </c>
    </row>
    <row r="9" spans="1:10" x14ac:dyDescent="0.35">
      <c r="A9" s="2" t="s">
        <v>8</v>
      </c>
      <c r="B9" s="1">
        <v>8</v>
      </c>
      <c r="C9" s="1">
        <v>0</v>
      </c>
      <c r="D9" s="1">
        <v>0</v>
      </c>
      <c r="E9" s="1">
        <f t="shared" ref="E9:E15" si="0">B9-C9</f>
        <v>8</v>
      </c>
      <c r="F9" s="3"/>
      <c r="G9" s="1">
        <v>5</v>
      </c>
      <c r="H9" s="1">
        <f>C2 - C4 * D9</f>
        <v>8</v>
      </c>
      <c r="J9">
        <f t="shared" ref="J9:J15" si="1">C9+H9</f>
        <v>8</v>
      </c>
    </row>
    <row r="10" spans="1:10" x14ac:dyDescent="0.35">
      <c r="A10" s="2" t="s">
        <v>9</v>
      </c>
      <c r="B10" s="1">
        <v>7</v>
      </c>
      <c r="C10" s="1">
        <v>0</v>
      </c>
      <c r="D10" s="1">
        <v>0</v>
      </c>
      <c r="E10" s="1">
        <f t="shared" si="0"/>
        <v>7</v>
      </c>
      <c r="F10" s="3"/>
      <c r="G10" s="1">
        <v>4</v>
      </c>
      <c r="H10" s="1">
        <f>D2 - D4 * D10</f>
        <v>7</v>
      </c>
      <c r="J10">
        <f t="shared" si="1"/>
        <v>7</v>
      </c>
    </row>
    <row r="11" spans="1:10" x14ac:dyDescent="0.35">
      <c r="A11" s="2" t="s">
        <v>21</v>
      </c>
      <c r="B11" s="1">
        <v>16</v>
      </c>
      <c r="C11" s="1">
        <v>12</v>
      </c>
      <c r="D11" s="1">
        <v>10</v>
      </c>
      <c r="E11" s="1">
        <f t="shared" si="0"/>
        <v>4</v>
      </c>
      <c r="F11" s="3"/>
      <c r="G11" s="1">
        <v>3</v>
      </c>
      <c r="H11" s="1">
        <f>E2 - E4 * D11</f>
        <v>4</v>
      </c>
      <c r="J11">
        <f t="shared" si="1"/>
        <v>16</v>
      </c>
    </row>
    <row r="12" spans="1:10" x14ac:dyDescent="0.35">
      <c r="A12" s="2" t="s">
        <v>12</v>
      </c>
      <c r="B12" s="1">
        <v>26</v>
      </c>
      <c r="C12" s="1">
        <v>16</v>
      </c>
      <c r="D12" s="1">
        <v>10</v>
      </c>
      <c r="E12" s="1">
        <f t="shared" si="0"/>
        <v>10</v>
      </c>
      <c r="F12" s="3"/>
      <c r="G12" s="1">
        <v>10</v>
      </c>
      <c r="H12" s="1">
        <f>F2 - F4 * D12</f>
        <v>10</v>
      </c>
      <c r="J12">
        <f t="shared" si="1"/>
        <v>26</v>
      </c>
    </row>
    <row r="13" spans="1:10" x14ac:dyDescent="0.35">
      <c r="A13" s="2" t="s">
        <v>22</v>
      </c>
      <c r="B13" s="1">
        <v>27</v>
      </c>
      <c r="C13" s="1">
        <v>16</v>
      </c>
      <c r="D13" s="1">
        <v>0</v>
      </c>
      <c r="E13" s="1">
        <f t="shared" si="0"/>
        <v>11</v>
      </c>
      <c r="F13" s="3"/>
      <c r="G13" s="1">
        <v>8</v>
      </c>
      <c r="H13" s="1">
        <f>G2 - G4 * D13</f>
        <v>11</v>
      </c>
      <c r="J13">
        <f t="shared" si="1"/>
        <v>27</v>
      </c>
    </row>
    <row r="14" spans="1:10" x14ac:dyDescent="0.35">
      <c r="A14" s="2" t="s">
        <v>14</v>
      </c>
      <c r="B14" s="1">
        <v>30</v>
      </c>
      <c r="C14" s="1">
        <v>26</v>
      </c>
      <c r="D14" s="1">
        <v>15</v>
      </c>
      <c r="E14" s="1">
        <f t="shared" si="0"/>
        <v>4</v>
      </c>
      <c r="F14" s="3"/>
      <c r="G14" s="1">
        <v>4</v>
      </c>
      <c r="H14" s="1">
        <f>H2 - H4 * D14</f>
        <v>4</v>
      </c>
      <c r="J14">
        <f t="shared" si="1"/>
        <v>30</v>
      </c>
    </row>
    <row r="15" spans="1:10" x14ac:dyDescent="0.35">
      <c r="A15" s="2" t="s">
        <v>16</v>
      </c>
      <c r="B15" s="1">
        <v>30</v>
      </c>
      <c r="C15" s="1">
        <v>30</v>
      </c>
      <c r="D15" s="1">
        <v>0</v>
      </c>
      <c r="E15" s="1">
        <f t="shared" si="0"/>
        <v>0</v>
      </c>
      <c r="G15" s="2">
        <v>0</v>
      </c>
      <c r="H15" s="1">
        <v>0</v>
      </c>
      <c r="J15">
        <f t="shared" si="1"/>
        <v>30</v>
      </c>
    </row>
    <row r="16" spans="1:10" x14ac:dyDescent="0.35">
      <c r="B16" s="1">
        <f>B15</f>
        <v>30</v>
      </c>
      <c r="D16" s="6">
        <f>SUM(D8:D15)</f>
        <v>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Задание1</vt:lpstr>
      <vt:lpstr>Задание2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Саша Бражалович</dc:creator>
  <cp:lastModifiedBy>Саша Бражалович</cp:lastModifiedBy>
  <dcterms:created xsi:type="dcterms:W3CDTF">2015-06-05T18:19:34Z</dcterms:created>
  <dcterms:modified xsi:type="dcterms:W3CDTF">2025-11-20T15:10:25Z</dcterms:modified>
</cp:coreProperties>
</file>