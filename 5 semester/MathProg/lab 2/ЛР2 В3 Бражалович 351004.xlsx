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2\"/>
    </mc:Choice>
  </mc:AlternateContent>
  <xr:revisionPtr revIDLastSave="0" documentId="13_ncr:1_{D612D018-F91E-40D6-9EBF-E183A1F269A1}" xr6:coauthVersionLast="47" xr6:coauthVersionMax="47" xr10:uidLastSave="{00000000-0000-0000-0000-000000000000}"/>
  <bookViews>
    <workbookView xWindow="-110" yWindow="-110" windowWidth="25820" windowHeight="15500" firstSheet="3" activeTab="8" xr2:uid="{00000000-000D-0000-FFFF-FFFF00000000}"/>
  </bookViews>
  <sheets>
    <sheet name="Отчет о результатах 3" sheetId="20" r:id="rId1"/>
    <sheet name="Отчет об устойчивости 3" sheetId="21" r:id="rId2"/>
    <sheet name="Отчет о пределах 3" sheetId="22" r:id="rId3"/>
    <sheet name="Отчет о результатах 1" sheetId="23" r:id="rId4"/>
    <sheet name="Отчет об устойчивости 1" sheetId="24" r:id="rId5"/>
    <sheet name="Отчет о пределах 1" sheetId="25" r:id="rId6"/>
    <sheet name="Отчет о результатах 2" sheetId="30" r:id="rId7"/>
    <sheet name="Отчет об устойчивости 2" sheetId="31" r:id="rId8"/>
    <sheet name="Sheet1" sheetId="1" r:id="rId9"/>
  </sheets>
  <definedNames>
    <definedName name="solver_adj" localSheetId="8" hidden="1">Sheet1!$B$53:$E$53</definedName>
    <definedName name="solver_cvg" localSheetId="8" hidden="1">0.0001</definedName>
    <definedName name="solver_drv" localSheetId="8" hidden="1">1</definedName>
    <definedName name="solver_eng" localSheetId="8" hidden="1">2</definedName>
    <definedName name="solver_est" localSheetId="8" hidden="1">1</definedName>
    <definedName name="solver_itr" localSheetId="8" hidden="1">2147483647</definedName>
    <definedName name="solver_lhs1" localSheetId="8" hidden="1">Sheet1!$F$57</definedName>
    <definedName name="solver_lhs2" localSheetId="8" hidden="1">Sheet1!$F$58</definedName>
    <definedName name="solver_lhs3" localSheetId="8" hidden="1">Sheet1!$F$59</definedName>
    <definedName name="solver_lhs4" localSheetId="8" hidden="1">Sheet1!$E$70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3</definedName>
    <definedName name="solver_nwt" localSheetId="8" hidden="1">1</definedName>
    <definedName name="solver_opt" localSheetId="8" hidden="1">Sheet1!$F$54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el3" localSheetId="8" hidden="1">1</definedName>
    <definedName name="solver_rel4" localSheetId="8" hidden="1">3</definedName>
    <definedName name="solver_rhs1" localSheetId="8" hidden="1">Sheet1!$H$57</definedName>
    <definedName name="solver_rhs2" localSheetId="8" hidden="1">Sheet1!$H$58</definedName>
    <definedName name="solver_rhs3" localSheetId="8" hidden="1">Sheet1!$H$59</definedName>
    <definedName name="solver_rhs4" localSheetId="8" hidden="1">Sheet1!$G$70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ho" localSheetId="5" hidden="1">2</definedName>
    <definedName name="solver_sho" localSheetId="2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1</definedName>
    <definedName name="solver_val" localSheetId="8" hidden="1">0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1" l="1"/>
  <c r="F57" i="1"/>
  <c r="E68" i="1"/>
  <c r="E69" i="1"/>
  <c r="E70" i="1"/>
  <c r="E67" i="1"/>
  <c r="E64" i="1"/>
  <c r="F58" i="1"/>
  <c r="F59" i="1"/>
</calcChain>
</file>

<file path=xl/sharedStrings.xml><?xml version="1.0" encoding="utf-8"?>
<sst xmlns="http://schemas.openxmlformats.org/spreadsheetml/2006/main" count="525" uniqueCount="192">
  <si>
    <t>Ресурсы</t>
  </si>
  <si>
    <t>П2</t>
  </si>
  <si>
    <t xml:space="preserve"> -&gt;max</t>
  </si>
  <si>
    <t>x1</t>
  </si>
  <si>
    <t>x2</t>
  </si>
  <si>
    <t>Знак неравенств</t>
  </si>
  <si>
    <t>bi</t>
  </si>
  <si>
    <t>y1</t>
  </si>
  <si>
    <t>&lt;=</t>
  </si>
  <si>
    <t>y2</t>
  </si>
  <si>
    <t>y3</t>
  </si>
  <si>
    <t>x1 &gt;= 0</t>
  </si>
  <si>
    <t>x2 &gt;= 0</t>
  </si>
  <si>
    <t>+</t>
  </si>
  <si>
    <t>x3</t>
  </si>
  <si>
    <t>=</t>
  </si>
  <si>
    <t>x4</t>
  </si>
  <si>
    <t>x5</t>
  </si>
  <si>
    <t>Номер итерации</t>
  </si>
  <si>
    <t>БП</t>
  </si>
  <si>
    <t>b</t>
  </si>
  <si>
    <t>Симплексные отношения</t>
  </si>
  <si>
    <t>Оценки</t>
  </si>
  <si>
    <t>Переменные</t>
  </si>
  <si>
    <t>имя</t>
  </si>
  <si>
    <t>знач</t>
  </si>
  <si>
    <t>коэф. цел. ф.</t>
  </si>
  <si>
    <t>&lt;— значение целевой функции</t>
  </si>
  <si>
    <t>вид</t>
  </si>
  <si>
    <t>лев.ч.</t>
  </si>
  <si>
    <t>знак</t>
  </si>
  <si>
    <t>пр.ч.</t>
  </si>
  <si>
    <t>&lt;- значение целевой функции</t>
  </si>
  <si>
    <t>&gt;=</t>
  </si>
  <si>
    <t>P1</t>
  </si>
  <si>
    <t>P2</t>
  </si>
  <si>
    <t>P3</t>
  </si>
  <si>
    <t>Запас ресурса</t>
  </si>
  <si>
    <t>1. Составить математическую модель задачи. Объяснить смысл переменных</t>
  </si>
  <si>
    <t>Прибыль, ден. ед.</t>
  </si>
  <si>
    <t>2. Составить математическую модель двойственной задачи. Объяснить смысл двойственных переменных</t>
  </si>
  <si>
    <t>Коэффициеты целевой функции</t>
  </si>
  <si>
    <t>3. Найти оптимальный план выпуска продукции, обеспечивающий максимальную прибыль</t>
  </si>
  <si>
    <t>б) симплекс-метод</t>
  </si>
  <si>
    <t>сб</t>
  </si>
  <si>
    <t>0*x5</t>
  </si>
  <si>
    <t>1*x2</t>
  </si>
  <si>
    <t>1*x4</t>
  </si>
  <si>
    <t>1*x5</t>
  </si>
  <si>
    <t>∆0</t>
  </si>
  <si>
    <t>∆1</t>
  </si>
  <si>
    <t>∆2</t>
  </si>
  <si>
    <t>∆3</t>
  </si>
  <si>
    <t>∆4</t>
  </si>
  <si>
    <t>∆5</t>
  </si>
  <si>
    <t>Среди значений индексной строки нет отрицательных. Поэтому эта таблица определяет оптимальный план задачи.</t>
  </si>
  <si>
    <t>в) на компьютере</t>
  </si>
  <si>
    <t>Ограничения</t>
  </si>
  <si>
    <t>знач x1</t>
  </si>
  <si>
    <t>знач x2</t>
  </si>
  <si>
    <t>P1 лев.ч.</t>
  </si>
  <si>
    <t>P2 лев.ч.</t>
  </si>
  <si>
    <t>P3 лев.ч.</t>
  </si>
  <si>
    <t>знач y1</t>
  </si>
  <si>
    <t>знач y2</t>
  </si>
  <si>
    <t>знач y3</t>
  </si>
  <si>
    <t>модель №1</t>
  </si>
  <si>
    <t>модель №2</t>
  </si>
  <si>
    <t>модель №1 лев.ч.</t>
  </si>
  <si>
    <t>модель №2 лев.ч.</t>
  </si>
  <si>
    <t>N1</t>
  </si>
  <si>
    <t>Затраты на одну пару по моделям</t>
  </si>
  <si>
    <t>П3</t>
  </si>
  <si>
    <t>П4</t>
  </si>
  <si>
    <t>z = 2*x1 + 40*x2 + 10*x3 + 15*x4 -&gt; max</t>
  </si>
  <si>
    <t>x1 + 2*x2 + 2*x3 + x4 &lt;= 1000</t>
  </si>
  <si>
    <t>2*x1 + x2 &lt;= 500</t>
  </si>
  <si>
    <t>x2 + 4*x3 + x4 &lt;= 1200</t>
  </si>
  <si>
    <t>x4 &gt;= 0</t>
  </si>
  <si>
    <t>x3 &gt;= 0</t>
  </si>
  <si>
    <t>f(y) = 1000*y1 + 500*y2 + 1200*y3 -&gt; min</t>
  </si>
  <si>
    <t>2*y1 + 1*y2 + 1*y3 &gt;= 40</t>
  </si>
  <si>
    <t>2*y1 + 0*y2 + 4*y3 &gt;= 10</t>
  </si>
  <si>
    <t>1*y1 + 2*y2 + 0*y3 &gt;= 2</t>
  </si>
  <si>
    <t>1*y1 + 0*y2 + 1*y3 &gt;= 15</t>
  </si>
  <si>
    <t>Microsoft Excel 16.0 Отчет о результатах</t>
  </si>
  <si>
    <t>Лист: [ЛР2 В3 Бражалович 351004.xlsx]Sheet1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</si>
  <si>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</si>
  <si>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</si>
  <si>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</si>
  <si>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0,016 секунд.</t>
  </si>
  <si>
    <t>Число итераций: 1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</si>
  <si>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</si>
  <si>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</si>
  <si>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</si>
  <si>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</si>
  <si>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</si>
  <si>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</si>
  <si>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</si>
  <si>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</si>
  <si>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</si>
  <si>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</si>
  <si>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Значение ячейки</t>
  </si>
  <si>
    <t>Формула</t>
  </si>
  <si>
    <t>Состояние</t>
  </si>
  <si>
    <t>Допуск</t>
  </si>
  <si>
    <t>Продолжить</t>
  </si>
  <si>
    <t>знач x3</t>
  </si>
  <si>
    <t>$E$69</t>
  </si>
  <si>
    <t>знач x4</t>
  </si>
  <si>
    <t>Привязка</t>
  </si>
  <si>
    <t>Без привязки</t>
  </si>
  <si>
    <t>Microsoft Excel 16.0 Отчет об устойчивости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</si>
  <si>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</si>
  <si>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</si>
  <si>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</si>
  <si>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</si>
  <si>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</si>
  <si>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</si>
  <si>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</si>
  <si>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</si>
  <si>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</si>
  <si>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</si>
  <si>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</si>
  <si>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</si>
  <si>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</si>
  <si>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Microsoft Excel 16.0 Отчет о пределах</t>
  </si>
  <si>
    <t>Переменная</t>
  </si>
  <si>
    <t>Нижний</t>
  </si>
  <si>
    <t>Предел</t>
  </si>
  <si>
    <t>Результат</t>
  </si>
  <si>
    <t>Верхний</t>
  </si>
  <si>
    <t>модель №3</t>
  </si>
  <si>
    <t>модель №4</t>
  </si>
  <si>
    <t>Число итераций: 4 Число подзадач: 0</t>
  </si>
  <si>
    <t>Ячейка целевой функции (Минимум)</t>
  </si>
  <si>
    <t>коэф. цел. ф. x4</t>
  </si>
  <si>
    <t>модель №3 лев.ч.</t>
  </si>
  <si>
    <t>модель №4 лев.ч.</t>
  </si>
  <si>
    <t>#Н/Д</t>
  </si>
  <si>
    <t xml:space="preserve">2*x1 </t>
  </si>
  <si>
    <t>40*x2</t>
  </si>
  <si>
    <t>10*x3</t>
  </si>
  <si>
    <t>15*x4</t>
  </si>
  <si>
    <t>0*x6</t>
  </si>
  <si>
    <t>0*x7</t>
  </si>
  <si>
    <t xml:space="preserve">1*x1 </t>
  </si>
  <si>
    <t>2*x2</t>
  </si>
  <si>
    <t>2*x3</t>
  </si>
  <si>
    <t>4*x3</t>
  </si>
  <si>
    <t>1*x6</t>
  </si>
  <si>
    <t>1*x7</t>
  </si>
  <si>
    <t>x6</t>
  </si>
  <si>
    <t>x7</t>
  </si>
  <si>
    <t>∆6</t>
  </si>
  <si>
    <t>∆7</t>
  </si>
  <si>
    <t>1000/2=500</t>
  </si>
  <si>
    <t>500/1=500</t>
  </si>
  <si>
    <t>1200/1=1200</t>
  </si>
  <si>
    <t>0.5</t>
  </si>
  <si>
    <t>Оптимальный план: x2 = 500, z = 20000</t>
  </si>
  <si>
    <t>Вектор X = (x1, x2, x3, x4, x5, x6, x7) = (0, 500, 0, 0, 0, 0, 700)</t>
  </si>
  <si>
    <t>Отчет создан: 20.10.2025 0:57:00</t>
  </si>
  <si>
    <t>Время решения: 0,015 секунд.</t>
  </si>
  <si>
    <t>$E$64</t>
  </si>
  <si>
    <t>$B$63</t>
  </si>
  <si>
    <t>$C$63</t>
  </si>
  <si>
    <t>$D$63</t>
  </si>
  <si>
    <t>$E$67</t>
  </si>
  <si>
    <t>$E$67&gt;=$G$67</t>
  </si>
  <si>
    <t>$E$68</t>
  </si>
  <si>
    <t>$E$68&gt;=$G$68</t>
  </si>
  <si>
    <t>$E$69&gt;=$G$69</t>
  </si>
  <si>
    <t>$E$70</t>
  </si>
  <si>
    <t>$E$70&gt;=$G$70</t>
  </si>
  <si>
    <t>Отчет создан: 20.10.2025 0:57:01</t>
  </si>
  <si>
    <t>Отчет создан: 20.10.2025 0:58:44</t>
  </si>
  <si>
    <t>Время решения: 0 секунд.</t>
  </si>
  <si>
    <t>$F$54</t>
  </si>
  <si>
    <t>коэф. цел. ф. ∆2</t>
  </si>
  <si>
    <t>$B$53</t>
  </si>
  <si>
    <t>$C$53</t>
  </si>
  <si>
    <t>$D$53</t>
  </si>
  <si>
    <t>$E$53</t>
  </si>
  <si>
    <t>$F$57</t>
  </si>
  <si>
    <t>$F$57&lt;=$H$57</t>
  </si>
  <si>
    <t>$F$58</t>
  </si>
  <si>
    <t>$F$58&lt;=$H$58</t>
  </si>
  <si>
    <t>$F$59</t>
  </si>
  <si>
    <t>$F$59&lt;=$H$59</t>
  </si>
  <si>
    <t>Отчет создан: 20.10.2025 1:48:27</t>
  </si>
  <si>
    <t>Вектор Y = (y1, y2, y3, y4, y5, y6, y7) = (20, 0, 0, 18, 0, 30,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</si>
</sst>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Arial Black"/>
      <family val="2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2" applyFont="1" applyFill="1" applyBorder="1"/>
    <xf numFmtId="0" fontId="2" fillId="0" borderId="0" xfId="2" applyFont="1" applyFill="1"/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0" xfId="2" applyFont="1" applyFill="1" applyBorder="1" applyAlignment="1">
      <alignment horizontal="left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1" xfId="0" applyFont="1" applyBorder="1"/>
    <xf numFmtId="0" fontId="2" fillId="0" borderId="16" xfId="0" applyFont="1" applyBorder="1"/>
    <xf numFmtId="0" fontId="2" fillId="0" borderId="16" xfId="3" applyFont="1" applyFill="1" applyBorder="1"/>
    <xf numFmtId="0" fontId="2" fillId="0" borderId="24" xfId="0" applyFont="1" applyBorder="1" applyAlignment="1">
      <alignment horizontal="center"/>
    </xf>
    <xf numFmtId="0" fontId="2" fillId="0" borderId="9" xfId="0" applyFont="1" applyBorder="1"/>
    <xf numFmtId="0" fontId="2" fillId="0" borderId="11" xfId="0" applyFont="1" applyBorder="1"/>
    <xf numFmtId="0" fontId="2" fillId="0" borderId="28" xfId="0" applyFont="1" applyBorder="1"/>
    <xf numFmtId="0" fontId="2" fillId="0" borderId="29" xfId="0" applyFont="1" applyBorder="1" applyAlignment="1">
      <alignment horizontal="center"/>
    </xf>
    <xf numFmtId="0" fontId="2" fillId="0" borderId="24" xfId="0" applyFont="1" applyBorder="1"/>
    <xf numFmtId="0" fontId="2" fillId="0" borderId="30" xfId="0" applyFont="1" applyBorder="1" applyAlignment="1">
      <alignment horizontal="center"/>
    </xf>
    <xf numFmtId="0" fontId="2" fillId="0" borderId="19" xfId="0" applyFont="1" applyBorder="1"/>
    <xf numFmtId="0" fontId="2" fillId="0" borderId="35" xfId="3" applyFont="1" applyFill="1" applyBorder="1"/>
    <xf numFmtId="0" fontId="2" fillId="0" borderId="8" xfId="2" applyFont="1" applyFill="1" applyBorder="1"/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4" xfId="0" applyFont="1" applyFill="1" applyBorder="1"/>
    <xf numFmtId="0" fontId="2" fillId="0" borderId="10" xfId="0" applyFont="1" applyFill="1" applyBorder="1"/>
    <xf numFmtId="0" fontId="2" fillId="0" borderId="41" xfId="0" applyFont="1" applyBorder="1"/>
    <xf numFmtId="0" fontId="2" fillId="5" borderId="4" xfId="2" applyFont="1" applyFill="1" applyBorder="1"/>
    <xf numFmtId="0" fontId="2" fillId="0" borderId="0" xfId="0" applyFont="1" applyFill="1"/>
    <xf numFmtId="0" fontId="2" fillId="0" borderId="30" xfId="0" applyFont="1" applyBorder="1"/>
    <xf numFmtId="0" fontId="2" fillId="0" borderId="21" xfId="2" applyFont="1" applyFill="1" applyBorder="1"/>
    <xf numFmtId="0" fontId="2" fillId="0" borderId="18" xfId="0" applyFont="1" applyBorder="1"/>
    <xf numFmtId="0" fontId="0" fillId="0" borderId="52" xfId="0" applyFill="1" applyBorder="1" applyAlignment="1"/>
    <xf numFmtId="0" fontId="0" fillId="0" borderId="53" xfId="0" applyFill="1" applyBorder="1" applyAlignment="1"/>
    <xf numFmtId="0" fontId="0" fillId="0" borderId="52" xfId="0" applyNumberFormat="1" applyFill="1" applyBorder="1" applyAlignment="1"/>
    <xf numFmtId="0" fontId="0" fillId="0" borderId="53" xfId="0" applyNumberFormat="1" applyFill="1" applyBorder="1" applyAlignment="1"/>
    <xf numFmtId="0" fontId="2" fillId="0" borderId="33" xfId="0" applyFont="1" applyBorder="1"/>
    <xf numFmtId="0" fontId="2" fillId="0" borderId="34" xfId="0" applyFont="1" applyBorder="1"/>
    <xf numFmtId="0" fontId="2" fillId="0" borderId="29" xfId="0" applyFont="1" applyBorder="1"/>
    <xf numFmtId="0" fontId="2" fillId="0" borderId="0" xfId="0" applyFont="1" applyBorder="1"/>
    <xf numFmtId="0" fontId="2" fillId="0" borderId="0" xfId="0" applyFont="1" applyAlignment="1"/>
    <xf numFmtId="49" fontId="2" fillId="0" borderId="0" xfId="0" applyNumberFormat="1" applyFont="1"/>
    <xf numFmtId="0" fontId="2" fillId="0" borderId="43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Alignment="1"/>
    <xf numFmtId="0" fontId="2" fillId="0" borderId="43" xfId="0" applyFont="1" applyBorder="1"/>
    <xf numFmtId="0" fontId="2" fillId="0" borderId="44" xfId="0" applyFont="1" applyBorder="1"/>
    <xf numFmtId="0" fontId="2" fillId="0" borderId="21" xfId="0" applyFont="1" applyBorder="1" applyAlignment="1">
      <alignment horizontal="center"/>
    </xf>
    <xf numFmtId="0" fontId="2" fillId="0" borderId="61" xfId="0" applyFont="1" applyBorder="1"/>
    <xf numFmtId="0" fontId="4" fillId="0" borderId="0" xfId="0" applyFont="1"/>
    <xf numFmtId="0" fontId="2" fillId="0" borderId="39" xfId="0" applyFont="1" applyBorder="1" applyAlignment="1"/>
    <xf numFmtId="0" fontId="2" fillId="0" borderId="40" xfId="0" applyFont="1" applyBorder="1" applyAlignment="1"/>
    <xf numFmtId="0" fontId="2" fillId="0" borderId="56" xfId="0" applyFont="1" applyBorder="1"/>
    <xf numFmtId="0" fontId="2" fillId="0" borderId="62" xfId="0" applyFont="1" applyBorder="1" applyAlignment="1">
      <alignment wrapText="1"/>
    </xf>
    <xf numFmtId="0" fontId="2" fillId="0" borderId="43" xfId="0" applyFont="1" applyBorder="1" applyAlignment="1">
      <alignment horizontal="center" wrapText="1"/>
    </xf>
    <xf numFmtId="0" fontId="2" fillId="0" borderId="40" xfId="0" applyFont="1" applyBorder="1" applyAlignment="1">
      <alignment wrapText="1"/>
    </xf>
    <xf numFmtId="0" fontId="2" fillId="0" borderId="63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1" xfId="0" applyFont="1" applyFill="1" applyBorder="1"/>
    <xf numFmtId="0" fontId="2" fillId="0" borderId="42" xfId="0" applyFont="1" applyFill="1" applyBorder="1"/>
    <xf numFmtId="0" fontId="2" fillId="5" borderId="7" xfId="2" applyFont="1" applyFill="1" applyBorder="1"/>
    <xf numFmtId="0" fontId="2" fillId="5" borderId="2" xfId="3" applyFont="1" applyFill="1" applyBorder="1"/>
    <xf numFmtId="0" fontId="2" fillId="5" borderId="16" xfId="0" applyFont="1" applyFill="1" applyBorder="1" applyAlignment="1">
      <alignment horizontal="center"/>
    </xf>
    <xf numFmtId="0" fontId="2" fillId="5" borderId="21" xfId="0" applyFont="1" applyFill="1" applyBorder="1"/>
    <xf numFmtId="0" fontId="2" fillId="5" borderId="13" xfId="0" applyFont="1" applyFill="1" applyBorder="1"/>
    <xf numFmtId="0" fontId="2" fillId="5" borderId="7" xfId="0" applyFont="1" applyFill="1" applyBorder="1"/>
    <xf numFmtId="0" fontId="2" fillId="5" borderId="12" xfId="0" applyFont="1" applyFill="1" applyBorder="1"/>
    <xf numFmtId="0" fontId="2" fillId="5" borderId="6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7" borderId="2" xfId="3" applyFont="1" applyFill="1" applyBorder="1"/>
    <xf numFmtId="0" fontId="2" fillId="7" borderId="4" xfId="2" applyFont="1" applyFill="1" applyBorder="1"/>
    <xf numFmtId="2" fontId="2" fillId="0" borderId="2" xfId="2" applyNumberFormat="1" applyFont="1" applyFill="1" applyBorder="1"/>
    <xf numFmtId="0" fontId="6" fillId="0" borderId="51" xfId="0" applyFont="1" applyFill="1" applyBorder="1" applyAlignment="1">
      <alignment horizontal="center"/>
    </xf>
    <xf numFmtId="0" fontId="6" fillId="0" borderId="49" xfId="0" applyFont="1" applyFill="1" applyBorder="1" applyAlignment="1">
      <alignment horizontal="center"/>
    </xf>
    <xf numFmtId="0" fontId="6" fillId="0" borderId="50" xfId="0" applyFont="1" applyFill="1" applyBorder="1" applyAlignment="1">
      <alignment horizontal="center"/>
    </xf>
    <xf numFmtId="9" fontId="2" fillId="0" borderId="56" xfId="1" applyFont="1" applyBorder="1" applyAlignment="1">
      <alignment horizontal="center"/>
    </xf>
    <xf numFmtId="9" fontId="2" fillId="0" borderId="57" xfId="1" applyFont="1" applyBorder="1" applyAlignment="1">
      <alignment horizontal="center"/>
    </xf>
    <xf numFmtId="9" fontId="2" fillId="0" borderId="58" xfId="1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0" borderId="56" xfId="0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3" fillId="4" borderId="0" xfId="0" applyFont="1" applyFill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3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4">
    <cellStyle name="20% — акцент2" xfId="2" builtinId="34"/>
    <cellStyle name="60% — акцент2" xfId="3" builtinId="36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248C-ACF9-4D71-AB27-0162E0FE4A0F}">
  <dimension ref="A1:G31"/>
  <sheetViews>
    <sheetView showGridLines="0" workbookViewId="0"/>
  </sheetViews>
  <sheetFormatPr defaultRowHeight="14.5" x14ac:dyDescent="0.35"/>
  <cols>
    <col min="1" max="1" width="2.1796875" customWidth="1"/>
    <col min="2" max="2" width="7.08984375" bestFit="1" customWidth="1"/>
    <col min="3" max="3" width="16.36328125" bestFit="1" customWidth="1"/>
    <col min="4" max="4" width="18" bestFit="1" customWidth="1"/>
    <col min="5" max="5" width="23.26953125" bestFit="1" customWidth="1"/>
    <col min="6" max="6" width="14.6328125" bestFit="1" customWidth="1"/>
    <col min="7" max="7" width="7.08984375" bestFit="1" customWidth="1"/>
  </cols>
  <sheetData>
    <row r="1" spans="1:5" x14ac:dyDescent="0.35">
      <c r="A1" s="61" t="s">
        <v>85</v>
      </c>
    </row>
    <row r="2" spans="1:5" x14ac:dyDescent="0.35">
      <c r="A2" s="61" t="s">
        <v>86</v>
      </c>
    </row>
    <row r="3" spans="1:5" x14ac:dyDescent="0.35">
      <c r="A3" s="61" t="s">
        <v>162</v>
      </c>
    </row>
    <row r="4" spans="1:5" x14ac:dyDescent="0.35">
      <c r="A4" s="61" t="s">
        <v>87</v>
      </c>
    </row>
    <row r="5" spans="1:5" x14ac:dyDescent="0.35">
      <c r="A5" s="61" t="s">
        <v>88</v>
      </c>
    </row>
    <row r="6" spans="1:5" x14ac:dyDescent="0.35">
      <c r="A6" s="61"/>
      <c r="B6" t="s">
        <v>89</v>
      </c>
    </row>
    <row r="7" spans="1:5" x14ac:dyDescent="0.35">
      <c r="A7" s="61"/>
      <c r="B7" t="s">
        <v>163</v>
      </c>
    </row>
    <row r="8" spans="1:5" x14ac:dyDescent="0.35">
      <c r="A8" s="61"/>
      <c r="B8" t="s">
        <v>134</v>
      </c>
    </row>
    <row r="9" spans="1:5" x14ac:dyDescent="0.35">
      <c r="A9" s="61" t="s">
        <v>92</v>
      </c>
    </row>
    <row r="10" spans="1:5" x14ac:dyDescent="0.35">
      <c r="B10" t="s">
        <v>93</v>
      </c>
    </row>
    <row r="11" spans="1:5" x14ac:dyDescent="0.35">
      <c r="B11" t="s">
        <v>94</v>
      </c>
    </row>
    <row r="14" spans="1:5" ht="15" thickBot="1" x14ac:dyDescent="0.4">
      <c r="A14" t="s">
        <v>135</v>
      </c>
    </row>
    <row r="15" spans="1:5" ht="15" thickBot="1" x14ac:dyDescent="0.4">
      <c r="B15" s="86" t="s">
        <v>96</v>
      </c>
      <c r="C15" s="86" t="s">
        <v>97</v>
      </c>
      <c r="D15" s="86" t="s">
        <v>98</v>
      </c>
      <c r="E15" s="86" t="s">
        <v>99</v>
      </c>
    </row>
    <row r="16" spans="1:5" ht="15" thickBot="1" x14ac:dyDescent="0.4">
      <c r="B16" s="42" t="s">
        <v>164</v>
      </c>
      <c r="C16" s="42" t="s">
        <v>136</v>
      </c>
      <c r="D16" s="44">
        <v>20000</v>
      </c>
      <c r="E16" s="44">
        <v>20000</v>
      </c>
    </row>
    <row r="19" spans="1:7" ht="15" thickBot="1" x14ac:dyDescent="0.4">
      <c r="A19" t="s">
        <v>100</v>
      </c>
    </row>
    <row r="20" spans="1:7" ht="15" thickBot="1" x14ac:dyDescent="0.4">
      <c r="B20" s="86" t="s">
        <v>96</v>
      </c>
      <c r="C20" s="86" t="s">
        <v>97</v>
      </c>
      <c r="D20" s="86" t="s">
        <v>98</v>
      </c>
      <c r="E20" s="86" t="s">
        <v>99</v>
      </c>
      <c r="F20" s="86" t="s">
        <v>101</v>
      </c>
    </row>
    <row r="21" spans="1:7" x14ac:dyDescent="0.35">
      <c r="B21" s="43" t="s">
        <v>165</v>
      </c>
      <c r="C21" s="43" t="s">
        <v>63</v>
      </c>
      <c r="D21" s="45">
        <v>20</v>
      </c>
      <c r="E21" s="45">
        <v>20</v>
      </c>
      <c r="F21" s="43" t="s">
        <v>106</v>
      </c>
    </row>
    <row r="22" spans="1:7" x14ac:dyDescent="0.35">
      <c r="B22" s="43" t="s">
        <v>166</v>
      </c>
      <c r="C22" s="43" t="s">
        <v>64</v>
      </c>
      <c r="D22" s="45">
        <v>0</v>
      </c>
      <c r="E22" s="45">
        <v>0</v>
      </c>
      <c r="F22" s="43" t="s">
        <v>106</v>
      </c>
    </row>
    <row r="23" spans="1:7" ht="15" thickBot="1" x14ac:dyDescent="0.4">
      <c r="B23" s="42" t="s">
        <v>167</v>
      </c>
      <c r="C23" s="42" t="s">
        <v>65</v>
      </c>
      <c r="D23" s="44">
        <v>0</v>
      </c>
      <c r="E23" s="44">
        <v>0</v>
      </c>
      <c r="F23" s="42" t="s">
        <v>106</v>
      </c>
    </row>
    <row r="26" spans="1:7" ht="15" thickBot="1" x14ac:dyDescent="0.4">
      <c r="A26" t="s">
        <v>57</v>
      </c>
    </row>
    <row r="27" spans="1:7" ht="15" thickBot="1" x14ac:dyDescent="0.4">
      <c r="B27" s="86" t="s">
        <v>96</v>
      </c>
      <c r="C27" s="86" t="s">
        <v>97</v>
      </c>
      <c r="D27" s="86" t="s">
        <v>102</v>
      </c>
      <c r="E27" s="86" t="s">
        <v>103</v>
      </c>
      <c r="F27" s="86" t="s">
        <v>104</v>
      </c>
      <c r="G27" s="86" t="s">
        <v>105</v>
      </c>
    </row>
    <row r="28" spans="1:7" x14ac:dyDescent="0.35">
      <c r="B28" s="43" t="s">
        <v>168</v>
      </c>
      <c r="C28" s="43" t="s">
        <v>68</v>
      </c>
      <c r="D28" s="45">
        <v>20</v>
      </c>
      <c r="E28" s="43" t="s">
        <v>169</v>
      </c>
      <c r="F28" s="43" t="s">
        <v>111</v>
      </c>
      <c r="G28" s="45">
        <v>18</v>
      </c>
    </row>
    <row r="29" spans="1:7" x14ac:dyDescent="0.35">
      <c r="B29" s="43" t="s">
        <v>170</v>
      </c>
      <c r="C29" s="43" t="s">
        <v>69</v>
      </c>
      <c r="D29" s="45">
        <v>40</v>
      </c>
      <c r="E29" s="43" t="s">
        <v>171</v>
      </c>
      <c r="F29" s="43" t="s">
        <v>110</v>
      </c>
      <c r="G29" s="45">
        <v>0</v>
      </c>
    </row>
    <row r="30" spans="1:7" x14ac:dyDescent="0.35">
      <c r="B30" s="43" t="s">
        <v>108</v>
      </c>
      <c r="C30" s="43" t="s">
        <v>137</v>
      </c>
      <c r="D30" s="45">
        <v>40</v>
      </c>
      <c r="E30" s="43" t="s">
        <v>172</v>
      </c>
      <c r="F30" s="43" t="s">
        <v>111</v>
      </c>
      <c r="G30" s="45">
        <v>30</v>
      </c>
    </row>
    <row r="31" spans="1:7" ht="15" thickBot="1" x14ac:dyDescent="0.4">
      <c r="B31" s="42" t="s">
        <v>173</v>
      </c>
      <c r="C31" s="42" t="s">
        <v>138</v>
      </c>
      <c r="D31" s="44">
        <v>20</v>
      </c>
      <c r="E31" s="42" t="s">
        <v>174</v>
      </c>
      <c r="F31" s="42" t="s">
        <v>111</v>
      </c>
      <c r="G31" s="4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1123-4083-4B0F-931A-DE5BBF7AA27F}">
  <dimension ref="A1:H19"/>
  <sheetViews>
    <sheetView showGridLines="0" topLeftCell="G1" workbookViewId="0"/>
  </sheetViews>
  <sheetFormatPr defaultRowHeight="14.5" x14ac:dyDescent="0.35"/>
  <cols>
    <col min="1" max="1" width="2.1796875" customWidth="1"/>
    <col min="2" max="2" width="7.08984375" bestFit="1" customWidth="1"/>
    <col min="3" max="3" width="16.36328125" bestFit="1" customWidth="1"/>
    <col min="4" max="4" width="14.54296875" bestFit="1" customWidth="1"/>
    <col min="5" max="5" width="11.1796875" bestFit="1" customWidth="1"/>
    <col min="6" max="6" width="16.26953125" bestFit="1" customWidth="1"/>
    <col min="7" max="7" width="11.54296875" bestFit="1" customWidth="1"/>
    <col min="8" max="8" width="12.1796875" bestFit="1" customWidth="1"/>
  </cols>
  <sheetData>
    <row r="1" spans="1:8" x14ac:dyDescent="0.35">
      <c r="A1" s="61" t="s">
        <v>112</v>
      </c>
    </row>
    <row r="2" spans="1:8" x14ac:dyDescent="0.35">
      <c r="A2" s="61" t="s">
        <v>86</v>
      </c>
    </row>
    <row r="3" spans="1:8" x14ac:dyDescent="0.35">
      <c r="A3" s="61" t="s">
        <v>162</v>
      </c>
    </row>
    <row r="6" spans="1:8" ht="15" thickBot="1" x14ac:dyDescent="0.4">
      <c r="A6" t="s">
        <v>100</v>
      </c>
    </row>
    <row r="7" spans="1:8" x14ac:dyDescent="0.35">
      <c r="B7" s="87"/>
      <c r="C7" s="87"/>
      <c r="D7" s="87" t="s">
        <v>113</v>
      </c>
      <c r="E7" s="87" t="s">
        <v>115</v>
      </c>
      <c r="F7" s="87" t="s">
        <v>117</v>
      </c>
      <c r="G7" s="87" t="s">
        <v>119</v>
      </c>
      <c r="H7" s="87" t="s">
        <v>119</v>
      </c>
    </row>
    <row r="8" spans="1:8" ht="15" thickBot="1" x14ac:dyDescent="0.4">
      <c r="B8" s="88" t="s">
        <v>96</v>
      </c>
      <c r="C8" s="88" t="s">
        <v>97</v>
      </c>
      <c r="D8" s="88" t="s">
        <v>114</v>
      </c>
      <c r="E8" s="88" t="s">
        <v>116</v>
      </c>
      <c r="F8" s="88" t="s">
        <v>118</v>
      </c>
      <c r="G8" s="88" t="s">
        <v>120</v>
      </c>
      <c r="H8" s="88" t="s">
        <v>121</v>
      </c>
    </row>
    <row r="9" spans="1:8" x14ac:dyDescent="0.35">
      <c r="B9" s="43" t="s">
        <v>165</v>
      </c>
      <c r="C9" s="43" t="s">
        <v>63</v>
      </c>
      <c r="D9" s="43">
        <v>20</v>
      </c>
      <c r="E9" s="43">
        <v>0</v>
      </c>
      <c r="F9" s="43">
        <v>1000</v>
      </c>
      <c r="G9" s="43">
        <v>0</v>
      </c>
      <c r="H9" s="43">
        <v>1000</v>
      </c>
    </row>
    <row r="10" spans="1:8" x14ac:dyDescent="0.35">
      <c r="B10" s="43" t="s">
        <v>166</v>
      </c>
      <c r="C10" s="43" t="s">
        <v>64</v>
      </c>
      <c r="D10" s="43">
        <v>0</v>
      </c>
      <c r="E10" s="43">
        <v>0</v>
      </c>
      <c r="F10" s="43">
        <v>500</v>
      </c>
      <c r="G10" s="43">
        <v>1E+30</v>
      </c>
      <c r="H10" s="43">
        <v>0</v>
      </c>
    </row>
    <row r="11" spans="1:8" ht="15" thickBot="1" x14ac:dyDescent="0.4">
      <c r="B11" s="42" t="s">
        <v>167</v>
      </c>
      <c r="C11" s="42" t="s">
        <v>65</v>
      </c>
      <c r="D11" s="42">
        <v>0</v>
      </c>
      <c r="E11" s="42">
        <v>700</v>
      </c>
      <c r="F11" s="42">
        <v>1200</v>
      </c>
      <c r="G11" s="42">
        <v>1E+30</v>
      </c>
      <c r="H11" s="42">
        <v>700</v>
      </c>
    </row>
    <row r="13" spans="1:8" ht="15" thickBot="1" x14ac:dyDescent="0.4">
      <c r="A13" t="s">
        <v>57</v>
      </c>
    </row>
    <row r="14" spans="1:8" x14ac:dyDescent="0.35">
      <c r="B14" s="87"/>
      <c r="C14" s="87"/>
      <c r="D14" s="87" t="s">
        <v>113</v>
      </c>
      <c r="E14" s="87" t="s">
        <v>122</v>
      </c>
      <c r="F14" s="87" t="s">
        <v>124</v>
      </c>
      <c r="G14" s="87" t="s">
        <v>119</v>
      </c>
      <c r="H14" s="87" t="s">
        <v>119</v>
      </c>
    </row>
    <row r="15" spans="1:8" ht="15" thickBot="1" x14ac:dyDescent="0.4">
      <c r="B15" s="88" t="s">
        <v>96</v>
      </c>
      <c r="C15" s="88" t="s">
        <v>97</v>
      </c>
      <c r="D15" s="88" t="s">
        <v>114</v>
      </c>
      <c r="E15" s="88" t="s">
        <v>123</v>
      </c>
      <c r="F15" s="88" t="s">
        <v>125</v>
      </c>
      <c r="G15" s="88" t="s">
        <v>120</v>
      </c>
      <c r="H15" s="88" t="s">
        <v>121</v>
      </c>
    </row>
    <row r="16" spans="1:8" x14ac:dyDescent="0.35">
      <c r="B16" s="43" t="s">
        <v>168</v>
      </c>
      <c r="C16" s="43" t="s">
        <v>68</v>
      </c>
      <c r="D16" s="43">
        <v>20</v>
      </c>
      <c r="E16" s="43">
        <v>0</v>
      </c>
      <c r="F16" s="43">
        <v>2</v>
      </c>
      <c r="G16" s="43">
        <v>18</v>
      </c>
      <c r="H16" s="43">
        <v>1E+30</v>
      </c>
    </row>
    <row r="17" spans="2:8" x14ac:dyDescent="0.35">
      <c r="B17" s="43" t="s">
        <v>170</v>
      </c>
      <c r="C17" s="43" t="s">
        <v>69</v>
      </c>
      <c r="D17" s="43">
        <v>40</v>
      </c>
      <c r="E17" s="43">
        <v>500</v>
      </c>
      <c r="F17" s="43">
        <v>40</v>
      </c>
      <c r="G17" s="43">
        <v>1E+30</v>
      </c>
      <c r="H17" s="43">
        <v>10</v>
      </c>
    </row>
    <row r="18" spans="2:8" x14ac:dyDescent="0.35">
      <c r="B18" s="43" t="s">
        <v>108</v>
      </c>
      <c r="C18" s="43" t="s">
        <v>137</v>
      </c>
      <c r="D18" s="43">
        <v>40</v>
      </c>
      <c r="E18" s="43">
        <v>0</v>
      </c>
      <c r="F18" s="43">
        <v>10</v>
      </c>
      <c r="G18" s="43">
        <v>30</v>
      </c>
      <c r="H18" s="43">
        <v>1E+30</v>
      </c>
    </row>
    <row r="19" spans="2:8" ht="15" thickBot="1" x14ac:dyDescent="0.4">
      <c r="B19" s="42" t="s">
        <v>173</v>
      </c>
      <c r="C19" s="42" t="s">
        <v>138</v>
      </c>
      <c r="D19" s="42">
        <v>20</v>
      </c>
      <c r="E19" s="42">
        <v>0</v>
      </c>
      <c r="F19" s="42">
        <v>15</v>
      </c>
      <c r="G19" s="42">
        <v>5</v>
      </c>
      <c r="H19" s="42">
        <v>1E+30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F27D-156A-4450-AEDC-AC12A38B155A}">
  <dimension ref="A1:J15"/>
  <sheetViews>
    <sheetView showGridLines="0" zoomScale="84" workbookViewId="0">
      <selection activeCell="I19" sqref="I19"/>
    </sheetView>
  </sheetViews>
  <sheetFormatPr defaultRowHeight="14.5" x14ac:dyDescent="0.35"/>
  <cols>
    <col min="1" max="1" width="2.1796875" customWidth="1"/>
    <col min="2" max="2" width="7.08984375" bestFit="1" customWidth="1"/>
    <col min="3" max="3" width="11.81640625" bestFit="1" customWidth="1"/>
    <col min="4" max="4" width="9.08984375" bestFit="1" customWidth="1"/>
    <col min="5" max="5" width="2.1796875" customWidth="1"/>
    <col min="6" max="6" width="7.90625" bestFit="1" customWidth="1"/>
    <col min="7" max="7" width="16.26953125" bestFit="1" customWidth="1"/>
    <col min="8" max="8" width="2.1796875" customWidth="1"/>
    <col min="9" max="9" width="8.1796875" bestFit="1" customWidth="1"/>
    <col min="10" max="10" width="16.26953125" bestFit="1" customWidth="1"/>
  </cols>
  <sheetData>
    <row r="1" spans="1:10" x14ac:dyDescent="0.35">
      <c r="A1" s="61" t="s">
        <v>126</v>
      </c>
    </row>
    <row r="2" spans="1:10" x14ac:dyDescent="0.35">
      <c r="A2" s="61" t="s">
        <v>86</v>
      </c>
    </row>
    <row r="3" spans="1:10" x14ac:dyDescent="0.35">
      <c r="A3" s="61" t="s">
        <v>175</v>
      </c>
    </row>
    <row r="5" spans="1:10" ht="15" thickBot="1" x14ac:dyDescent="0.4"/>
    <row r="6" spans="1:10" x14ac:dyDescent="0.35">
      <c r="B6" s="87"/>
      <c r="C6" s="87" t="s">
        <v>117</v>
      </c>
      <c r="D6" s="87"/>
    </row>
    <row r="7" spans="1:10" ht="15" thickBot="1" x14ac:dyDescent="0.4">
      <c r="B7" s="88" t="s">
        <v>96</v>
      </c>
      <c r="C7" s="88" t="s">
        <v>97</v>
      </c>
      <c r="D7" s="88" t="s">
        <v>114</v>
      </c>
    </row>
    <row r="8" spans="1:10" ht="15" thickBot="1" x14ac:dyDescent="0.4">
      <c r="B8" s="42" t="s">
        <v>164</v>
      </c>
      <c r="C8" s="42" t="s">
        <v>136</v>
      </c>
      <c r="D8" s="44">
        <v>20000</v>
      </c>
    </row>
    <row r="10" spans="1:10" ht="15" thickBot="1" x14ac:dyDescent="0.4"/>
    <row r="11" spans="1:10" x14ac:dyDescent="0.35">
      <c r="B11" s="87"/>
      <c r="C11" s="87" t="s">
        <v>127</v>
      </c>
      <c r="D11" s="87"/>
      <c r="F11" s="87" t="s">
        <v>128</v>
      </c>
      <c r="G11" s="87" t="s">
        <v>117</v>
      </c>
      <c r="I11" s="87" t="s">
        <v>131</v>
      </c>
      <c r="J11" s="87" t="s">
        <v>117</v>
      </c>
    </row>
    <row r="12" spans="1:10" ht="15" thickBot="1" x14ac:dyDescent="0.4">
      <c r="B12" s="88" t="s">
        <v>96</v>
      </c>
      <c r="C12" s="88" t="s">
        <v>97</v>
      </c>
      <c r="D12" s="88" t="s">
        <v>114</v>
      </c>
      <c r="F12" s="88" t="s">
        <v>129</v>
      </c>
      <c r="G12" s="88" t="s">
        <v>130</v>
      </c>
      <c r="I12" s="88" t="s">
        <v>129</v>
      </c>
      <c r="J12" s="88" t="s">
        <v>130</v>
      </c>
    </row>
    <row r="13" spans="1:10" x14ac:dyDescent="0.35">
      <c r="B13" s="43" t="s">
        <v>165</v>
      </c>
      <c r="C13" s="43" t="s">
        <v>63</v>
      </c>
      <c r="D13" s="45">
        <v>20</v>
      </c>
      <c r="F13" s="45">
        <v>20</v>
      </c>
      <c r="G13" s="45">
        <v>20000</v>
      </c>
      <c r="I13" s="43" t="s">
        <v>139</v>
      </c>
      <c r="J13" s="43" t="s">
        <v>139</v>
      </c>
    </row>
    <row r="14" spans="1:10" x14ac:dyDescent="0.35">
      <c r="B14" s="43" t="s">
        <v>166</v>
      </c>
      <c r="C14" s="43" t="s">
        <v>64</v>
      </c>
      <c r="D14" s="45">
        <v>0</v>
      </c>
      <c r="F14" s="45">
        <v>0</v>
      </c>
      <c r="G14" s="45">
        <v>20000</v>
      </c>
      <c r="I14" s="43" t="s">
        <v>139</v>
      </c>
      <c r="J14" s="43" t="s">
        <v>139</v>
      </c>
    </row>
    <row r="15" spans="1:10" ht="15" thickBot="1" x14ac:dyDescent="0.4">
      <c r="B15" s="42" t="s">
        <v>167</v>
      </c>
      <c r="C15" s="42" t="s">
        <v>65</v>
      </c>
      <c r="D15" s="44">
        <v>0</v>
      </c>
      <c r="F15" s="44">
        <v>0</v>
      </c>
      <c r="G15" s="44">
        <v>20000</v>
      </c>
      <c r="I15" s="42" t="s">
        <v>139</v>
      </c>
      <c r="J15" s="4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07E9-DAB1-4746-B1B2-0321E714AD75}">
  <dimension ref="A1:G31"/>
  <sheetViews>
    <sheetView showGridLines="0" topLeftCell="A7" workbookViewId="0">
      <selection activeCell="J23" sqref="J23"/>
    </sheetView>
  </sheetViews>
  <sheetFormatPr defaultRowHeight="14.5" x14ac:dyDescent="0.35"/>
  <cols>
    <col min="1" max="1" width="2.1796875" customWidth="1"/>
    <col min="2" max="2" width="7.08984375" bestFit="1" customWidth="1"/>
    <col min="3" max="3" width="14.54296875" bestFit="1" customWidth="1"/>
    <col min="4" max="4" width="18" bestFit="1" customWidth="1"/>
    <col min="5" max="5" width="23.26953125" bestFit="1" customWidth="1"/>
    <col min="6" max="6" width="14.6328125" bestFit="1" customWidth="1"/>
    <col min="7" max="7" width="7.08984375" bestFit="1" customWidth="1"/>
  </cols>
  <sheetData>
    <row r="1" spans="1:5" x14ac:dyDescent="0.35">
      <c r="A1" s="61" t="s">
        <v>85</v>
      </c>
    </row>
    <row r="2" spans="1:5" x14ac:dyDescent="0.35">
      <c r="A2" s="61" t="s">
        <v>86</v>
      </c>
    </row>
    <row r="3" spans="1:5" x14ac:dyDescent="0.35">
      <c r="A3" s="61" t="s">
        <v>176</v>
      </c>
    </row>
    <row r="4" spans="1:5" x14ac:dyDescent="0.35">
      <c r="A4" s="61" t="s">
        <v>87</v>
      </c>
    </row>
    <row r="5" spans="1:5" x14ac:dyDescent="0.35">
      <c r="A5" s="61" t="s">
        <v>88</v>
      </c>
    </row>
    <row r="6" spans="1:5" x14ac:dyDescent="0.35">
      <c r="A6" s="61"/>
      <c r="B6" t="s">
        <v>89</v>
      </c>
    </row>
    <row r="7" spans="1:5" x14ac:dyDescent="0.35">
      <c r="A7" s="61"/>
      <c r="B7" t="s">
        <v>177</v>
      </c>
    </row>
    <row r="8" spans="1:5" x14ac:dyDescent="0.35">
      <c r="A8" s="61"/>
      <c r="B8" t="s">
        <v>91</v>
      </c>
    </row>
    <row r="9" spans="1:5" x14ac:dyDescent="0.35">
      <c r="A9" s="61" t="s">
        <v>92</v>
      </c>
    </row>
    <row r="10" spans="1:5" x14ac:dyDescent="0.35">
      <c r="B10" t="s">
        <v>93</v>
      </c>
    </row>
    <row r="11" spans="1:5" x14ac:dyDescent="0.35">
      <c r="B11" t="s">
        <v>94</v>
      </c>
    </row>
    <row r="14" spans="1:5" ht="15" thickBot="1" x14ac:dyDescent="0.4">
      <c r="A14" t="s">
        <v>95</v>
      </c>
    </row>
    <row r="15" spans="1:5" ht="15" thickBot="1" x14ac:dyDescent="0.4">
      <c r="B15" s="86" t="s">
        <v>96</v>
      </c>
      <c r="C15" s="86" t="s">
        <v>97</v>
      </c>
      <c r="D15" s="86" t="s">
        <v>98</v>
      </c>
      <c r="E15" s="86" t="s">
        <v>99</v>
      </c>
    </row>
    <row r="16" spans="1:5" ht="15" thickBot="1" x14ac:dyDescent="0.4">
      <c r="B16" s="42" t="s">
        <v>178</v>
      </c>
      <c r="C16" s="42" t="s">
        <v>179</v>
      </c>
      <c r="D16" s="44">
        <v>20000</v>
      </c>
      <c r="E16" s="44">
        <v>20000</v>
      </c>
    </row>
    <row r="19" spans="1:7" ht="15" thickBot="1" x14ac:dyDescent="0.4">
      <c r="A19" t="s">
        <v>100</v>
      </c>
    </row>
    <row r="20" spans="1:7" ht="15" thickBot="1" x14ac:dyDescent="0.4">
      <c r="B20" s="86" t="s">
        <v>96</v>
      </c>
      <c r="C20" s="86" t="s">
        <v>97</v>
      </c>
      <c r="D20" s="86" t="s">
        <v>98</v>
      </c>
      <c r="E20" s="86" t="s">
        <v>99</v>
      </c>
      <c r="F20" s="86" t="s">
        <v>101</v>
      </c>
    </row>
    <row r="21" spans="1:7" x14ac:dyDescent="0.35">
      <c r="B21" s="43" t="s">
        <v>180</v>
      </c>
      <c r="C21" s="43" t="s">
        <v>58</v>
      </c>
      <c r="D21" s="45">
        <v>0</v>
      </c>
      <c r="E21" s="45">
        <v>0</v>
      </c>
      <c r="F21" s="43" t="s">
        <v>106</v>
      </c>
    </row>
    <row r="22" spans="1:7" x14ac:dyDescent="0.35">
      <c r="B22" s="43" t="s">
        <v>181</v>
      </c>
      <c r="C22" s="43" t="s">
        <v>59</v>
      </c>
      <c r="D22" s="45">
        <v>500</v>
      </c>
      <c r="E22" s="45">
        <v>500</v>
      </c>
      <c r="F22" s="43" t="s">
        <v>106</v>
      </c>
    </row>
    <row r="23" spans="1:7" x14ac:dyDescent="0.35">
      <c r="B23" s="43" t="s">
        <v>182</v>
      </c>
      <c r="C23" s="43" t="s">
        <v>107</v>
      </c>
      <c r="D23" s="45">
        <v>0</v>
      </c>
      <c r="E23" s="45">
        <v>0</v>
      </c>
      <c r="F23" s="43" t="s">
        <v>106</v>
      </c>
    </row>
    <row r="24" spans="1:7" ht="15" thickBot="1" x14ac:dyDescent="0.4">
      <c r="B24" s="42" t="s">
        <v>183</v>
      </c>
      <c r="C24" s="42" t="s">
        <v>109</v>
      </c>
      <c r="D24" s="44">
        <v>0</v>
      </c>
      <c r="E24" s="44">
        <v>0</v>
      </c>
      <c r="F24" s="42" t="s">
        <v>106</v>
      </c>
    </row>
    <row r="27" spans="1:7" ht="15" thickBot="1" x14ac:dyDescent="0.4">
      <c r="A27" t="s">
        <v>57</v>
      </c>
    </row>
    <row r="28" spans="1:7" ht="15" thickBot="1" x14ac:dyDescent="0.4">
      <c r="B28" s="86" t="s">
        <v>96</v>
      </c>
      <c r="C28" s="86" t="s">
        <v>97</v>
      </c>
      <c r="D28" s="86" t="s">
        <v>102</v>
      </c>
      <c r="E28" s="86" t="s">
        <v>103</v>
      </c>
      <c r="F28" s="86" t="s">
        <v>104</v>
      </c>
      <c r="G28" s="86" t="s">
        <v>105</v>
      </c>
    </row>
    <row r="29" spans="1:7" x14ac:dyDescent="0.35">
      <c r="B29" s="43" t="s">
        <v>184</v>
      </c>
      <c r="C29" s="43" t="s">
        <v>60</v>
      </c>
      <c r="D29" s="45">
        <v>1000</v>
      </c>
      <c r="E29" s="43" t="s">
        <v>185</v>
      </c>
      <c r="F29" s="43" t="s">
        <v>110</v>
      </c>
      <c r="G29" s="43">
        <v>0</v>
      </c>
    </row>
    <row r="30" spans="1:7" x14ac:dyDescent="0.35">
      <c r="B30" s="43" t="s">
        <v>186</v>
      </c>
      <c r="C30" s="43" t="s">
        <v>61</v>
      </c>
      <c r="D30" s="45">
        <v>500</v>
      </c>
      <c r="E30" s="43" t="s">
        <v>187</v>
      </c>
      <c r="F30" s="43" t="s">
        <v>110</v>
      </c>
      <c r="G30" s="43">
        <v>0</v>
      </c>
    </row>
    <row r="31" spans="1:7" ht="15" thickBot="1" x14ac:dyDescent="0.4">
      <c r="B31" s="42" t="s">
        <v>188</v>
      </c>
      <c r="C31" s="42" t="s">
        <v>62</v>
      </c>
      <c r="D31" s="44">
        <v>500</v>
      </c>
      <c r="E31" s="42" t="s">
        <v>189</v>
      </c>
      <c r="F31" s="42" t="s">
        <v>111</v>
      </c>
      <c r="G31" s="42">
        <v>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5113-97B2-4E43-85AB-CCA0564ED16E}">
  <dimension ref="A1:H19"/>
  <sheetViews>
    <sheetView showGridLines="0" topLeftCell="S1" workbookViewId="0">
      <selection activeCell="G23" sqref="G23"/>
    </sheetView>
  </sheetViews>
  <sheetFormatPr defaultRowHeight="14.5" x14ac:dyDescent="0.35"/>
  <cols>
    <col min="1" max="1" width="2.1796875" customWidth="1"/>
    <col min="2" max="2" width="7.08984375" bestFit="1" customWidth="1"/>
    <col min="3" max="3" width="8.26953125" bestFit="1" customWidth="1"/>
    <col min="4" max="4" width="14.54296875" bestFit="1" customWidth="1"/>
    <col min="5" max="5" width="11.1796875" bestFit="1" customWidth="1"/>
    <col min="6" max="6" width="16.26953125" bestFit="1" customWidth="1"/>
    <col min="7" max="7" width="11.54296875" bestFit="1" customWidth="1"/>
    <col min="8" max="8" width="12.1796875" bestFit="1" customWidth="1"/>
  </cols>
  <sheetData>
    <row r="1" spans="1:8" x14ac:dyDescent="0.35">
      <c r="A1" s="61" t="s">
        <v>112</v>
      </c>
    </row>
    <row r="2" spans="1:8" x14ac:dyDescent="0.35">
      <c r="A2" s="61" t="s">
        <v>86</v>
      </c>
    </row>
    <row r="3" spans="1:8" x14ac:dyDescent="0.35">
      <c r="A3" s="61" t="s">
        <v>176</v>
      </c>
    </row>
    <row r="6" spans="1:8" ht="15" thickBot="1" x14ac:dyDescent="0.4">
      <c r="A6" t="s">
        <v>100</v>
      </c>
    </row>
    <row r="7" spans="1:8" x14ac:dyDescent="0.35">
      <c r="B7" s="87"/>
      <c r="C7" s="87"/>
      <c r="D7" s="87" t="s">
        <v>113</v>
      </c>
      <c r="E7" s="87" t="s">
        <v>115</v>
      </c>
      <c r="F7" s="87" t="s">
        <v>117</v>
      </c>
      <c r="G7" s="87" t="s">
        <v>119</v>
      </c>
      <c r="H7" s="87" t="s">
        <v>119</v>
      </c>
    </row>
    <row r="8" spans="1:8" ht="15" thickBot="1" x14ac:dyDescent="0.4">
      <c r="B8" s="88" t="s">
        <v>96</v>
      </c>
      <c r="C8" s="88" t="s">
        <v>97</v>
      </c>
      <c r="D8" s="88" t="s">
        <v>114</v>
      </c>
      <c r="E8" s="88" t="s">
        <v>116</v>
      </c>
      <c r="F8" s="88" t="s">
        <v>118</v>
      </c>
      <c r="G8" s="88" t="s">
        <v>120</v>
      </c>
      <c r="H8" s="88" t="s">
        <v>121</v>
      </c>
    </row>
    <row r="9" spans="1:8" x14ac:dyDescent="0.35">
      <c r="B9" s="43" t="s">
        <v>180</v>
      </c>
      <c r="C9" s="43" t="s">
        <v>58</v>
      </c>
      <c r="D9" s="43">
        <v>0</v>
      </c>
      <c r="E9" s="43">
        <v>-18</v>
      </c>
      <c r="F9" s="43">
        <v>2</v>
      </c>
      <c r="G9" s="43">
        <v>18</v>
      </c>
      <c r="H9" s="43">
        <v>1E+30</v>
      </c>
    </row>
    <row r="10" spans="1:8" x14ac:dyDescent="0.35">
      <c r="B10" s="43" t="s">
        <v>181</v>
      </c>
      <c r="C10" s="43" t="s">
        <v>59</v>
      </c>
      <c r="D10" s="43">
        <v>500</v>
      </c>
      <c r="E10" s="43">
        <v>0</v>
      </c>
      <c r="F10" s="43">
        <v>40</v>
      </c>
      <c r="G10" s="43">
        <v>1E+30</v>
      </c>
      <c r="H10" s="43">
        <v>10</v>
      </c>
    </row>
    <row r="11" spans="1:8" x14ac:dyDescent="0.35">
      <c r="B11" s="43" t="s">
        <v>182</v>
      </c>
      <c r="C11" s="43" t="s">
        <v>107</v>
      </c>
      <c r="D11" s="43">
        <v>0</v>
      </c>
      <c r="E11" s="43">
        <v>-30</v>
      </c>
      <c r="F11" s="43">
        <v>10</v>
      </c>
      <c r="G11" s="43">
        <v>30</v>
      </c>
      <c r="H11" s="43">
        <v>1E+30</v>
      </c>
    </row>
    <row r="12" spans="1:8" ht="15" thickBot="1" x14ac:dyDescent="0.4">
      <c r="B12" s="42" t="s">
        <v>183</v>
      </c>
      <c r="C12" s="42" t="s">
        <v>109</v>
      </c>
      <c r="D12" s="42">
        <v>0</v>
      </c>
      <c r="E12" s="42">
        <v>-5</v>
      </c>
      <c r="F12" s="42">
        <v>15</v>
      </c>
      <c r="G12" s="42">
        <v>5</v>
      </c>
      <c r="H12" s="42">
        <v>1E+30</v>
      </c>
    </row>
    <row r="14" spans="1:8" ht="15" thickBot="1" x14ac:dyDescent="0.4">
      <c r="A14" t="s">
        <v>57</v>
      </c>
    </row>
    <row r="15" spans="1:8" x14ac:dyDescent="0.35">
      <c r="B15" s="87"/>
      <c r="C15" s="87"/>
      <c r="D15" s="87" t="s">
        <v>113</v>
      </c>
      <c r="E15" s="87" t="s">
        <v>122</v>
      </c>
      <c r="F15" s="87" t="s">
        <v>124</v>
      </c>
      <c r="G15" s="87" t="s">
        <v>119</v>
      </c>
      <c r="H15" s="87" t="s">
        <v>119</v>
      </c>
    </row>
    <row r="16" spans="1:8" ht="15" thickBot="1" x14ac:dyDescent="0.4">
      <c r="B16" s="88" t="s">
        <v>96</v>
      </c>
      <c r="C16" s="88" t="s">
        <v>97</v>
      </c>
      <c r="D16" s="88" t="s">
        <v>114</v>
      </c>
      <c r="E16" s="88" t="s">
        <v>123</v>
      </c>
      <c r="F16" s="88" t="s">
        <v>125</v>
      </c>
      <c r="G16" s="88" t="s">
        <v>120</v>
      </c>
      <c r="H16" s="88" t="s">
        <v>121</v>
      </c>
    </row>
    <row r="17" spans="2:8" x14ac:dyDescent="0.35">
      <c r="B17" s="43" t="s">
        <v>184</v>
      </c>
      <c r="C17" s="43" t="s">
        <v>60</v>
      </c>
      <c r="D17" s="43">
        <v>1000</v>
      </c>
      <c r="E17" s="43">
        <v>20</v>
      </c>
      <c r="F17" s="43">
        <v>1000</v>
      </c>
      <c r="G17" s="43">
        <v>0</v>
      </c>
      <c r="H17" s="43">
        <v>1000</v>
      </c>
    </row>
    <row r="18" spans="2:8" x14ac:dyDescent="0.35">
      <c r="B18" s="43" t="s">
        <v>186</v>
      </c>
      <c r="C18" s="43" t="s">
        <v>61</v>
      </c>
      <c r="D18" s="43">
        <v>500</v>
      </c>
      <c r="E18" s="43">
        <v>0</v>
      </c>
      <c r="F18" s="43">
        <v>500</v>
      </c>
      <c r="G18" s="43">
        <v>1E+30</v>
      </c>
      <c r="H18" s="43">
        <v>0</v>
      </c>
    </row>
    <row r="19" spans="2:8" ht="15" thickBot="1" x14ac:dyDescent="0.4">
      <c r="B19" s="42" t="s">
        <v>188</v>
      </c>
      <c r="C19" s="42" t="s">
        <v>62</v>
      </c>
      <c r="D19" s="42">
        <v>500</v>
      </c>
      <c r="E19" s="42">
        <v>0</v>
      </c>
      <c r="F19" s="42">
        <v>1200</v>
      </c>
      <c r="G19" s="42">
        <v>1E+30</v>
      </c>
      <c r="H19" s="42">
        <v>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525E-FC1D-446F-8D81-3E839B2E5D05}">
  <dimension ref="A1:J16"/>
  <sheetViews>
    <sheetView showGridLines="0" workbookViewId="0">
      <selection sqref="A1:A3"/>
    </sheetView>
  </sheetViews>
  <sheetFormatPr defaultRowHeight="14.5" x14ac:dyDescent="0.35"/>
  <cols>
    <col min="1" max="1" width="2.1796875" customWidth="1"/>
    <col min="2" max="2" width="7.08984375" bestFit="1" customWidth="1"/>
    <col min="3" max="3" width="11.81640625" bestFit="1" customWidth="1"/>
    <col min="4" max="4" width="9.08984375" bestFit="1" customWidth="1"/>
    <col min="5" max="5" width="2.1796875" customWidth="1"/>
    <col min="6" max="6" width="7.90625" bestFit="1" customWidth="1"/>
    <col min="7" max="7" width="16.26953125" bestFit="1" customWidth="1"/>
    <col min="8" max="8" width="2.1796875" customWidth="1"/>
    <col min="9" max="9" width="8.1796875" bestFit="1" customWidth="1"/>
    <col min="10" max="10" width="16.26953125" bestFit="1" customWidth="1"/>
  </cols>
  <sheetData>
    <row r="1" spans="1:10" x14ac:dyDescent="0.35">
      <c r="A1" s="61" t="s">
        <v>126</v>
      </c>
    </row>
    <row r="2" spans="1:10" x14ac:dyDescent="0.35">
      <c r="A2" s="61" t="s">
        <v>86</v>
      </c>
    </row>
    <row r="3" spans="1:10" x14ac:dyDescent="0.35">
      <c r="A3" s="61" t="s">
        <v>176</v>
      </c>
    </row>
    <row r="5" spans="1:10" ht="15" thickBot="1" x14ac:dyDescent="0.4"/>
    <row r="6" spans="1:10" x14ac:dyDescent="0.35">
      <c r="B6" s="87"/>
      <c r="C6" s="87" t="s">
        <v>117</v>
      </c>
      <c r="D6" s="87"/>
    </row>
    <row r="7" spans="1:10" ht="15" thickBot="1" x14ac:dyDescent="0.4">
      <c r="B7" s="88" t="s">
        <v>96</v>
      </c>
      <c r="C7" s="88" t="s">
        <v>97</v>
      </c>
      <c r="D7" s="88" t="s">
        <v>114</v>
      </c>
    </row>
    <row r="8" spans="1:10" ht="15" thickBot="1" x14ac:dyDescent="0.4">
      <c r="B8" s="42" t="s">
        <v>178</v>
      </c>
      <c r="C8" s="42" t="s">
        <v>179</v>
      </c>
      <c r="D8" s="44">
        <v>20000</v>
      </c>
    </row>
    <row r="10" spans="1:10" ht="15" thickBot="1" x14ac:dyDescent="0.4"/>
    <row r="11" spans="1:10" x14ac:dyDescent="0.35">
      <c r="B11" s="87"/>
      <c r="C11" s="87" t="s">
        <v>127</v>
      </c>
      <c r="D11" s="87"/>
      <c r="F11" s="87" t="s">
        <v>128</v>
      </c>
      <c r="G11" s="87" t="s">
        <v>117</v>
      </c>
      <c r="I11" s="87" t="s">
        <v>131</v>
      </c>
      <c r="J11" s="87" t="s">
        <v>117</v>
      </c>
    </row>
    <row r="12" spans="1:10" ht="15" thickBot="1" x14ac:dyDescent="0.4">
      <c r="B12" s="88" t="s">
        <v>96</v>
      </c>
      <c r="C12" s="88" t="s">
        <v>97</v>
      </c>
      <c r="D12" s="88" t="s">
        <v>114</v>
      </c>
      <c r="F12" s="88" t="s">
        <v>129</v>
      </c>
      <c r="G12" s="88" t="s">
        <v>130</v>
      </c>
      <c r="I12" s="88" t="s">
        <v>129</v>
      </c>
      <c r="J12" s="88" t="s">
        <v>130</v>
      </c>
    </row>
    <row r="13" spans="1:10" x14ac:dyDescent="0.35">
      <c r="B13" s="43" t="s">
        <v>180</v>
      </c>
      <c r="C13" s="43" t="s">
        <v>58</v>
      </c>
      <c r="D13" s="45">
        <v>0</v>
      </c>
      <c r="F13" s="45">
        <v>0</v>
      </c>
      <c r="G13" s="45">
        <v>20000</v>
      </c>
      <c r="I13" s="45">
        <v>0</v>
      </c>
      <c r="J13" s="45">
        <v>20000</v>
      </c>
    </row>
    <row r="14" spans="1:10" x14ac:dyDescent="0.35">
      <c r="B14" s="43" t="s">
        <v>181</v>
      </c>
      <c r="C14" s="43" t="s">
        <v>59</v>
      </c>
      <c r="D14" s="45">
        <v>500</v>
      </c>
      <c r="F14" s="45">
        <v>0</v>
      </c>
      <c r="G14" s="45">
        <v>0</v>
      </c>
      <c r="I14" s="45">
        <v>500</v>
      </c>
      <c r="J14" s="45">
        <v>20000</v>
      </c>
    </row>
    <row r="15" spans="1:10" x14ac:dyDescent="0.35">
      <c r="B15" s="43" t="s">
        <v>182</v>
      </c>
      <c r="C15" s="43" t="s">
        <v>107</v>
      </c>
      <c r="D15" s="45">
        <v>0</v>
      </c>
      <c r="F15" s="45">
        <v>0</v>
      </c>
      <c r="G15" s="45">
        <v>20000</v>
      </c>
      <c r="I15" s="45">
        <v>0</v>
      </c>
      <c r="J15" s="45">
        <v>20000</v>
      </c>
    </row>
    <row r="16" spans="1:10" ht="15" thickBot="1" x14ac:dyDescent="0.4">
      <c r="B16" s="42" t="s">
        <v>183</v>
      </c>
      <c r="C16" s="42" t="s">
        <v>109</v>
      </c>
      <c r="D16" s="44">
        <v>0</v>
      </c>
      <c r="F16" s="44">
        <v>0</v>
      </c>
      <c r="G16" s="44">
        <v>20000</v>
      </c>
      <c r="I16" s="44">
        <v>0</v>
      </c>
      <c r="J16" s="44">
        <v>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6CEC-08C7-44DA-81BA-2ED7B5EA3160}">
  <dimension ref="A1:G31"/>
  <sheetViews>
    <sheetView showGridLines="0" workbookViewId="0">
      <selection activeCell="E22" sqref="E22"/>
    </sheetView>
  </sheetViews>
  <sheetFormatPr defaultRowHeight="14.5" x14ac:dyDescent="0.35"/>
  <cols>
    <col min="1" max="1" width="2.1796875" customWidth="1"/>
    <col min="2" max="2" width="7.08984375" bestFit="1" customWidth="1"/>
    <col min="3" max="3" width="14.54296875" bestFit="1" customWidth="1"/>
    <col min="4" max="4" width="18" bestFit="1" customWidth="1"/>
    <col min="5" max="5" width="23.26953125" bestFit="1" customWidth="1"/>
    <col min="6" max="6" width="14.6328125" bestFit="1" customWidth="1"/>
    <col min="7" max="7" width="7.08984375" bestFit="1" customWidth="1"/>
  </cols>
  <sheetData>
    <row r="1" spans="1:5" x14ac:dyDescent="0.35">
      <c r="A1" s="61" t="s">
        <v>85</v>
      </c>
    </row>
    <row r="2" spans="1:5" x14ac:dyDescent="0.35">
      <c r="A2" s="61" t="s">
        <v>86</v>
      </c>
    </row>
    <row r="3" spans="1:5" x14ac:dyDescent="0.35">
      <c r="A3" s="61" t="s">
        <v>190</v>
      </c>
    </row>
    <row r="4" spans="1:5" x14ac:dyDescent="0.35">
      <c r="A4" s="61" t="s">
        <v>87</v>
      </c>
    </row>
    <row r="5" spans="1:5" x14ac:dyDescent="0.35">
      <c r="A5" s="61" t="s">
        <v>88</v>
      </c>
    </row>
    <row r="6" spans="1:5" x14ac:dyDescent="0.35">
      <c r="A6" s="61"/>
      <c r="B6" t="s">
        <v>89</v>
      </c>
    </row>
    <row r="7" spans="1:5" x14ac:dyDescent="0.35">
      <c r="A7" s="61"/>
      <c r="B7" t="s">
        <v>90</v>
      </c>
    </row>
    <row r="8" spans="1:5" x14ac:dyDescent="0.35">
      <c r="A8" s="61"/>
      <c r="B8" t="s">
        <v>91</v>
      </c>
    </row>
    <row r="9" spans="1:5" x14ac:dyDescent="0.35">
      <c r="A9" s="61" t="s">
        <v>92</v>
      </c>
    </row>
    <row r="10" spans="1:5" x14ac:dyDescent="0.35">
      <c r="B10" t="s">
        <v>93</v>
      </c>
    </row>
    <row r="11" spans="1:5" x14ac:dyDescent="0.35">
      <c r="B11" t="s">
        <v>94</v>
      </c>
    </row>
    <row r="14" spans="1:5" ht="15" thickBot="1" x14ac:dyDescent="0.4">
      <c r="A14" t="s">
        <v>95</v>
      </c>
    </row>
    <row r="15" spans="1:5" ht="15" thickBot="1" x14ac:dyDescent="0.4">
      <c r="B15" s="86" t="s">
        <v>96</v>
      </c>
      <c r="C15" s="86" t="s">
        <v>97</v>
      </c>
      <c r="D15" s="86" t="s">
        <v>98</v>
      </c>
      <c r="E15" s="86" t="s">
        <v>99</v>
      </c>
    </row>
    <row r="16" spans="1:5" ht="15" thickBot="1" x14ac:dyDescent="0.4">
      <c r="B16" s="42" t="s">
        <v>178</v>
      </c>
      <c r="C16" s="42" t="s">
        <v>179</v>
      </c>
      <c r="D16" s="44">
        <v>20020</v>
      </c>
      <c r="E16" s="44">
        <v>20020</v>
      </c>
    </row>
    <row r="19" spans="1:7" ht="15" thickBot="1" x14ac:dyDescent="0.4">
      <c r="A19" t="s">
        <v>100</v>
      </c>
    </row>
    <row r="20" spans="1:7" ht="15" thickBot="1" x14ac:dyDescent="0.4">
      <c r="B20" s="86" t="s">
        <v>96</v>
      </c>
      <c r="C20" s="86" t="s">
        <v>97</v>
      </c>
      <c r="D20" s="86" t="s">
        <v>98</v>
      </c>
      <c r="E20" s="86" t="s">
        <v>99</v>
      </c>
      <c r="F20" s="86" t="s">
        <v>101</v>
      </c>
    </row>
    <row r="21" spans="1:7" x14ac:dyDescent="0.35">
      <c r="B21" s="43" t="s">
        <v>180</v>
      </c>
      <c r="C21" s="43" t="s">
        <v>58</v>
      </c>
      <c r="D21" s="45">
        <v>0</v>
      </c>
      <c r="E21" s="45">
        <v>0</v>
      </c>
      <c r="F21" s="43" t="s">
        <v>106</v>
      </c>
    </row>
    <row r="22" spans="1:7" x14ac:dyDescent="0.35">
      <c r="B22" s="43" t="s">
        <v>181</v>
      </c>
      <c r="C22" s="43" t="s">
        <v>59</v>
      </c>
      <c r="D22" s="45">
        <v>500.5</v>
      </c>
      <c r="E22" s="45">
        <v>500.5</v>
      </c>
      <c r="F22" s="43" t="s">
        <v>106</v>
      </c>
    </row>
    <row r="23" spans="1:7" x14ac:dyDescent="0.35">
      <c r="B23" s="43" t="s">
        <v>182</v>
      </c>
      <c r="C23" s="43" t="s">
        <v>107</v>
      </c>
      <c r="D23" s="45">
        <v>0</v>
      </c>
      <c r="E23" s="45">
        <v>0</v>
      </c>
      <c r="F23" s="43" t="s">
        <v>106</v>
      </c>
    </row>
    <row r="24" spans="1:7" ht="15" thickBot="1" x14ac:dyDescent="0.4">
      <c r="B24" s="42" t="s">
        <v>183</v>
      </c>
      <c r="C24" s="42" t="s">
        <v>109</v>
      </c>
      <c r="D24" s="44">
        <v>0</v>
      </c>
      <c r="E24" s="44">
        <v>0</v>
      </c>
      <c r="F24" s="42" t="s">
        <v>106</v>
      </c>
    </row>
    <row r="27" spans="1:7" ht="15" thickBot="1" x14ac:dyDescent="0.4">
      <c r="A27" t="s">
        <v>57</v>
      </c>
    </row>
    <row r="28" spans="1:7" ht="15" thickBot="1" x14ac:dyDescent="0.4">
      <c r="B28" s="86" t="s">
        <v>96</v>
      </c>
      <c r="C28" s="86" t="s">
        <v>97</v>
      </c>
      <c r="D28" s="86" t="s">
        <v>102</v>
      </c>
      <c r="E28" s="86" t="s">
        <v>103</v>
      </c>
      <c r="F28" s="86" t="s">
        <v>104</v>
      </c>
      <c r="G28" s="86" t="s">
        <v>105</v>
      </c>
    </row>
    <row r="29" spans="1:7" x14ac:dyDescent="0.35">
      <c r="B29" s="43" t="s">
        <v>184</v>
      </c>
      <c r="C29" s="43" t="s">
        <v>60</v>
      </c>
      <c r="D29" s="45">
        <v>1001</v>
      </c>
      <c r="E29" s="43" t="s">
        <v>185</v>
      </c>
      <c r="F29" s="43" t="s">
        <v>110</v>
      </c>
      <c r="G29" s="43">
        <v>0</v>
      </c>
    </row>
    <row r="30" spans="1:7" x14ac:dyDescent="0.35">
      <c r="B30" s="43" t="s">
        <v>186</v>
      </c>
      <c r="C30" s="43" t="s">
        <v>61</v>
      </c>
      <c r="D30" s="45">
        <v>500.5</v>
      </c>
      <c r="E30" s="43" t="s">
        <v>187</v>
      </c>
      <c r="F30" s="43" t="s">
        <v>111</v>
      </c>
      <c r="G30" s="43">
        <v>0.5</v>
      </c>
    </row>
    <row r="31" spans="1:7" ht="15" thickBot="1" x14ac:dyDescent="0.4">
      <c r="B31" s="42" t="s">
        <v>188</v>
      </c>
      <c r="C31" s="42" t="s">
        <v>62</v>
      </c>
      <c r="D31" s="44">
        <v>500.5</v>
      </c>
      <c r="E31" s="42" t="s">
        <v>189</v>
      </c>
      <c r="F31" s="42" t="s">
        <v>111</v>
      </c>
      <c r="G31" s="42">
        <v>700.5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BE7E-96E0-47C8-965F-C87EB8888C47}">
  <dimension ref="A1:H19"/>
  <sheetViews>
    <sheetView showGridLines="0" workbookViewId="0"/>
  </sheetViews>
  <sheetFormatPr defaultRowHeight="14.5" x14ac:dyDescent="0.35"/>
  <cols>
    <col min="1" max="1" width="2.1796875" customWidth="1"/>
    <col min="2" max="2" width="7.08984375" bestFit="1" customWidth="1"/>
    <col min="3" max="3" width="8.26953125" bestFit="1" customWidth="1"/>
    <col min="4" max="4" width="14.54296875" bestFit="1" customWidth="1"/>
    <col min="5" max="5" width="11.1796875" bestFit="1" customWidth="1"/>
    <col min="6" max="6" width="16.26953125" bestFit="1" customWidth="1"/>
    <col min="7" max="7" width="11.54296875" bestFit="1" customWidth="1"/>
    <col min="8" max="8" width="12.1796875" bestFit="1" customWidth="1"/>
  </cols>
  <sheetData>
    <row r="1" spans="1:8" x14ac:dyDescent="0.35">
      <c r="A1" s="61" t="s">
        <v>112</v>
      </c>
    </row>
    <row r="2" spans="1:8" x14ac:dyDescent="0.35">
      <c r="A2" s="61" t="s">
        <v>86</v>
      </c>
    </row>
    <row r="3" spans="1:8" x14ac:dyDescent="0.35">
      <c r="A3" s="61" t="s">
        <v>190</v>
      </c>
    </row>
    <row r="6" spans="1:8" ht="15" thickBot="1" x14ac:dyDescent="0.4">
      <c r="A6" t="s">
        <v>100</v>
      </c>
    </row>
    <row r="7" spans="1:8" x14ac:dyDescent="0.35">
      <c r="B7" s="87"/>
      <c r="C7" s="87"/>
      <c r="D7" s="87" t="s">
        <v>113</v>
      </c>
      <c r="E7" s="87" t="s">
        <v>115</v>
      </c>
      <c r="F7" s="87" t="s">
        <v>117</v>
      </c>
      <c r="G7" s="87" t="s">
        <v>119</v>
      </c>
      <c r="H7" s="87" t="s">
        <v>119</v>
      </c>
    </row>
    <row r="8" spans="1:8" ht="15" thickBot="1" x14ac:dyDescent="0.4">
      <c r="B8" s="88" t="s">
        <v>96</v>
      </c>
      <c r="C8" s="88" t="s">
        <v>97</v>
      </c>
      <c r="D8" s="88" t="s">
        <v>114</v>
      </c>
      <c r="E8" s="88" t="s">
        <v>116</v>
      </c>
      <c r="F8" s="88" t="s">
        <v>118</v>
      </c>
      <c r="G8" s="88" t="s">
        <v>120</v>
      </c>
      <c r="H8" s="88" t="s">
        <v>121</v>
      </c>
    </row>
    <row r="9" spans="1:8" x14ac:dyDescent="0.35">
      <c r="B9" s="43" t="s">
        <v>180</v>
      </c>
      <c r="C9" s="43" t="s">
        <v>58</v>
      </c>
      <c r="D9" s="43">
        <v>0</v>
      </c>
      <c r="E9" s="43">
        <v>-18</v>
      </c>
      <c r="F9" s="43">
        <v>2</v>
      </c>
      <c r="G9" s="43">
        <v>18</v>
      </c>
      <c r="H9" s="43">
        <v>1E+30</v>
      </c>
    </row>
    <row r="10" spans="1:8" x14ac:dyDescent="0.35">
      <c r="B10" s="43" t="s">
        <v>181</v>
      </c>
      <c r="C10" s="43" t="s">
        <v>59</v>
      </c>
      <c r="D10" s="43">
        <v>500.5</v>
      </c>
      <c r="E10" s="43">
        <v>0</v>
      </c>
      <c r="F10" s="43">
        <v>40</v>
      </c>
      <c r="G10" s="43">
        <v>1E+30</v>
      </c>
      <c r="H10" s="43">
        <v>10</v>
      </c>
    </row>
    <row r="11" spans="1:8" x14ac:dyDescent="0.35">
      <c r="B11" s="43" t="s">
        <v>182</v>
      </c>
      <c r="C11" s="43" t="s">
        <v>107</v>
      </c>
      <c r="D11" s="43">
        <v>0</v>
      </c>
      <c r="E11" s="43">
        <v>-30</v>
      </c>
      <c r="F11" s="43">
        <v>10</v>
      </c>
      <c r="G11" s="43">
        <v>30</v>
      </c>
      <c r="H11" s="43">
        <v>1E+30</v>
      </c>
    </row>
    <row r="12" spans="1:8" ht="15" thickBot="1" x14ac:dyDescent="0.4">
      <c r="B12" s="42" t="s">
        <v>183</v>
      </c>
      <c r="C12" s="42" t="s">
        <v>109</v>
      </c>
      <c r="D12" s="42">
        <v>0</v>
      </c>
      <c r="E12" s="42">
        <v>-5</v>
      </c>
      <c r="F12" s="42">
        <v>15</v>
      </c>
      <c r="G12" s="42">
        <v>5</v>
      </c>
      <c r="H12" s="42">
        <v>1E+30</v>
      </c>
    </row>
    <row r="14" spans="1:8" ht="15" thickBot="1" x14ac:dyDescent="0.4">
      <c r="A14" t="s">
        <v>57</v>
      </c>
    </row>
    <row r="15" spans="1:8" x14ac:dyDescent="0.35">
      <c r="B15" s="87"/>
      <c r="C15" s="87"/>
      <c r="D15" s="87" t="s">
        <v>113</v>
      </c>
      <c r="E15" s="87" t="s">
        <v>122</v>
      </c>
      <c r="F15" s="87" t="s">
        <v>124</v>
      </c>
      <c r="G15" s="87" t="s">
        <v>119</v>
      </c>
      <c r="H15" s="87" t="s">
        <v>119</v>
      </c>
    </row>
    <row r="16" spans="1:8" ht="15" thickBot="1" x14ac:dyDescent="0.4">
      <c r="B16" s="88" t="s">
        <v>96</v>
      </c>
      <c r="C16" s="88" t="s">
        <v>97</v>
      </c>
      <c r="D16" s="88" t="s">
        <v>114</v>
      </c>
      <c r="E16" s="88" t="s">
        <v>123</v>
      </c>
      <c r="F16" s="88" t="s">
        <v>125</v>
      </c>
      <c r="G16" s="88" t="s">
        <v>120</v>
      </c>
      <c r="H16" s="88" t="s">
        <v>121</v>
      </c>
    </row>
    <row r="17" spans="2:8" x14ac:dyDescent="0.35">
      <c r="B17" s="43" t="s">
        <v>184</v>
      </c>
      <c r="C17" s="43" t="s">
        <v>60</v>
      </c>
      <c r="D17" s="43">
        <v>1001</v>
      </c>
      <c r="E17" s="43">
        <v>20</v>
      </c>
      <c r="F17" s="43">
        <v>1001</v>
      </c>
      <c r="G17" s="43">
        <v>1</v>
      </c>
      <c r="H17" s="43">
        <v>1001</v>
      </c>
    </row>
    <row r="18" spans="2:8" x14ac:dyDescent="0.35">
      <c r="B18" s="43" t="s">
        <v>186</v>
      </c>
      <c r="C18" s="43" t="s">
        <v>61</v>
      </c>
      <c r="D18" s="43">
        <v>500.5</v>
      </c>
      <c r="E18" s="43">
        <v>0</v>
      </c>
      <c r="F18" s="43">
        <v>501</v>
      </c>
      <c r="G18" s="43">
        <v>1E+30</v>
      </c>
      <c r="H18" s="43">
        <v>0.5</v>
      </c>
    </row>
    <row r="19" spans="2:8" ht="15" thickBot="1" x14ac:dyDescent="0.4">
      <c r="B19" s="42" t="s">
        <v>188</v>
      </c>
      <c r="C19" s="42" t="s">
        <v>62</v>
      </c>
      <c r="D19" s="42">
        <v>500.5</v>
      </c>
      <c r="E19" s="42">
        <v>0</v>
      </c>
      <c r="F19" s="42">
        <v>1201</v>
      </c>
      <c r="G19" s="42">
        <v>1E+30</v>
      </c>
      <c r="H19" s="42">
        <v>700.5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topLeftCell="A20" zoomScale="87" zoomScaleNormal="85" workbookViewId="0">
      <selection activeCell="G48" sqref="G48"/>
    </sheetView>
  </sheetViews>
  <sheetFormatPr defaultColWidth="10.81640625" defaultRowHeight="15.5" x14ac:dyDescent="0.45"/>
  <cols>
    <col min="1" max="1" width="20.08984375" style="1" customWidth="1"/>
    <col min="2" max="2" width="15.90625" style="1" bestFit="1" customWidth="1"/>
    <col min="3" max="3" width="25.6328125" style="1" bestFit="1" customWidth="1"/>
    <col min="4" max="4" width="8.1796875" style="1" bestFit="1" customWidth="1"/>
    <col min="5" max="5" width="10.90625" style="1" bestFit="1" customWidth="1"/>
    <col min="6" max="6" width="18.26953125" style="1" bestFit="1" customWidth="1"/>
    <col min="7" max="7" width="5.90625" style="1" bestFit="1" customWidth="1"/>
    <col min="8" max="8" width="10.90625" style="1" bestFit="1" customWidth="1"/>
    <col min="9" max="9" width="5.1796875" style="1" bestFit="1" customWidth="1"/>
    <col min="10" max="10" width="3.36328125" style="1" bestFit="1" customWidth="1"/>
    <col min="11" max="11" width="10.81640625" style="1"/>
    <col min="12" max="12" width="22.54296875" style="1" customWidth="1"/>
    <col min="13" max="16384" width="10.81640625" style="1"/>
  </cols>
  <sheetData>
    <row r="1" spans="1:9" s="116" customFormat="1" x14ac:dyDescent="0.45">
      <c r="A1" s="116" t="s">
        <v>38</v>
      </c>
    </row>
    <row r="3" spans="1:9" x14ac:dyDescent="0.45">
      <c r="A3" s="127" t="s">
        <v>0</v>
      </c>
      <c r="B3" s="127" t="s">
        <v>37</v>
      </c>
      <c r="C3" s="129" t="s">
        <v>71</v>
      </c>
      <c r="D3" s="130"/>
      <c r="E3" s="130"/>
      <c r="F3" s="131"/>
      <c r="G3" s="56"/>
      <c r="H3" s="56"/>
      <c r="I3" s="50"/>
    </row>
    <row r="4" spans="1:9" x14ac:dyDescent="0.45">
      <c r="A4" s="128"/>
      <c r="B4" s="128"/>
      <c r="C4" s="2" t="s">
        <v>70</v>
      </c>
      <c r="D4" s="2" t="s">
        <v>1</v>
      </c>
      <c r="E4" s="2" t="s">
        <v>72</v>
      </c>
      <c r="F4" s="2" t="s">
        <v>73</v>
      </c>
      <c r="G4" s="56"/>
      <c r="H4" s="56"/>
      <c r="I4" s="50"/>
    </row>
    <row r="5" spans="1:9" x14ac:dyDescent="0.45">
      <c r="A5" s="8" t="s">
        <v>34</v>
      </c>
      <c r="B5" s="3">
        <v>1000</v>
      </c>
      <c r="C5" s="3">
        <v>1</v>
      </c>
      <c r="D5" s="4">
        <v>2</v>
      </c>
      <c r="E5" s="4">
        <v>2</v>
      </c>
      <c r="F5" s="56">
        <v>1</v>
      </c>
      <c r="G5" s="56"/>
      <c r="H5" s="56"/>
      <c r="I5" s="50"/>
    </row>
    <row r="6" spans="1:9" x14ac:dyDescent="0.45">
      <c r="A6" s="8" t="s">
        <v>35</v>
      </c>
      <c r="B6" s="5">
        <v>500</v>
      </c>
      <c r="C6" s="5">
        <v>2</v>
      </c>
      <c r="D6" s="4">
        <v>1</v>
      </c>
      <c r="E6" s="1">
        <v>0</v>
      </c>
      <c r="F6" s="38">
        <v>0</v>
      </c>
      <c r="G6" s="38"/>
      <c r="H6" s="38"/>
    </row>
    <row r="7" spans="1:9" x14ac:dyDescent="0.45">
      <c r="A7" s="8" t="s">
        <v>36</v>
      </c>
      <c r="B7" s="6">
        <v>1200</v>
      </c>
      <c r="C7" s="6">
        <v>0</v>
      </c>
      <c r="D7" s="4">
        <v>1</v>
      </c>
      <c r="E7" s="1">
        <v>4</v>
      </c>
      <c r="F7" s="1">
        <v>1</v>
      </c>
    </row>
    <row r="8" spans="1:9" x14ac:dyDescent="0.45">
      <c r="A8" s="132" t="s">
        <v>39</v>
      </c>
      <c r="B8" s="132"/>
      <c r="C8" s="7">
        <v>2</v>
      </c>
      <c r="D8" s="7">
        <v>40</v>
      </c>
      <c r="E8" s="1">
        <v>10</v>
      </c>
      <c r="F8" s="1">
        <v>15</v>
      </c>
    </row>
    <row r="10" spans="1:9" x14ac:dyDescent="0.45">
      <c r="A10" s="11" t="s">
        <v>74</v>
      </c>
    </row>
    <row r="11" spans="1:9" x14ac:dyDescent="0.45">
      <c r="A11" s="11" t="s">
        <v>75</v>
      </c>
    </row>
    <row r="12" spans="1:9" x14ac:dyDescent="0.45">
      <c r="A12" s="11" t="s">
        <v>76</v>
      </c>
    </row>
    <row r="13" spans="1:9" x14ac:dyDescent="0.45">
      <c r="A13" s="11" t="s">
        <v>77</v>
      </c>
    </row>
    <row r="15" spans="1:9" s="116" customFormat="1" x14ac:dyDescent="0.45">
      <c r="A15" s="116" t="s">
        <v>40</v>
      </c>
    </row>
    <row r="17" spans="1:7" ht="31.75" customHeight="1" x14ac:dyDescent="0.45">
      <c r="A17" s="12" t="s">
        <v>41</v>
      </c>
      <c r="B17" s="13">
        <v>2</v>
      </c>
      <c r="C17" s="13">
        <v>40</v>
      </c>
      <c r="D17" s="9">
        <v>10</v>
      </c>
      <c r="E17" s="9">
        <v>15</v>
      </c>
      <c r="F17" s="9" t="s">
        <v>2</v>
      </c>
      <c r="G17" s="9"/>
    </row>
    <row r="18" spans="1:7" x14ac:dyDescent="0.45">
      <c r="A18" s="14" t="s">
        <v>23</v>
      </c>
      <c r="B18" s="9" t="s">
        <v>3</v>
      </c>
      <c r="C18" s="9" t="s">
        <v>4</v>
      </c>
      <c r="D18" s="9" t="s">
        <v>14</v>
      </c>
      <c r="E18" s="9" t="s">
        <v>16</v>
      </c>
      <c r="F18" s="9" t="s">
        <v>5</v>
      </c>
      <c r="G18" s="9" t="s">
        <v>6</v>
      </c>
    </row>
    <row r="19" spans="1:7" x14ac:dyDescent="0.45">
      <c r="A19" s="9" t="s">
        <v>7</v>
      </c>
      <c r="B19" s="13">
        <v>1</v>
      </c>
      <c r="C19" s="13">
        <v>2</v>
      </c>
      <c r="D19" s="9">
        <v>2</v>
      </c>
      <c r="E19" s="13">
        <v>1</v>
      </c>
      <c r="F19" s="9" t="s">
        <v>33</v>
      </c>
      <c r="G19" s="13">
        <v>1000</v>
      </c>
    </row>
    <row r="20" spans="1:7" x14ac:dyDescent="0.45">
      <c r="A20" s="9" t="s">
        <v>9</v>
      </c>
      <c r="B20" s="13">
        <v>2</v>
      </c>
      <c r="C20" s="13">
        <v>1</v>
      </c>
      <c r="D20" s="9">
        <v>0</v>
      </c>
      <c r="E20" s="13">
        <v>0</v>
      </c>
      <c r="F20" s="9" t="s">
        <v>33</v>
      </c>
      <c r="G20" s="13">
        <v>500</v>
      </c>
    </row>
    <row r="21" spans="1:7" x14ac:dyDescent="0.45">
      <c r="A21" s="9" t="s">
        <v>10</v>
      </c>
      <c r="B21" s="13">
        <v>0</v>
      </c>
      <c r="C21" s="13">
        <v>1</v>
      </c>
      <c r="D21" s="9">
        <v>4</v>
      </c>
      <c r="E21" s="13">
        <v>1</v>
      </c>
      <c r="F21" s="9" t="s">
        <v>33</v>
      </c>
      <c r="G21" s="13">
        <v>1200</v>
      </c>
    </row>
    <row r="22" spans="1:7" x14ac:dyDescent="0.45">
      <c r="A22" s="9"/>
      <c r="B22" s="9" t="s">
        <v>11</v>
      </c>
      <c r="C22" s="9" t="s">
        <v>12</v>
      </c>
      <c r="D22" s="9" t="s">
        <v>79</v>
      </c>
      <c r="E22" s="9" t="s">
        <v>78</v>
      </c>
      <c r="F22" s="9"/>
      <c r="G22" s="9"/>
    </row>
    <row r="23" spans="1:7" x14ac:dyDescent="0.45">
      <c r="A23" s="1" t="s">
        <v>80</v>
      </c>
    </row>
    <row r="24" spans="1:7" x14ac:dyDescent="0.45">
      <c r="A24" s="15" t="s">
        <v>83</v>
      </c>
      <c r="B24" s="11"/>
    </row>
    <row r="25" spans="1:7" x14ac:dyDescent="0.45">
      <c r="A25" s="15" t="s">
        <v>81</v>
      </c>
    </row>
    <row r="26" spans="1:7" x14ac:dyDescent="0.45">
      <c r="A26" s="15" t="s">
        <v>82</v>
      </c>
    </row>
    <row r="27" spans="1:7" x14ac:dyDescent="0.45">
      <c r="A27" s="15" t="s">
        <v>84</v>
      </c>
    </row>
    <row r="28" spans="1:7" s="121" customFormat="1" x14ac:dyDescent="0.45">
      <c r="A28" s="121" t="s">
        <v>42</v>
      </c>
    </row>
    <row r="31" spans="1:7" s="117" customFormat="1" x14ac:dyDescent="0.45">
      <c r="A31" s="117" t="s">
        <v>43</v>
      </c>
    </row>
    <row r="32" spans="1:7" ht="16" thickBot="1" x14ac:dyDescent="0.5"/>
    <row r="33" spans="1:29" ht="16.25" customHeight="1" x14ac:dyDescent="0.45">
      <c r="A33" s="124" t="s">
        <v>18</v>
      </c>
      <c r="B33" s="122" t="s">
        <v>19</v>
      </c>
      <c r="C33" s="122" t="s">
        <v>44</v>
      </c>
      <c r="D33" s="122" t="s">
        <v>20</v>
      </c>
      <c r="E33" s="18" t="s">
        <v>3</v>
      </c>
      <c r="F33" s="18" t="s">
        <v>4</v>
      </c>
      <c r="G33" s="18" t="s">
        <v>14</v>
      </c>
      <c r="H33" s="18" t="s">
        <v>16</v>
      </c>
      <c r="I33" s="54" t="s">
        <v>17</v>
      </c>
      <c r="J33" s="65" t="s">
        <v>152</v>
      </c>
      <c r="K33" s="66" t="s">
        <v>153</v>
      </c>
      <c r="L33" s="98" t="s">
        <v>21</v>
      </c>
      <c r="U33" s="51"/>
    </row>
    <row r="34" spans="1:29" ht="16" thickBot="1" x14ac:dyDescent="0.5">
      <c r="A34" s="125"/>
      <c r="B34" s="123"/>
      <c r="C34" s="123"/>
      <c r="D34" s="123"/>
      <c r="E34" s="19">
        <v>2</v>
      </c>
      <c r="F34" s="19">
        <v>40</v>
      </c>
      <c r="G34" s="19">
        <v>10</v>
      </c>
      <c r="H34" s="19">
        <v>15</v>
      </c>
      <c r="I34" s="64">
        <v>0</v>
      </c>
      <c r="J34" s="67">
        <v>0</v>
      </c>
      <c r="K34" s="16">
        <v>0</v>
      </c>
      <c r="L34" s="99"/>
    </row>
    <row r="35" spans="1:29" x14ac:dyDescent="0.45">
      <c r="A35" s="111">
        <v>0</v>
      </c>
      <c r="B35" s="26" t="s">
        <v>17</v>
      </c>
      <c r="C35" s="27">
        <v>0</v>
      </c>
      <c r="D35" s="78">
        <v>1000</v>
      </c>
      <c r="E35" s="79">
        <v>1</v>
      </c>
      <c r="F35" s="74">
        <v>2</v>
      </c>
      <c r="G35" s="79">
        <v>2</v>
      </c>
      <c r="H35" s="79">
        <v>1</v>
      </c>
      <c r="I35" s="80">
        <v>1</v>
      </c>
      <c r="J35" s="81">
        <v>0</v>
      </c>
      <c r="K35" s="82">
        <v>0</v>
      </c>
      <c r="L35" s="53" t="s">
        <v>156</v>
      </c>
    </row>
    <row r="36" spans="1:29" x14ac:dyDescent="0.45">
      <c r="A36" s="111"/>
      <c r="B36" s="28" t="s">
        <v>152</v>
      </c>
      <c r="C36" s="29">
        <v>0</v>
      </c>
      <c r="D36" s="23">
        <v>500</v>
      </c>
      <c r="E36" s="10">
        <v>2</v>
      </c>
      <c r="F36" s="75">
        <v>1</v>
      </c>
      <c r="G36" s="10">
        <v>0</v>
      </c>
      <c r="H36" s="10">
        <v>0</v>
      </c>
      <c r="I36" s="31">
        <v>0</v>
      </c>
      <c r="J36" s="68">
        <v>1</v>
      </c>
      <c r="K36" s="9">
        <v>0</v>
      </c>
      <c r="L36" s="69" t="s">
        <v>157</v>
      </c>
    </row>
    <row r="37" spans="1:29" ht="16" thickBot="1" x14ac:dyDescent="0.5">
      <c r="A37" s="111"/>
      <c r="B37" s="28" t="s">
        <v>153</v>
      </c>
      <c r="C37" s="29">
        <v>0</v>
      </c>
      <c r="D37" s="24">
        <v>1200</v>
      </c>
      <c r="E37" s="34">
        <v>0</v>
      </c>
      <c r="F37" s="37">
        <v>1</v>
      </c>
      <c r="G37" s="34">
        <v>4</v>
      </c>
      <c r="H37" s="34">
        <v>1</v>
      </c>
      <c r="I37" s="35">
        <v>0</v>
      </c>
      <c r="J37" s="68">
        <v>0</v>
      </c>
      <c r="K37" s="9">
        <v>1</v>
      </c>
      <c r="L37" s="69" t="s">
        <v>158</v>
      </c>
    </row>
    <row r="38" spans="1:29" x14ac:dyDescent="0.45">
      <c r="A38" s="111"/>
      <c r="B38" s="113" t="s">
        <v>22</v>
      </c>
      <c r="C38" s="114"/>
      <c r="D38" s="26" t="s">
        <v>49</v>
      </c>
      <c r="E38" s="70" t="s">
        <v>50</v>
      </c>
      <c r="F38" s="76" t="s">
        <v>51</v>
      </c>
      <c r="G38" s="70" t="s">
        <v>52</v>
      </c>
      <c r="H38" s="70" t="s">
        <v>53</v>
      </c>
      <c r="I38" s="71" t="s">
        <v>54</v>
      </c>
      <c r="J38" s="22" t="s">
        <v>154</v>
      </c>
      <c r="K38" s="17" t="s">
        <v>155</v>
      </c>
      <c r="L38" s="100"/>
      <c r="O38" s="1" t="s">
        <v>140</v>
      </c>
      <c r="P38" s="1" t="s">
        <v>13</v>
      </c>
      <c r="Q38" s="1" t="s">
        <v>141</v>
      </c>
      <c r="R38" s="1" t="s">
        <v>13</v>
      </c>
      <c r="S38" s="1" t="s">
        <v>142</v>
      </c>
      <c r="T38" s="1" t="s">
        <v>13</v>
      </c>
      <c r="U38" s="1" t="s">
        <v>143</v>
      </c>
      <c r="V38" s="1" t="s">
        <v>13</v>
      </c>
      <c r="W38" s="1" t="s">
        <v>45</v>
      </c>
      <c r="X38" s="1" t="s">
        <v>13</v>
      </c>
      <c r="Y38" s="1" t="s">
        <v>144</v>
      </c>
      <c r="Z38" s="1" t="s">
        <v>13</v>
      </c>
      <c r="AA38" s="1" t="s">
        <v>145</v>
      </c>
    </row>
    <row r="39" spans="1:29" ht="16" thickBot="1" x14ac:dyDescent="0.5">
      <c r="A39" s="111"/>
      <c r="B39" s="111"/>
      <c r="C39" s="126"/>
      <c r="D39" s="36">
        <v>0</v>
      </c>
      <c r="E39" s="72">
        <v>-2</v>
      </c>
      <c r="F39" s="77">
        <v>-40</v>
      </c>
      <c r="G39" s="72">
        <v>-10</v>
      </c>
      <c r="H39" s="72">
        <v>-15</v>
      </c>
      <c r="I39" s="73">
        <v>0</v>
      </c>
      <c r="J39" s="62">
        <v>0</v>
      </c>
      <c r="K39" s="17">
        <v>0</v>
      </c>
      <c r="L39" s="101"/>
      <c r="O39" s="1" t="s">
        <v>146</v>
      </c>
      <c r="P39" s="1" t="s">
        <v>13</v>
      </c>
      <c r="Q39" s="1" t="s">
        <v>147</v>
      </c>
      <c r="R39" s="1" t="s">
        <v>13</v>
      </c>
      <c r="S39" s="1" t="s">
        <v>148</v>
      </c>
      <c r="T39" s="1" t="s">
        <v>13</v>
      </c>
      <c r="U39" s="1" t="s">
        <v>47</v>
      </c>
      <c r="V39" s="1" t="s">
        <v>13</v>
      </c>
      <c r="W39" s="1" t="s">
        <v>48</v>
      </c>
      <c r="AB39" s="1" t="s">
        <v>15</v>
      </c>
      <c r="AC39" s="1">
        <v>1000</v>
      </c>
    </row>
    <row r="40" spans="1:29" x14ac:dyDescent="0.45">
      <c r="A40" s="110">
        <v>1</v>
      </c>
      <c r="B40" s="26" t="s">
        <v>4</v>
      </c>
      <c r="C40" s="27">
        <v>40</v>
      </c>
      <c r="D40" s="25">
        <v>500</v>
      </c>
      <c r="E40" s="21" t="s">
        <v>159</v>
      </c>
      <c r="F40" s="21">
        <v>1</v>
      </c>
      <c r="G40" s="21">
        <v>1</v>
      </c>
      <c r="H40" s="21" t="s">
        <v>159</v>
      </c>
      <c r="I40" s="30" t="s">
        <v>159</v>
      </c>
      <c r="J40" s="32">
        <v>0</v>
      </c>
      <c r="K40" s="17">
        <v>0</v>
      </c>
      <c r="L40" s="32"/>
      <c r="O40" s="1" t="s">
        <v>140</v>
      </c>
      <c r="P40" s="1" t="s">
        <v>13</v>
      </c>
      <c r="Q40" s="1" t="s">
        <v>46</v>
      </c>
      <c r="X40" s="1" t="s">
        <v>13</v>
      </c>
      <c r="Y40" s="1" t="s">
        <v>150</v>
      </c>
      <c r="AB40" s="1" t="s">
        <v>15</v>
      </c>
      <c r="AC40" s="1">
        <v>500</v>
      </c>
    </row>
    <row r="41" spans="1:29" x14ac:dyDescent="0.45">
      <c r="A41" s="111"/>
      <c r="B41" s="28" t="s">
        <v>152</v>
      </c>
      <c r="C41" s="29">
        <v>0</v>
      </c>
      <c r="D41" s="23">
        <v>0</v>
      </c>
      <c r="E41" s="85">
        <v>1.5</v>
      </c>
      <c r="F41" s="83">
        <v>1</v>
      </c>
      <c r="G41" s="10">
        <v>-1</v>
      </c>
      <c r="H41" s="10">
        <v>-0.5</v>
      </c>
      <c r="I41" s="31">
        <v>-0.5</v>
      </c>
      <c r="J41" s="68">
        <v>1</v>
      </c>
      <c r="K41" s="9">
        <v>0</v>
      </c>
      <c r="L41" s="33"/>
      <c r="Q41" s="1" t="s">
        <v>46</v>
      </c>
      <c r="R41" s="1" t="s">
        <v>13</v>
      </c>
      <c r="S41" s="1" t="s">
        <v>149</v>
      </c>
      <c r="T41" s="1" t="s">
        <v>13</v>
      </c>
      <c r="U41" s="1" t="s">
        <v>47</v>
      </c>
      <c r="Z41" s="1" t="s">
        <v>13</v>
      </c>
      <c r="AA41" s="1" t="s">
        <v>151</v>
      </c>
      <c r="AB41" s="1" t="s">
        <v>15</v>
      </c>
      <c r="AC41" s="1">
        <v>1200</v>
      </c>
    </row>
    <row r="42" spans="1:29" ht="16" thickBot="1" x14ac:dyDescent="0.5">
      <c r="A42" s="111"/>
      <c r="B42" s="28" t="s">
        <v>153</v>
      </c>
      <c r="C42" s="29">
        <v>0</v>
      </c>
      <c r="D42" s="24">
        <v>700</v>
      </c>
      <c r="E42" s="34">
        <v>-0.5</v>
      </c>
      <c r="F42" s="84">
        <v>0</v>
      </c>
      <c r="G42" s="34">
        <v>3</v>
      </c>
      <c r="H42" s="34" t="s">
        <v>159</v>
      </c>
      <c r="I42" s="35">
        <v>-0.5</v>
      </c>
      <c r="J42" s="68">
        <v>0</v>
      </c>
      <c r="K42" s="9">
        <v>1</v>
      </c>
      <c r="L42" s="33"/>
    </row>
    <row r="43" spans="1:29" x14ac:dyDescent="0.45">
      <c r="A43" s="111"/>
      <c r="B43" s="113" t="s">
        <v>22</v>
      </c>
      <c r="C43" s="114"/>
      <c r="D43" s="26" t="s">
        <v>49</v>
      </c>
      <c r="E43" s="70" t="s">
        <v>50</v>
      </c>
      <c r="F43" s="70" t="s">
        <v>51</v>
      </c>
      <c r="G43" s="70" t="s">
        <v>52</v>
      </c>
      <c r="H43" s="70" t="s">
        <v>53</v>
      </c>
      <c r="I43" s="71" t="s">
        <v>54</v>
      </c>
      <c r="J43" s="22" t="s">
        <v>154</v>
      </c>
      <c r="K43" s="55" t="s">
        <v>155</v>
      </c>
      <c r="L43" s="100"/>
    </row>
    <row r="44" spans="1:29" ht="16" thickBot="1" x14ac:dyDescent="0.5">
      <c r="A44" s="112"/>
      <c r="B44" s="112"/>
      <c r="C44" s="115"/>
      <c r="D44" s="36">
        <v>20000</v>
      </c>
      <c r="E44" s="72">
        <v>18</v>
      </c>
      <c r="F44" s="72">
        <v>0</v>
      </c>
      <c r="G44" s="72">
        <v>30</v>
      </c>
      <c r="H44" s="72">
        <v>5</v>
      </c>
      <c r="I44" s="73">
        <v>20</v>
      </c>
      <c r="J44" s="63">
        <v>0</v>
      </c>
      <c r="K44" s="17">
        <v>0</v>
      </c>
      <c r="L44" s="102"/>
    </row>
    <row r="46" spans="1:29" x14ac:dyDescent="0.45">
      <c r="A46" s="1" t="s">
        <v>55</v>
      </c>
    </row>
    <row r="47" spans="1:29" x14ac:dyDescent="0.45">
      <c r="A47" s="1" t="s">
        <v>160</v>
      </c>
    </row>
    <row r="48" spans="1:29" x14ac:dyDescent="0.45">
      <c r="A48" s="1" t="s">
        <v>161</v>
      </c>
    </row>
    <row r="49" spans="1:10" x14ac:dyDescent="0.45">
      <c r="A49" s="1" t="s">
        <v>191</v>
      </c>
    </row>
    <row r="50" spans="1:10" s="117" customFormat="1" x14ac:dyDescent="0.45">
      <c r="A50" s="117" t="s">
        <v>56</v>
      </c>
    </row>
    <row r="51" spans="1:10" ht="16" thickBot="1" x14ac:dyDescent="0.5">
      <c r="A51" s="49"/>
      <c r="B51" s="49"/>
      <c r="C51" s="49"/>
      <c r="D51" s="49"/>
      <c r="E51" s="49"/>
      <c r="F51" s="49"/>
      <c r="G51" s="55"/>
      <c r="H51" s="55"/>
    </row>
    <row r="52" spans="1:10" x14ac:dyDescent="0.45">
      <c r="A52" s="48" t="s">
        <v>24</v>
      </c>
      <c r="B52" s="18" t="s">
        <v>3</v>
      </c>
      <c r="C52" s="18" t="s">
        <v>4</v>
      </c>
      <c r="D52" s="20" t="s">
        <v>14</v>
      </c>
      <c r="E52" s="20" t="s">
        <v>16</v>
      </c>
      <c r="F52" s="57"/>
      <c r="G52" s="52"/>
      <c r="H52" s="52"/>
      <c r="I52" s="57"/>
      <c r="J52" s="58"/>
    </row>
    <row r="53" spans="1:10" x14ac:dyDescent="0.45">
      <c r="A53" s="39" t="s">
        <v>25</v>
      </c>
      <c r="B53" s="10">
        <v>0</v>
      </c>
      <c r="C53" s="10">
        <v>500.5</v>
      </c>
      <c r="D53" s="7">
        <v>0</v>
      </c>
      <c r="E53" s="7">
        <v>0</v>
      </c>
      <c r="F53" s="49"/>
      <c r="G53" s="55"/>
      <c r="H53" s="55"/>
      <c r="I53" s="49"/>
      <c r="J53" s="46"/>
    </row>
    <row r="54" spans="1:10" ht="16" thickBot="1" x14ac:dyDescent="0.5">
      <c r="A54" s="39" t="s">
        <v>26</v>
      </c>
      <c r="B54" s="7">
        <v>2</v>
      </c>
      <c r="C54" s="7">
        <v>40</v>
      </c>
      <c r="D54" s="7">
        <v>10</v>
      </c>
      <c r="E54" s="7">
        <v>15</v>
      </c>
      <c r="F54" s="49">
        <f>SUMPRODUCT(B$53:E$53,B54:E54)</f>
        <v>20020</v>
      </c>
      <c r="G54" s="118" t="s">
        <v>27</v>
      </c>
      <c r="H54" s="119"/>
      <c r="I54" s="119"/>
      <c r="J54" s="120"/>
    </row>
    <row r="55" spans="1:10" ht="16" thickBot="1" x14ac:dyDescent="0.5">
      <c r="A55" s="92" t="s">
        <v>57</v>
      </c>
      <c r="B55" s="93"/>
      <c r="C55" s="93"/>
      <c r="D55" s="93"/>
      <c r="E55" s="93"/>
      <c r="F55" s="93"/>
      <c r="G55" s="93"/>
      <c r="H55" s="94"/>
      <c r="I55" s="49"/>
      <c r="J55" s="46"/>
    </row>
    <row r="56" spans="1:10" x14ac:dyDescent="0.45">
      <c r="A56" s="41" t="s">
        <v>28</v>
      </c>
      <c r="B56" s="103"/>
      <c r="C56" s="104"/>
      <c r="D56" s="49"/>
      <c r="E56" s="49"/>
      <c r="F56" s="49" t="s">
        <v>29</v>
      </c>
      <c r="G56" s="55" t="s">
        <v>30</v>
      </c>
      <c r="H56" s="55" t="s">
        <v>31</v>
      </c>
      <c r="I56" s="49"/>
      <c r="J56" s="46"/>
    </row>
    <row r="57" spans="1:10" x14ac:dyDescent="0.45">
      <c r="A57" s="39" t="s">
        <v>34</v>
      </c>
      <c r="B57" s="7">
        <v>1</v>
      </c>
      <c r="C57" s="7">
        <v>2</v>
      </c>
      <c r="D57" s="7">
        <v>2</v>
      </c>
      <c r="E57" s="7">
        <v>1</v>
      </c>
      <c r="F57" s="7">
        <f>SUMPRODUCT(B$53:E$53,B57:E57)</f>
        <v>1001</v>
      </c>
      <c r="G57" s="9" t="s">
        <v>8</v>
      </c>
      <c r="H57" s="9">
        <v>1001</v>
      </c>
      <c r="I57" s="49"/>
      <c r="J57" s="46"/>
    </row>
    <row r="58" spans="1:10" x14ac:dyDescent="0.45">
      <c r="A58" s="39" t="s">
        <v>35</v>
      </c>
      <c r="B58" s="7">
        <v>2</v>
      </c>
      <c r="C58" s="7">
        <v>1</v>
      </c>
      <c r="D58" s="7">
        <v>0</v>
      </c>
      <c r="E58" s="7">
        <v>0</v>
      </c>
      <c r="F58" s="7">
        <f t="shared" ref="F58:F59" si="0">SUMPRODUCT(B$53:E$53,B58:E58)</f>
        <v>500.5</v>
      </c>
      <c r="G58" s="9" t="s">
        <v>8</v>
      </c>
      <c r="H58" s="9">
        <v>501</v>
      </c>
      <c r="I58" s="49"/>
      <c r="J58" s="46"/>
    </row>
    <row r="59" spans="1:10" ht="16" thickBot="1" x14ac:dyDescent="0.5">
      <c r="A59" s="36" t="s">
        <v>36</v>
      </c>
      <c r="B59" s="19">
        <v>0</v>
      </c>
      <c r="C59" s="19">
        <v>1</v>
      </c>
      <c r="D59" s="19">
        <v>4</v>
      </c>
      <c r="E59" s="19">
        <v>1</v>
      </c>
      <c r="F59" s="19">
        <f t="shared" si="0"/>
        <v>500.5</v>
      </c>
      <c r="G59" s="59" t="s">
        <v>8</v>
      </c>
      <c r="H59" s="59">
        <v>1201</v>
      </c>
      <c r="I59" s="60"/>
      <c r="J59" s="47"/>
    </row>
    <row r="60" spans="1:10" ht="16" thickBot="1" x14ac:dyDescent="0.5">
      <c r="A60" s="49"/>
      <c r="B60" s="49"/>
      <c r="C60" s="49"/>
      <c r="D60" s="49"/>
      <c r="E60" s="49"/>
      <c r="F60" s="49"/>
      <c r="G60" s="55"/>
      <c r="H60" s="55"/>
    </row>
    <row r="61" spans="1:10" ht="16" thickBot="1" x14ac:dyDescent="0.5">
      <c r="A61" s="92" t="s">
        <v>23</v>
      </c>
      <c r="B61" s="93"/>
      <c r="C61" s="93"/>
      <c r="D61" s="93"/>
      <c r="E61" s="93"/>
      <c r="F61" s="93"/>
      <c r="G61" s="93"/>
      <c r="H61" s="94"/>
    </row>
    <row r="62" spans="1:10" x14ac:dyDescent="0.45">
      <c r="A62" s="48" t="s">
        <v>24</v>
      </c>
      <c r="B62" s="20" t="s">
        <v>7</v>
      </c>
      <c r="C62" s="20" t="s">
        <v>9</v>
      </c>
      <c r="D62" s="20" t="s">
        <v>10</v>
      </c>
      <c r="E62" s="105"/>
      <c r="F62" s="106"/>
      <c r="G62" s="106"/>
      <c r="H62" s="107"/>
    </row>
    <row r="63" spans="1:10" x14ac:dyDescent="0.45">
      <c r="A63" s="39" t="s">
        <v>25</v>
      </c>
      <c r="B63" s="10">
        <v>20</v>
      </c>
      <c r="C63" s="10">
        <v>0</v>
      </c>
      <c r="D63" s="10">
        <v>0</v>
      </c>
      <c r="E63" s="103"/>
      <c r="F63" s="108"/>
      <c r="G63" s="108"/>
      <c r="H63" s="109"/>
    </row>
    <row r="64" spans="1:10" ht="16" thickBot="1" x14ac:dyDescent="0.5">
      <c r="A64" s="36" t="s">
        <v>26</v>
      </c>
      <c r="B64" s="19">
        <v>1000</v>
      </c>
      <c r="C64" s="19">
        <v>500</v>
      </c>
      <c r="D64" s="19">
        <v>1200</v>
      </c>
      <c r="E64" s="40">
        <f>SUMPRODUCT(B$63:D$63,B64:D64)</f>
        <v>20000</v>
      </c>
      <c r="F64" s="89" t="s">
        <v>32</v>
      </c>
      <c r="G64" s="90"/>
      <c r="H64" s="91"/>
    </row>
    <row r="65" spans="1:8" ht="16" thickBot="1" x14ac:dyDescent="0.5">
      <c r="A65" s="92" t="s">
        <v>57</v>
      </c>
      <c r="B65" s="93"/>
      <c r="C65" s="93"/>
      <c r="D65" s="93"/>
      <c r="E65" s="93"/>
      <c r="F65" s="93"/>
      <c r="G65" s="93"/>
      <c r="H65" s="94"/>
    </row>
    <row r="66" spans="1:8" x14ac:dyDescent="0.45">
      <c r="A66" s="41" t="s">
        <v>28</v>
      </c>
      <c r="B66" s="95"/>
      <c r="C66" s="96"/>
      <c r="D66" s="97"/>
      <c r="E66" s="6" t="s">
        <v>29</v>
      </c>
      <c r="F66" s="6" t="s">
        <v>30</v>
      </c>
      <c r="G66" s="6" t="s">
        <v>31</v>
      </c>
      <c r="H66" s="46"/>
    </row>
    <row r="67" spans="1:8" ht="16" thickBot="1" x14ac:dyDescent="0.5">
      <c r="A67" s="39" t="s">
        <v>66</v>
      </c>
      <c r="B67" s="7">
        <v>1</v>
      </c>
      <c r="C67" s="7">
        <v>2</v>
      </c>
      <c r="D67" s="7">
        <v>0</v>
      </c>
      <c r="E67" s="40">
        <f>SUMPRODUCT(B$63:D$63,B67:D67)</f>
        <v>20</v>
      </c>
      <c r="F67" s="7" t="s">
        <v>33</v>
      </c>
      <c r="G67" s="7">
        <v>2</v>
      </c>
      <c r="H67" s="46"/>
    </row>
    <row r="68" spans="1:8" ht="16" thickBot="1" x14ac:dyDescent="0.5">
      <c r="A68" s="36" t="s">
        <v>67</v>
      </c>
      <c r="B68" s="19">
        <v>2</v>
      </c>
      <c r="C68" s="19">
        <v>1</v>
      </c>
      <c r="D68" s="19">
        <v>1</v>
      </c>
      <c r="E68" s="40">
        <f t="shared" ref="E68:E70" si="1">SUMPRODUCT(B$63:D$63,B68:D68)</f>
        <v>40</v>
      </c>
      <c r="F68" s="19" t="s">
        <v>33</v>
      </c>
      <c r="G68" s="19">
        <v>40</v>
      </c>
      <c r="H68" s="47"/>
    </row>
    <row r="69" spans="1:8" ht="16" thickBot="1" x14ac:dyDescent="0.5">
      <c r="A69" s="36" t="s">
        <v>132</v>
      </c>
      <c r="B69" s="19">
        <v>2</v>
      </c>
      <c r="C69" s="19">
        <v>0</v>
      </c>
      <c r="D69" s="19">
        <v>4</v>
      </c>
      <c r="E69" s="40">
        <f t="shared" si="1"/>
        <v>40</v>
      </c>
      <c r="F69" s="19" t="s">
        <v>33</v>
      </c>
      <c r="G69" s="19">
        <v>10</v>
      </c>
      <c r="H69" s="47"/>
    </row>
    <row r="70" spans="1:8" ht="16" thickBot="1" x14ac:dyDescent="0.5">
      <c r="A70" s="36" t="s">
        <v>133</v>
      </c>
      <c r="B70" s="19">
        <v>1</v>
      </c>
      <c r="C70" s="19">
        <v>0</v>
      </c>
      <c r="D70" s="19">
        <v>1</v>
      </c>
      <c r="E70" s="40">
        <f t="shared" si="1"/>
        <v>20</v>
      </c>
      <c r="F70" s="19" t="s">
        <v>33</v>
      </c>
      <c r="G70" s="19">
        <v>15</v>
      </c>
      <c r="H70" s="47"/>
    </row>
    <row r="71" spans="1:8" x14ac:dyDescent="0.45">
      <c r="A71" s="49"/>
      <c r="B71" s="49"/>
      <c r="C71" s="49"/>
      <c r="D71" s="49"/>
      <c r="E71" s="49"/>
      <c r="F71" s="49"/>
      <c r="G71" s="55"/>
      <c r="H71" s="55"/>
    </row>
    <row r="72" spans="1:8" x14ac:dyDescent="0.45">
      <c r="A72" s="49"/>
      <c r="B72" s="49"/>
      <c r="C72" s="49"/>
      <c r="D72" s="49"/>
      <c r="E72" s="49"/>
      <c r="F72" s="49"/>
      <c r="G72" s="55"/>
      <c r="H72" s="55"/>
    </row>
  </sheetData>
  <mergeCells count="28">
    <mergeCell ref="A1:XFD1"/>
    <mergeCell ref="A3:A4"/>
    <mergeCell ref="B3:B4"/>
    <mergeCell ref="C3:F3"/>
    <mergeCell ref="A8:B8"/>
    <mergeCell ref="A15:XFD15"/>
    <mergeCell ref="A50:XFD50"/>
    <mergeCell ref="A31:XFD31"/>
    <mergeCell ref="G54:J54"/>
    <mergeCell ref="A28:XFD28"/>
    <mergeCell ref="D33:D34"/>
    <mergeCell ref="A33:A34"/>
    <mergeCell ref="A35:A39"/>
    <mergeCell ref="B38:C39"/>
    <mergeCell ref="B33:B34"/>
    <mergeCell ref="C33:C34"/>
    <mergeCell ref="F64:H64"/>
    <mergeCell ref="A65:H65"/>
    <mergeCell ref="B66:D66"/>
    <mergeCell ref="L33:L34"/>
    <mergeCell ref="L38:L39"/>
    <mergeCell ref="L43:L44"/>
    <mergeCell ref="A55:H55"/>
    <mergeCell ref="B56:C56"/>
    <mergeCell ref="A61:H61"/>
    <mergeCell ref="E62:H63"/>
    <mergeCell ref="A40:A44"/>
    <mergeCell ref="B43:C4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Отчет о результатах 3</vt:lpstr>
      <vt:lpstr>Отчет об устойчивости 3</vt:lpstr>
      <vt:lpstr>Отчет о пределах 3</vt:lpstr>
      <vt:lpstr>Отчет о результатах 1</vt:lpstr>
      <vt:lpstr>Отчет об устойчивости 1</vt:lpstr>
      <vt:lpstr>Отчет о пределах 1</vt:lpstr>
      <vt:lpstr>Отчет о результатах 2</vt:lpstr>
      <vt:lpstr>Отчет об устойчивости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Саша Бражалович</cp:lastModifiedBy>
  <dcterms:created xsi:type="dcterms:W3CDTF">2015-06-05T18:17:20Z</dcterms:created>
  <dcterms:modified xsi:type="dcterms:W3CDTF">2025-10-20T14:07:40Z</dcterms:modified>
</cp:coreProperties>
</file>