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asha\BSUIR\5 semester\MathProg\lab 4\"/>
    </mc:Choice>
  </mc:AlternateContent>
  <xr:revisionPtr revIDLastSave="0" documentId="13_ncr:1_{7F18E518-BB85-4147-B91E-236709A4B7E5}" xr6:coauthVersionLast="47" xr6:coauthVersionMax="47" xr10:uidLastSave="{00000000-0000-0000-0000-000000000000}"/>
  <bookViews>
    <workbookView xWindow="15900" yWindow="4200" windowWidth="9790" windowHeight="11170" xr2:uid="{00000000-000D-0000-FFFF-FFFF00000000}"/>
  </bookViews>
  <sheets>
    <sheet name="Отчет об устойчивости 1" sheetId="13" r:id="rId1"/>
    <sheet name="Лист1" sheetId="1" r:id="rId2"/>
  </sheets>
  <definedNames>
    <definedName name="solver_adj" localSheetId="1" hidden="1">Лист1!$B$21:$E$21</definedName>
    <definedName name="solver_cvg" localSheetId="1" hidden="1">0.0001</definedName>
    <definedName name="solver_drv" localSheetId="1" hidden="1">1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Лист1!$G$17:$G$20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1</definedName>
    <definedName name="solver_nwt" localSheetId="1" hidden="1">1</definedName>
    <definedName name="solver_opt" localSheetId="1" hidden="1">Лист1!$B$22</definedName>
    <definedName name="solver_pre" localSheetId="1" hidden="1">0.000001</definedName>
    <definedName name="solver_rbv" localSheetId="1" hidden="1">1</definedName>
    <definedName name="solver_rel1" localSheetId="1" hidden="1">1</definedName>
    <definedName name="solver_rhs1" localSheetId="1" hidden="1">Лист1!$I$17:$I$20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4" i="1" l="1"/>
  <c r="G20" i="1"/>
  <c r="G19" i="1"/>
  <c r="G18" i="1"/>
  <c r="B22" i="1"/>
  <c r="B25" i="1" l="1"/>
  <c r="B27" i="1" l="1"/>
  <c r="C26" i="1"/>
  <c r="B26" i="1"/>
  <c r="G17" i="1"/>
  <c r="C27" i="1" l="1"/>
  <c r="E26" i="1"/>
  <c r="D27" i="1"/>
  <c r="D26" i="1"/>
  <c r="E27" i="1"/>
  <c r="C12" i="1"/>
  <c r="D12" i="1"/>
  <c r="E12" i="1"/>
  <c r="B12" i="1"/>
  <c r="E13" i="1" l="1"/>
  <c r="G11" i="1"/>
</calcChain>
</file>

<file path=xl/sharedStrings.xml><?xml version="1.0" encoding="utf-8"?>
<sst xmlns="http://schemas.openxmlformats.org/spreadsheetml/2006/main" count="105" uniqueCount="59">
  <si>
    <t>П1</t>
  </si>
  <si>
    <t>П2</t>
  </si>
  <si>
    <t>П3</t>
  </si>
  <si>
    <t>П4</t>
  </si>
  <si>
    <t>А1</t>
  </si>
  <si>
    <t>А2</t>
  </si>
  <si>
    <t>А3</t>
  </si>
  <si>
    <t>А4</t>
  </si>
  <si>
    <t>q1=q</t>
  </si>
  <si>
    <t>q2=1-q</t>
  </si>
  <si>
    <t>min(Ai)</t>
  </si>
  <si>
    <t>max(Пi)</t>
  </si>
  <si>
    <t>max(min(Ai))</t>
  </si>
  <si>
    <t>min(max(Пi))</t>
  </si>
  <si>
    <t>y*</t>
  </si>
  <si>
    <t>f(y)</t>
  </si>
  <si>
    <t>x*</t>
  </si>
  <si>
    <t>f(x)</t>
  </si>
  <si>
    <t>&lt;=</t>
  </si>
  <si>
    <t>Microsoft Excel 16.0 Отчет об устойчивости</t>
  </si>
  <si>
    <t>Ячейки переменных</t>
  </si>
  <si>
    <t>Ячейка</t>
  </si>
  <si>
    <t>Имя</t>
  </si>
  <si>
    <t>Окончательное</t>
  </si>
  <si>
    <t>Значение</t>
  </si>
  <si>
    <t>Приведенн.</t>
  </si>
  <si>
    <t>Ограничения</t>
  </si>
  <si>
    <t>$B$21</t>
  </si>
  <si>
    <t>y* П1</t>
  </si>
  <si>
    <t>$C$21</t>
  </si>
  <si>
    <t>y* П2</t>
  </si>
  <si>
    <t>$D$21</t>
  </si>
  <si>
    <t>y* П3</t>
  </si>
  <si>
    <t>$E$21</t>
  </si>
  <si>
    <t>y* П4</t>
  </si>
  <si>
    <t>$G$17</t>
  </si>
  <si>
    <t>А1 max(min(Ai))</t>
  </si>
  <si>
    <t>$G$18</t>
  </si>
  <si>
    <t>А2 max(min(Ai))</t>
  </si>
  <si>
    <t>$G$19</t>
  </si>
  <si>
    <t>А3 max(min(Ai))</t>
  </si>
  <si>
    <t>$G$20</t>
  </si>
  <si>
    <t>А4 max(min(Ai))</t>
  </si>
  <si>
    <t>Целевая функция</t>
  </si>
  <si>
    <t>Стоимость</t>
  </si>
  <si>
    <t>Коэффициент</t>
  </si>
  <si>
    <t>Допустимое</t>
  </si>
  <si>
    <t>Увеличение</t>
  </si>
  <si>
    <t>Уменьшение</t>
  </si>
  <si>
    <t>Тень</t>
  </si>
  <si>
    <t>Цена</t>
  </si>
  <si>
    <t>Ограничение</t>
  </si>
  <si>
    <t>Правая сторона</t>
  </si>
  <si>
    <t>v</t>
  </si>
  <si>
    <t>q*</t>
  </si>
  <si>
    <t>p*</t>
  </si>
  <si>
    <t xml:space="preserve"> </t>
  </si>
  <si>
    <t>Лист: [ЛР4 В3 Бражалович 351004.xlsx]Лист1</t>
  </si>
  <si>
    <t>Отчет создан: 17.11.2025 2:58:28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</si>
</sst>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indexed="1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1" xfId="0" applyFill="1" applyBorder="1"/>
    <xf numFmtId="0" fontId="1" fillId="0" borderId="0" xfId="0" applyFont="1"/>
    <xf numFmtId="0" fontId="0" fillId="0" borderId="4" xfId="0" applyFill="1" applyBorder="1" applyAlignment="1"/>
    <xf numFmtId="0" fontId="0" fillId="0" borderId="5" xfId="0" applyFill="1" applyBorder="1" applyAlignment="1"/>
    <xf numFmtId="0" fontId="0" fillId="0" borderId="1" xfId="0" applyBorder="1" applyAlignment="1">
      <alignment horizontal="center" vertical="center"/>
    </xf>
    <xf numFmtId="0" fontId="0" fillId="0" borderId="6" xfId="0" applyFill="1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8" xfId="0" applyFill="1" applyBorder="1"/>
    <xf numFmtId="0" fontId="0" fillId="0" borderId="9" xfId="0" applyBorder="1"/>
    <xf numFmtId="0" fontId="0" fillId="0" borderId="10" xfId="0" applyBorder="1"/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AACBC-A6EA-4F13-A150-A88E22A25281}">
  <dimension ref="A1:H20"/>
  <sheetViews>
    <sheetView showGridLines="0" tabSelected="1" topLeftCell="A4" workbookViewId="0">
      <selection activeCell="H26" sqref="H26"/>
    </sheetView>
  </sheetViews>
  <sheetFormatPr defaultRowHeight="14.5" x14ac:dyDescent="0.35"/>
  <cols>
    <col min="1" max="1" width="2.1796875" customWidth="1"/>
    <col min="2" max="2" width="7.08984375" bestFit="1" customWidth="1"/>
    <col min="3" max="3" width="14.453125" bestFit="1" customWidth="1"/>
    <col min="4" max="4" width="14.54296875" bestFit="1" customWidth="1"/>
    <col min="5" max="5" width="12.453125" bestFit="1" customWidth="1"/>
    <col min="6" max="6" width="16.26953125" bestFit="1" customWidth="1"/>
    <col min="7" max="7" width="11.81640625" bestFit="1" customWidth="1"/>
    <col min="8" max="8" width="12.1796875" bestFit="1" customWidth="1"/>
  </cols>
  <sheetData>
    <row r="1" spans="1:8" x14ac:dyDescent="0.35">
      <c r="A1" s="3" t="s">
        <v>19</v>
      </c>
    </row>
    <row r="2" spans="1:8" x14ac:dyDescent="0.35">
      <c r="A2" s="3" t="s">
        <v>57</v>
      </c>
    </row>
    <row r="3" spans="1:8" x14ac:dyDescent="0.35">
      <c r="A3" s="3" t="s">
        <v>58</v>
      </c>
    </row>
    <row r="6" spans="1:8" ht="15" thickBot="1" x14ac:dyDescent="0.4">
      <c r="A6" t="s">
        <v>20</v>
      </c>
    </row>
    <row r="7" spans="1:8" x14ac:dyDescent="0.35">
      <c r="B7" s="14"/>
      <c r="C7" s="14"/>
      <c r="D7" s="14" t="s">
        <v>23</v>
      </c>
      <c r="E7" s="14" t="s">
        <v>25</v>
      </c>
      <c r="F7" s="14" t="s">
        <v>43</v>
      </c>
      <c r="G7" s="14" t="s">
        <v>46</v>
      </c>
      <c r="H7" s="14" t="s">
        <v>46</v>
      </c>
    </row>
    <row r="8" spans="1:8" ht="15" thickBot="1" x14ac:dyDescent="0.4">
      <c r="B8" s="15" t="s">
        <v>21</v>
      </c>
      <c r="C8" s="15" t="s">
        <v>22</v>
      </c>
      <c r="D8" s="15" t="s">
        <v>24</v>
      </c>
      <c r="E8" s="15" t="s">
        <v>44</v>
      </c>
      <c r="F8" s="15" t="s">
        <v>45</v>
      </c>
      <c r="G8" s="15" t="s">
        <v>47</v>
      </c>
      <c r="H8" s="15" t="s">
        <v>48</v>
      </c>
    </row>
    <row r="9" spans="1:8" x14ac:dyDescent="0.35">
      <c r="B9" s="4" t="s">
        <v>27</v>
      </c>
      <c r="C9" s="4" t="s">
        <v>28</v>
      </c>
      <c r="D9" s="4">
        <v>7.6923076923076913E-2</v>
      </c>
      <c r="E9" s="4">
        <v>0</v>
      </c>
      <c r="F9" s="4">
        <v>1</v>
      </c>
      <c r="G9" s="4">
        <v>0.33333333333333343</v>
      </c>
      <c r="H9" s="4">
        <v>0.28571428571428575</v>
      </c>
    </row>
    <row r="10" spans="1:8" x14ac:dyDescent="0.35">
      <c r="B10" s="4" t="s">
        <v>29</v>
      </c>
      <c r="C10" s="4" t="s">
        <v>30</v>
      </c>
      <c r="D10" s="4">
        <v>0.23076923076923078</v>
      </c>
      <c r="E10" s="4">
        <v>0</v>
      </c>
      <c r="F10" s="4">
        <v>1</v>
      </c>
      <c r="G10" s="4">
        <v>3.0000000000000013</v>
      </c>
      <c r="H10" s="4">
        <v>0.24999999999999997</v>
      </c>
    </row>
    <row r="11" spans="1:8" x14ac:dyDescent="0.35">
      <c r="B11" s="4" t="s">
        <v>31</v>
      </c>
      <c r="C11" s="4" t="s">
        <v>32</v>
      </c>
      <c r="D11" s="4">
        <v>0</v>
      </c>
      <c r="E11" s="4">
        <v>-0.38461538461538464</v>
      </c>
      <c r="F11" s="4">
        <v>1</v>
      </c>
      <c r="G11" s="4">
        <v>0.38461538461538464</v>
      </c>
      <c r="H11" s="4">
        <v>1E+30</v>
      </c>
    </row>
    <row r="12" spans="1:8" ht="15" thickBot="1" x14ac:dyDescent="0.4">
      <c r="B12" s="5" t="s">
        <v>33</v>
      </c>
      <c r="C12" s="5" t="s">
        <v>34</v>
      </c>
      <c r="D12" s="5">
        <v>0</v>
      </c>
      <c r="E12" s="5">
        <v>-0.30769230769230771</v>
      </c>
      <c r="F12" s="5">
        <v>1</v>
      </c>
      <c r="G12" s="5">
        <v>0.30769230769230771</v>
      </c>
      <c r="H12" s="5">
        <v>1E+30</v>
      </c>
    </row>
    <row r="14" spans="1:8" ht="15" thickBot="1" x14ac:dyDescent="0.4">
      <c r="A14" t="s">
        <v>26</v>
      </c>
    </row>
    <row r="15" spans="1:8" x14ac:dyDescent="0.35">
      <c r="B15" s="14"/>
      <c r="C15" s="14"/>
      <c r="D15" s="14" t="s">
        <v>23</v>
      </c>
      <c r="E15" s="14" t="s">
        <v>49</v>
      </c>
      <c r="F15" s="14" t="s">
        <v>51</v>
      </c>
      <c r="G15" s="14" t="s">
        <v>46</v>
      </c>
      <c r="H15" s="14" t="s">
        <v>46</v>
      </c>
    </row>
    <row r="16" spans="1:8" ht="15" thickBot="1" x14ac:dyDescent="0.4">
      <c r="B16" s="15" t="s">
        <v>21</v>
      </c>
      <c r="C16" s="15" t="s">
        <v>22</v>
      </c>
      <c r="D16" s="15" t="s">
        <v>24</v>
      </c>
      <c r="E16" s="15" t="s">
        <v>50</v>
      </c>
      <c r="F16" s="15" t="s">
        <v>52</v>
      </c>
      <c r="G16" s="15" t="s">
        <v>47</v>
      </c>
      <c r="H16" s="15" t="s">
        <v>48</v>
      </c>
    </row>
    <row r="17" spans="2:8" x14ac:dyDescent="0.35">
      <c r="B17" s="4" t="s">
        <v>35</v>
      </c>
      <c r="C17" s="4" t="s">
        <v>36</v>
      </c>
      <c r="D17" s="4">
        <v>1</v>
      </c>
      <c r="E17" s="4">
        <v>7.6923076923076927E-2</v>
      </c>
      <c r="F17" s="4">
        <v>1</v>
      </c>
      <c r="G17" s="4">
        <v>0.33333333333333337</v>
      </c>
      <c r="H17" s="4">
        <v>0.28571428571428592</v>
      </c>
    </row>
    <row r="18" spans="2:8" x14ac:dyDescent="0.35">
      <c r="B18" s="4" t="s">
        <v>37</v>
      </c>
      <c r="C18" s="4" t="s">
        <v>38</v>
      </c>
      <c r="D18" s="4">
        <v>1</v>
      </c>
      <c r="E18" s="4">
        <v>0.23076923076923073</v>
      </c>
      <c r="F18" s="4">
        <v>1</v>
      </c>
      <c r="G18" s="4">
        <v>0.11111111111111117</v>
      </c>
      <c r="H18" s="4">
        <v>0.25000000000000011</v>
      </c>
    </row>
    <row r="19" spans="2:8" x14ac:dyDescent="0.35">
      <c r="B19" s="4" t="s">
        <v>39</v>
      </c>
      <c r="C19" s="4" t="s">
        <v>40</v>
      </c>
      <c r="D19" s="4">
        <v>0.84615384615384615</v>
      </c>
      <c r="E19" s="4">
        <v>0</v>
      </c>
      <c r="F19" s="4">
        <v>1</v>
      </c>
      <c r="G19" s="4">
        <v>1E+30</v>
      </c>
      <c r="H19" s="4">
        <v>0.15384615384615391</v>
      </c>
    </row>
    <row r="20" spans="2:8" ht="15" thickBot="1" x14ac:dyDescent="0.4">
      <c r="B20" s="5" t="s">
        <v>41</v>
      </c>
      <c r="C20" s="5" t="s">
        <v>42</v>
      </c>
      <c r="D20" s="5">
        <v>0.69230769230769229</v>
      </c>
      <c r="E20" s="5">
        <v>0</v>
      </c>
      <c r="F20" s="5">
        <v>1</v>
      </c>
      <c r="G20" s="5">
        <v>1E+30</v>
      </c>
      <c r="H20" s="5">
        <v>0.30769230769230771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7"/>
  <sheetViews>
    <sheetView topLeftCell="B1" workbookViewId="0">
      <selection activeCell="G24" sqref="G24"/>
    </sheetView>
  </sheetViews>
  <sheetFormatPr defaultRowHeight="14.5" x14ac:dyDescent="0.35"/>
  <cols>
    <col min="2" max="4" width="11.81640625" bestFit="1" customWidth="1"/>
    <col min="6" max="6" width="6.90625" bestFit="1" customWidth="1"/>
    <col min="7" max="7" width="11.81640625" bestFit="1" customWidth="1"/>
    <col min="9" max="9" width="6.81640625" customWidth="1"/>
    <col min="10" max="10" width="10.6328125" customWidth="1"/>
  </cols>
  <sheetData>
    <row r="1" spans="1:20" x14ac:dyDescent="0.35">
      <c r="A1" s="1"/>
      <c r="B1" s="1" t="s">
        <v>0</v>
      </c>
      <c r="C1" s="1" t="s">
        <v>1</v>
      </c>
      <c r="D1" s="1" t="s">
        <v>2</v>
      </c>
      <c r="E1" s="1" t="s">
        <v>3</v>
      </c>
      <c r="G1" s="1"/>
      <c r="H1" s="1" t="s">
        <v>0</v>
      </c>
      <c r="I1" s="1" t="s">
        <v>1</v>
      </c>
      <c r="J1" s="1" t="s">
        <v>2</v>
      </c>
      <c r="K1" s="1" t="s">
        <v>3</v>
      </c>
      <c r="M1" s="1"/>
      <c r="N1" s="1" t="s">
        <v>0</v>
      </c>
      <c r="O1" s="1" t="s">
        <v>1</v>
      </c>
      <c r="P1" s="1" t="s">
        <v>3</v>
      </c>
      <c r="R1" s="1"/>
      <c r="S1" s="1" t="s">
        <v>0</v>
      </c>
      <c r="T1" s="1" t="s">
        <v>1</v>
      </c>
    </row>
    <row r="2" spans="1:20" x14ac:dyDescent="0.35">
      <c r="A2" s="1" t="s">
        <v>4</v>
      </c>
      <c r="B2" s="1">
        <v>1</v>
      </c>
      <c r="C2" s="1">
        <v>4</v>
      </c>
      <c r="D2" s="1">
        <v>6</v>
      </c>
      <c r="E2" s="1">
        <v>2</v>
      </c>
      <c r="G2" s="1" t="s">
        <v>4</v>
      </c>
      <c r="H2" s="1">
        <v>1</v>
      </c>
      <c r="I2" s="1">
        <v>4</v>
      </c>
      <c r="J2" s="1">
        <v>6</v>
      </c>
      <c r="K2" s="1">
        <v>2</v>
      </c>
      <c r="M2" s="1" t="s">
        <v>4</v>
      </c>
      <c r="N2" s="1">
        <v>1</v>
      </c>
      <c r="O2" s="1">
        <v>4</v>
      </c>
      <c r="P2" s="1">
        <v>2</v>
      </c>
      <c r="R2" s="1" t="s">
        <v>4</v>
      </c>
      <c r="S2" s="1">
        <v>1</v>
      </c>
      <c r="T2" s="1">
        <v>4</v>
      </c>
    </row>
    <row r="3" spans="1:20" x14ac:dyDescent="0.35">
      <c r="A3" s="1" t="s">
        <v>5</v>
      </c>
      <c r="B3" s="1">
        <v>4</v>
      </c>
      <c r="C3" s="1">
        <v>3</v>
      </c>
      <c r="D3" s="1">
        <v>4</v>
      </c>
      <c r="E3" s="1">
        <v>5</v>
      </c>
      <c r="G3" s="1" t="s">
        <v>5</v>
      </c>
      <c r="H3" s="1">
        <v>4</v>
      </c>
      <c r="I3" s="1">
        <v>3</v>
      </c>
      <c r="J3" s="1">
        <v>4</v>
      </c>
      <c r="K3" s="1">
        <v>5</v>
      </c>
      <c r="M3" s="1" t="s">
        <v>5</v>
      </c>
      <c r="N3" s="1">
        <v>4</v>
      </c>
      <c r="O3" s="1">
        <v>3</v>
      </c>
      <c r="P3" s="1">
        <v>5</v>
      </c>
      <c r="R3" s="1" t="s">
        <v>5</v>
      </c>
      <c r="S3" s="1">
        <v>4</v>
      </c>
      <c r="T3" s="1">
        <v>3</v>
      </c>
    </row>
    <row r="4" spans="1:20" x14ac:dyDescent="0.35">
      <c r="A4" s="1" t="s">
        <v>6</v>
      </c>
      <c r="B4" s="1">
        <v>5</v>
      </c>
      <c r="C4" s="1">
        <v>2</v>
      </c>
      <c r="D4" s="1">
        <v>3</v>
      </c>
      <c r="E4" s="1">
        <v>6</v>
      </c>
      <c r="G4" s="1" t="s">
        <v>6</v>
      </c>
      <c r="H4" s="1">
        <v>5</v>
      </c>
      <c r="I4" s="1">
        <v>2</v>
      </c>
      <c r="J4" s="1">
        <v>3</v>
      </c>
      <c r="K4" s="1">
        <v>6</v>
      </c>
      <c r="M4" s="1" t="s">
        <v>6</v>
      </c>
      <c r="N4" s="1">
        <v>5</v>
      </c>
      <c r="O4" s="1">
        <v>2</v>
      </c>
      <c r="P4" s="1">
        <v>6</v>
      </c>
      <c r="R4" s="1" t="s">
        <v>6</v>
      </c>
      <c r="S4" s="1">
        <v>5</v>
      </c>
      <c r="T4" s="1">
        <v>2</v>
      </c>
    </row>
    <row r="5" spans="1:20" x14ac:dyDescent="0.35">
      <c r="A5" s="1" t="s">
        <v>7</v>
      </c>
      <c r="B5" s="1">
        <v>3</v>
      </c>
      <c r="C5" s="1">
        <v>2</v>
      </c>
      <c r="D5" s="1">
        <v>1</v>
      </c>
      <c r="E5" s="1">
        <v>4</v>
      </c>
      <c r="R5" s="1"/>
      <c r="S5" s="1" t="s">
        <v>8</v>
      </c>
      <c r="T5" s="1" t="s">
        <v>9</v>
      </c>
    </row>
    <row r="7" spans="1:20" x14ac:dyDescent="0.35">
      <c r="A7" s="1"/>
      <c r="B7" s="1" t="s">
        <v>0</v>
      </c>
      <c r="C7" s="1" t="s">
        <v>1</v>
      </c>
      <c r="D7" s="1" t="s">
        <v>2</v>
      </c>
      <c r="E7" s="1" t="s">
        <v>3</v>
      </c>
      <c r="F7" s="7" t="s">
        <v>10</v>
      </c>
      <c r="G7" s="10"/>
    </row>
    <row r="8" spans="1:20" x14ac:dyDescent="0.35">
      <c r="A8" s="1" t="s">
        <v>4</v>
      </c>
      <c r="B8" s="1">
        <v>1</v>
      </c>
      <c r="C8" s="1">
        <v>4</v>
      </c>
      <c r="D8" s="1">
        <v>6</v>
      </c>
      <c r="E8" s="1">
        <v>2</v>
      </c>
      <c r="F8" s="8">
        <v>1</v>
      </c>
      <c r="G8" s="10"/>
    </row>
    <row r="9" spans="1:20" x14ac:dyDescent="0.35">
      <c r="A9" s="1" t="s">
        <v>5</v>
      </c>
      <c r="B9" s="1">
        <v>4</v>
      </c>
      <c r="C9" s="1">
        <v>3</v>
      </c>
      <c r="D9" s="1">
        <v>4</v>
      </c>
      <c r="E9" s="1">
        <v>5</v>
      </c>
      <c r="F9" s="8">
        <v>3</v>
      </c>
      <c r="G9" s="10"/>
    </row>
    <row r="10" spans="1:20" x14ac:dyDescent="0.35">
      <c r="A10" s="1" t="s">
        <v>6</v>
      </c>
      <c r="B10" s="1">
        <v>5</v>
      </c>
      <c r="C10" s="1">
        <v>2</v>
      </c>
      <c r="D10" s="1">
        <v>3</v>
      </c>
      <c r="E10" s="1">
        <v>6</v>
      </c>
      <c r="F10" s="1">
        <v>2</v>
      </c>
      <c r="G10" s="9" t="s">
        <v>12</v>
      </c>
    </row>
    <row r="11" spans="1:20" x14ac:dyDescent="0.35">
      <c r="A11" s="1" t="s">
        <v>7</v>
      </c>
      <c r="B11" s="1">
        <v>3</v>
      </c>
      <c r="C11" s="1">
        <v>2</v>
      </c>
      <c r="D11" s="1">
        <v>1</v>
      </c>
      <c r="E11" s="1">
        <v>4</v>
      </c>
      <c r="F11" s="1">
        <v>1</v>
      </c>
      <c r="G11" s="1">
        <f>MAX(F8:F11)</f>
        <v>3</v>
      </c>
    </row>
    <row r="12" spans="1:20" x14ac:dyDescent="0.35">
      <c r="A12" s="2" t="s">
        <v>11</v>
      </c>
      <c r="B12" s="13">
        <f>MAX(B8:B11)</f>
        <v>5</v>
      </c>
      <c r="C12" s="13">
        <f t="shared" ref="C12:E12" si="0">MAX(C8:C11)</f>
        <v>4</v>
      </c>
      <c r="D12" s="13">
        <f t="shared" si="0"/>
        <v>6</v>
      </c>
      <c r="E12" s="1">
        <f t="shared" si="0"/>
        <v>6</v>
      </c>
      <c r="F12" s="1"/>
    </row>
    <row r="13" spans="1:20" x14ac:dyDescent="0.35">
      <c r="A13" s="11"/>
      <c r="B13" s="10"/>
      <c r="C13" s="10"/>
      <c r="D13" s="10" t="s">
        <v>13</v>
      </c>
      <c r="E13" s="12">
        <f>MIN(B12:E12)</f>
        <v>4</v>
      </c>
    </row>
    <row r="16" spans="1:20" x14ac:dyDescent="0.35">
      <c r="A16" s="1"/>
      <c r="B16" s="1" t="s">
        <v>0</v>
      </c>
      <c r="C16" s="1" t="s">
        <v>1</v>
      </c>
      <c r="D16" s="1" t="s">
        <v>2</v>
      </c>
      <c r="E16" s="1" t="s">
        <v>3</v>
      </c>
    </row>
    <row r="17" spans="1:10" x14ac:dyDescent="0.35">
      <c r="A17" s="1" t="s">
        <v>4</v>
      </c>
      <c r="B17" s="1">
        <v>1</v>
      </c>
      <c r="C17" s="1">
        <v>4</v>
      </c>
      <c r="D17" s="1">
        <v>6</v>
      </c>
      <c r="E17" s="1">
        <v>2</v>
      </c>
      <c r="G17" s="1">
        <f>B17*$B$21+C17*$C$21+D17*$D$21+E17*$E$21</f>
        <v>1.0000000000000009</v>
      </c>
      <c r="H17" s="6" t="s">
        <v>18</v>
      </c>
      <c r="I17" s="1">
        <v>1</v>
      </c>
      <c r="J17" t="s">
        <v>56</v>
      </c>
    </row>
    <row r="18" spans="1:10" x14ac:dyDescent="0.35">
      <c r="A18" s="1" t="s">
        <v>5</v>
      </c>
      <c r="B18" s="1">
        <v>4</v>
      </c>
      <c r="C18" s="1">
        <v>3</v>
      </c>
      <c r="D18" s="1">
        <v>4</v>
      </c>
      <c r="E18" s="1">
        <v>5</v>
      </c>
      <c r="G18" s="1">
        <f>B18*$B$21+C18*$C$21+D18*$D$21+E18*$E$21</f>
        <v>1.0000000000000004</v>
      </c>
      <c r="H18" s="6" t="s">
        <v>18</v>
      </c>
      <c r="I18" s="1">
        <v>1</v>
      </c>
    </row>
    <row r="19" spans="1:10" x14ac:dyDescent="0.35">
      <c r="A19" s="1" t="s">
        <v>6</v>
      </c>
      <c r="B19" s="1">
        <v>5</v>
      </c>
      <c r="C19" s="1">
        <v>2</v>
      </c>
      <c r="D19" s="1">
        <v>3</v>
      </c>
      <c r="E19" s="1">
        <v>6</v>
      </c>
      <c r="G19" s="1">
        <f>B19*$B$21+C19*$C$21+D19*$D$21+E19*$E$21</f>
        <v>0.84615384615384648</v>
      </c>
      <c r="H19" s="6" t="s">
        <v>18</v>
      </c>
      <c r="I19" s="1">
        <v>1</v>
      </c>
    </row>
    <row r="20" spans="1:10" x14ac:dyDescent="0.35">
      <c r="A20" s="1" t="s">
        <v>7</v>
      </c>
      <c r="B20" s="1">
        <v>3</v>
      </c>
      <c r="C20" s="1">
        <v>2</v>
      </c>
      <c r="D20" s="1">
        <v>1</v>
      </c>
      <c r="E20" s="1">
        <v>4</v>
      </c>
      <c r="G20" s="1">
        <f>B20*$B$21+C20*$C$21+D20*$D$21+E20*$E$21</f>
        <v>0.69230769230769273</v>
      </c>
      <c r="H20" s="6" t="s">
        <v>18</v>
      </c>
      <c r="I20" s="1">
        <v>1</v>
      </c>
    </row>
    <row r="21" spans="1:10" x14ac:dyDescent="0.35">
      <c r="A21" s="2" t="s">
        <v>14</v>
      </c>
      <c r="B21" s="1">
        <v>7.69230769230769E-2</v>
      </c>
      <c r="C21" s="1">
        <v>0.230769230769231</v>
      </c>
      <c r="D21" s="1">
        <v>0</v>
      </c>
      <c r="E21" s="1">
        <v>0</v>
      </c>
    </row>
    <row r="22" spans="1:10" x14ac:dyDescent="0.35">
      <c r="A22" s="2" t="s">
        <v>15</v>
      </c>
      <c r="B22" s="1">
        <f>SUM(B21:E21)</f>
        <v>0.30769230769230793</v>
      </c>
      <c r="C22" s="1"/>
      <c r="D22" s="1"/>
      <c r="E22" s="1"/>
    </row>
    <row r="23" spans="1:10" x14ac:dyDescent="0.35">
      <c r="A23" s="2" t="s">
        <v>16</v>
      </c>
      <c r="B23" s="1">
        <v>7.69230769230769E-2</v>
      </c>
      <c r="C23" s="4">
        <v>0.230769230769231</v>
      </c>
      <c r="D23" s="4">
        <v>0</v>
      </c>
      <c r="E23" s="1">
        <v>0</v>
      </c>
    </row>
    <row r="24" spans="1:10" x14ac:dyDescent="0.35">
      <c r="A24" s="2" t="s">
        <v>17</v>
      </c>
      <c r="B24" s="1">
        <f>SUM(B23:E23)</f>
        <v>0.30769230769230793</v>
      </c>
      <c r="C24" s="1"/>
      <c r="D24" s="1"/>
      <c r="E24" s="1"/>
    </row>
    <row r="25" spans="1:10" x14ac:dyDescent="0.35">
      <c r="A25" s="2" t="s">
        <v>53</v>
      </c>
      <c r="B25" s="1">
        <f>1/B22</f>
        <v>3.2499999999999973</v>
      </c>
      <c r="C25" s="1"/>
      <c r="D25" s="1"/>
      <c r="E25" s="1"/>
    </row>
    <row r="26" spans="1:10" x14ac:dyDescent="0.35">
      <c r="A26" s="2" t="s">
        <v>54</v>
      </c>
      <c r="B26" s="1">
        <f>B21*$B$25</f>
        <v>0.24999999999999972</v>
      </c>
      <c r="C26" s="1">
        <f>C21*$B$25</f>
        <v>0.75000000000000011</v>
      </c>
      <c r="D26" s="1">
        <f t="shared" ref="C26:E26" si="1">D21*$B$25</f>
        <v>0</v>
      </c>
      <c r="E26" s="1">
        <f t="shared" si="1"/>
        <v>0</v>
      </c>
    </row>
    <row r="27" spans="1:10" x14ac:dyDescent="0.35">
      <c r="A27" s="2" t="s">
        <v>55</v>
      </c>
      <c r="B27" s="1">
        <f>B23*$B$25</f>
        <v>0.24999999999999972</v>
      </c>
      <c r="C27" s="1">
        <f t="shared" ref="C27:E27" si="2">C23*$B$25</f>
        <v>0.75000000000000011</v>
      </c>
      <c r="D27" s="1">
        <f t="shared" si="2"/>
        <v>0</v>
      </c>
      <c r="E27" s="1">
        <f t="shared" si="2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Отчет об устойчивости 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Саша Бражалович</dc:creator>
  <cp:lastModifiedBy>Саша Бражалович</cp:lastModifiedBy>
  <dcterms:created xsi:type="dcterms:W3CDTF">2015-06-05T18:19:34Z</dcterms:created>
  <dcterms:modified xsi:type="dcterms:W3CDTF">2025-11-17T00:02:11Z</dcterms:modified>
</cp:coreProperties>
</file>