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5 semester\MathProg\lab 1\"/>
    </mc:Choice>
  </mc:AlternateContent>
  <xr:revisionPtr revIDLastSave="0" documentId="13_ncr:1_{81EA2C9B-BD06-4CB8-A350-7AA9BFF2782F}" xr6:coauthVersionLast="47" xr6:coauthVersionMax="47" xr10:uidLastSave="{00000000-0000-0000-0000-000000000000}"/>
  <bookViews>
    <workbookView xWindow="2200" yWindow="2200" windowWidth="19200" windowHeight="11170" firstSheet="8" activeTab="9" xr2:uid="{00000000-000D-0000-FFFF-FFFF00000000}"/>
  </bookViews>
  <sheets>
    <sheet name="Answer Report 1" sheetId="2" r:id="rId1"/>
    <sheet name="Sensitivity Report 1" sheetId="3" r:id="rId2"/>
    <sheet name="Limits Report 1" sheetId="4" r:id="rId3"/>
    <sheet name="Answer Report 2" sheetId="11" r:id="rId4"/>
    <sheet name="Sensitivity Report 2" sheetId="12" r:id="rId5"/>
    <sheet name="Limits Report 2" sheetId="13" r:id="rId6"/>
    <sheet name="Отчет о результатах 1" sheetId="14" r:id="rId7"/>
    <sheet name="Отчет об устойчивости 1" sheetId="15" r:id="rId8"/>
    <sheet name="Отчет о пределах 1" sheetId="16" r:id="rId9"/>
    <sheet name="Sheet1" sheetId="1" r:id="rId10"/>
  </sheets>
  <definedNames>
    <definedName name="solver_adj" localSheetId="9" hidden="1">Sheet1!$B$24:$C$24</definedName>
    <definedName name="solver_cvg" localSheetId="9" hidden="1">0.0001</definedName>
    <definedName name="solver_drv" localSheetId="9" hidden="1">1</definedName>
    <definedName name="solver_eng" localSheetId="9" hidden="1">2</definedName>
    <definedName name="solver_est" localSheetId="9" hidden="1">1</definedName>
    <definedName name="solver_itr" localSheetId="9" hidden="1">2147483647</definedName>
    <definedName name="solver_lhs1" localSheetId="9" hidden="1">Sheet1!$D$28</definedName>
    <definedName name="solver_lhs2" localSheetId="9" hidden="1">Sheet1!$D$29</definedName>
    <definedName name="solver_lhs3" localSheetId="9" hidden="1">Sheet1!$D$30</definedName>
    <definedName name="solver_lhs4" localSheetId="9" hidden="1">Sheet1!$D$31</definedName>
    <definedName name="solver_lhs5" localSheetId="9" hidden="1">Sheet1!$D$31</definedName>
    <definedName name="solver_lhs6" localSheetId="9" hidden="1">Sheet1!$E$39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4</definedName>
    <definedName name="solver_nwt" localSheetId="9" hidden="1">1</definedName>
    <definedName name="solver_opt" localSheetId="9" hidden="1">Sheet1!$D$25</definedName>
    <definedName name="solver_pre" localSheetId="9" hidden="1">0.000001</definedName>
    <definedName name="solver_rbv" localSheetId="9" hidden="1">1</definedName>
    <definedName name="solver_rel1" localSheetId="9" hidden="1">3</definedName>
    <definedName name="solver_rel2" localSheetId="9" hidden="1">3</definedName>
    <definedName name="solver_rel3" localSheetId="9" hidden="1">3</definedName>
    <definedName name="solver_rel4" localSheetId="9" hidden="1">3</definedName>
    <definedName name="solver_rel5" localSheetId="9" hidden="1">1</definedName>
    <definedName name="solver_rel6" localSheetId="9" hidden="1">3</definedName>
    <definedName name="solver_rhs1" localSheetId="9" hidden="1">Sheet1!$F$28</definedName>
    <definedName name="solver_rhs2" localSheetId="9" hidden="1">Sheet1!$F$29</definedName>
    <definedName name="solver_rhs3" localSheetId="9" hidden="1">Sheet1!$F$30</definedName>
    <definedName name="solver_rhs4" localSheetId="9" hidden="1">Sheet1!$F$31</definedName>
    <definedName name="solver_rhs5" localSheetId="9" hidden="1">Sheet1!$F$31</definedName>
    <definedName name="solver_rhs6" localSheetId="9" hidden="1">Sheet1!$G$39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2" hidden="1">2</definedName>
    <definedName name="solver_sho" localSheetId="5" hidden="1">2</definedName>
    <definedName name="solver_sho" localSheetId="9" hidden="1">2</definedName>
    <definedName name="solver_sho" localSheetId="8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D30" i="1"/>
  <c r="F38" i="1"/>
  <c r="F35" i="1"/>
  <c r="D25" i="1"/>
  <c r="D31" i="1"/>
  <c r="D29" i="1" l="1"/>
  <c r="D28" i="1"/>
</calcChain>
</file>

<file path=xl/sharedStrings.xml><?xml version="1.0" encoding="utf-8"?>
<sst xmlns="http://schemas.openxmlformats.org/spreadsheetml/2006/main" count="409" uniqueCount="169">
  <si>
    <t>x1</t>
  </si>
  <si>
    <t>x2</t>
  </si>
  <si>
    <t>Знак неравенств</t>
  </si>
  <si>
    <t>bi</t>
  </si>
  <si>
    <t>y1</t>
  </si>
  <si>
    <t>y2</t>
  </si>
  <si>
    <t>y3</t>
  </si>
  <si>
    <t>Переменные</t>
  </si>
  <si>
    <t>имя</t>
  </si>
  <si>
    <t>знач</t>
  </si>
  <si>
    <t>коэф. цел. ф.</t>
  </si>
  <si>
    <t>&lt;— значение целевой функции</t>
  </si>
  <si>
    <t>вид</t>
  </si>
  <si>
    <t>лев.ч.</t>
  </si>
  <si>
    <t>знак</t>
  </si>
  <si>
    <t>пр.ч.</t>
  </si>
  <si>
    <t>&gt;=</t>
  </si>
  <si>
    <t>P1</t>
  </si>
  <si>
    <t>P2</t>
  </si>
  <si>
    <t>P3</t>
  </si>
  <si>
    <t>Коэффициеты целевой функции</t>
  </si>
  <si>
    <t>Ограничения</t>
  </si>
  <si>
    <t>Microsoft Excel 16.0 Answer Report</t>
  </si>
  <si>
    <t>Worksheet: [Лабораторная работа №1.xlsx]Sheet1</t>
  </si>
  <si>
    <t>Report Created: 11/2/2024 10:28:15 PM</t>
  </si>
  <si>
    <t>Result: Solver found a solution.  All Constraints and optimality conditions are satisfied.</t>
  </si>
  <si>
    <t>Solver Engine</t>
  </si>
  <si>
    <t>Engine: Simplex LP</t>
  </si>
  <si>
    <t>Solution Time: 0.032 Seconds.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</si>
  <si>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</si>
  <si>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</si>
  <si>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</si>
  <si>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</si>
  <si>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</si>
  <si>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</si>
  <si>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</si>
  <si>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</si>
  <si>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</si>
  <si>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</si>
  <si>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</si>
  <si>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</si>
  <si>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</si>
  <si>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</si>
  <si>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</si>
  <si>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</si>
  <si>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$D$80</t>
  </si>
  <si>
    <t>коэф. цел. ф. ∆0</t>
  </si>
  <si>
    <t>$B$79</t>
  </si>
  <si>
    <t>знач x1</t>
  </si>
  <si>
    <t>Contin</t>
  </si>
  <si>
    <t>$C$79</t>
  </si>
  <si>
    <t>знач x2</t>
  </si>
  <si>
    <t>$D$83</t>
  </si>
  <si>
    <t>P1 лев.ч.</t>
  </si>
  <si>
    <t>$D$83&lt;=$F$83</t>
  </si>
  <si>
    <t>Not Binding</t>
  </si>
  <si>
    <t>$D$84</t>
  </si>
  <si>
    <t>P2 лев.ч.</t>
  </si>
  <si>
    <t>$D$84&lt;=$F$84</t>
  </si>
  <si>
    <t>Binding</t>
  </si>
  <si>
    <t>$D$85</t>
  </si>
  <si>
    <t>P3 лев.ч.</t>
  </si>
  <si>
    <t>$D$85&lt;=$F$85</t>
  </si>
  <si>
    <t>Microsoft Excel 16.0 Sensitivity Report</t>
  </si>
  <si>
    <t>Report Created: 11/2/2024 10:28:16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</si>
  <si>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</si>
  <si>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</si>
  <si>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</si>
  <si>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</si>
  <si>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</si>
  <si>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</si>
  <si>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</si>
  <si>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</si>
  <si>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</si>
  <si>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</si>
  <si>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</si>
  <si>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</si>
  <si>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</si>
  <si>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16.0 Limits Report</t>
  </si>
  <si>
    <t>Variable</t>
  </si>
  <si>
    <t>Lower</t>
  </si>
  <si>
    <t>Limit</t>
  </si>
  <si>
    <t>Result</t>
  </si>
  <si>
    <t>Upper</t>
  </si>
  <si>
    <t>Solution Time: 0.031 Seconds.</t>
  </si>
  <si>
    <t>Iterations: 3 Subproblems: 0</t>
  </si>
  <si>
    <t>Objective Cell (Min)</t>
  </si>
  <si>
    <t>$E$90</t>
  </si>
  <si>
    <t>коэф. цел. ф. &lt;=</t>
  </si>
  <si>
    <t>$B$89</t>
  </si>
  <si>
    <t>знач y1</t>
  </si>
  <si>
    <t>$C$89</t>
  </si>
  <si>
    <t>знач y2</t>
  </si>
  <si>
    <t>$D$89</t>
  </si>
  <si>
    <t>знач y3</t>
  </si>
  <si>
    <t>$E$93</t>
  </si>
  <si>
    <t>$E$93&gt;=$G$93</t>
  </si>
  <si>
    <t>$E$94</t>
  </si>
  <si>
    <t>$E$94&gt;=$G$94</t>
  </si>
  <si>
    <t>модель №1</t>
  </si>
  <si>
    <t>модель №2</t>
  </si>
  <si>
    <t>Report Created: 11/2/2024 10:47:29 PM</t>
  </si>
  <si>
    <t>модель №1 лев.ч.</t>
  </si>
  <si>
    <t>модель №2 лев.ч.</t>
  </si>
  <si>
    <t>z = 2*x1 + x2 -&gt; max</t>
  </si>
  <si>
    <t>x1 + x2 &lt;= 20</t>
  </si>
  <si>
    <t>17*x1 + 5*x2 &gt;= 85</t>
  </si>
  <si>
    <t>7*x1 + 2*x2 &lt;= 105</t>
  </si>
  <si>
    <t>x1 + 2*x2 &lt;= 34</t>
  </si>
  <si>
    <t>P4</t>
  </si>
  <si>
    <t>y4</t>
  </si>
  <si>
    <t>Microsoft Excel 16.0 Отчет о результатах</t>
  </si>
  <si>
    <t>Лист: [ЛР1 В3 Бражалович 351004.xlsx]Sheet1</t>
  </si>
  <si>
    <t>Отчет создан: 21.09.2025 22:30:36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</si>
  <si>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</si>
  <si>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</si>
  <si>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</si>
  <si>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0,015 секунд.</t>
  </si>
  <si>
    <t>Число итераций: 4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</si>
  <si>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</si>
  <si>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</si>
  <si>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</si>
  <si>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(Минимум)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</si>
  <si>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</si>
  <si>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</si>
  <si>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</si>
  <si>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</si>
  <si>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</si>
  <si>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</si>
  <si>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Значение ячейки</t>
  </si>
  <si>
    <t>Формула</t>
  </si>
  <si>
    <t>Состояние</t>
  </si>
  <si>
    <t>Допуск</t>
  </si>
  <si>
    <t>Продолжить</t>
  </si>
  <si>
    <t>$D$83&gt;=$F$83</t>
  </si>
  <si>
    <t>Без привязки</t>
  </si>
  <si>
    <t>$D$84&gt;=$F$84</t>
  </si>
  <si>
    <t>Привязка</t>
  </si>
  <si>
    <t>$D$86</t>
  </si>
  <si>
    <t>P4 лев.ч.</t>
  </si>
  <si>
    <t>$D$86&lt;=$F$86</t>
  </si>
  <si>
    <t>Microsoft Excel 16.0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</si>
  <si>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</si>
  <si>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</si>
  <si>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</si>
  <si>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</si>
  <si>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</si>
  <si>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</si>
  <si>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</si>
  <si>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</si>
  <si>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</si>
  <si>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</si>
  <si>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</si>
  <si>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</si>
  <si>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</si>
  <si>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</si>
  <si>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Переменная</t>
  </si>
  <si>
    <t>Нижний</t>
  </si>
  <si>
    <t>Предел</t>
  </si>
  <si>
    <t>Результат</t>
  </si>
  <si>
    <t>Верхний</t>
  </si>
  <si>
    <t>лев. Ч</t>
  </si>
  <si>
    <t>пр. ч</t>
  </si>
  <si>
    <t>2. Составить математическую модель двойственной задачи</t>
  </si>
  <si>
    <t>На компьютере</t>
  </si>
  <si>
    <t xml:space="preserve"> -&gt;min</t>
  </si>
  <si>
    <t xml:space="preserve">f(y) = 85*y1 - 20*y2 - 105*y3 - 34*y4 </t>
  </si>
  <si>
    <t>17*y1 - y2 - 7*y3 - y4 &lt;= 2</t>
  </si>
  <si>
    <t>5*y1 - y2 - 2*y3 - 2*y4 &lt;=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</si>
</sst>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1"/>
      <color indexed="1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1" applyFont="1" applyFill="1" applyBorder="1"/>
    <xf numFmtId="0" fontId="3" fillId="0" borderId="0" xfId="1" applyFont="1" applyFill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10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/>
    <xf numFmtId="0" fontId="3" fillId="0" borderId="17" xfId="0" applyFont="1" applyBorder="1"/>
    <xf numFmtId="0" fontId="3" fillId="0" borderId="13" xfId="0" applyFont="1" applyBorder="1"/>
    <xf numFmtId="0" fontId="3" fillId="0" borderId="10" xfId="1" applyFont="1" applyFill="1" applyBorder="1"/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8" xfId="0" applyFont="1" applyBorder="1"/>
    <xf numFmtId="0" fontId="2" fillId="0" borderId="0" xfId="0" applyFont="1"/>
    <xf numFmtId="0" fontId="0" fillId="0" borderId="26" xfId="0" applyFill="1" applyBorder="1" applyAlignment="1"/>
    <xf numFmtId="0" fontId="4" fillId="0" borderId="25" xfId="0" applyFont="1" applyFill="1" applyBorder="1" applyAlignment="1">
      <alignment horizontal="center"/>
    </xf>
    <xf numFmtId="0" fontId="0" fillId="0" borderId="27" xfId="0" applyFill="1" applyBorder="1" applyAlignment="1"/>
    <xf numFmtId="0" fontId="0" fillId="0" borderId="26" xfId="0" applyNumberFormat="1" applyFill="1" applyBorder="1" applyAlignment="1"/>
    <xf numFmtId="0" fontId="0" fillId="0" borderId="27" xfId="0" applyNumberFormat="1" applyFill="1" applyBorder="1" applyAlignment="1"/>
    <xf numFmtId="0" fontId="4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3" fillId="0" borderId="12" xfId="0" applyFont="1" applyBorder="1"/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5" fillId="0" borderId="0" xfId="0" applyFont="1"/>
    <xf numFmtId="0" fontId="7" fillId="0" borderId="25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1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20% — акцент2" xfId="1" builtinId="3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8372-9A50-43FF-8089-26206B732249}">
  <dimension ref="A1:G29"/>
  <sheetViews>
    <sheetView showGridLines="0" topLeftCell="A4" workbookViewId="0">
      <selection activeCell="J20" sqref="J20"/>
    </sheetView>
  </sheetViews>
  <sheetFormatPr defaultRowHeight="14.5" outlineLevelRow="1" x14ac:dyDescent="0.35"/>
  <cols>
    <col min="1" max="1" width="2.36328125" customWidth="1"/>
    <col min="2" max="2" width="6.1796875" bestFit="1" customWidth="1"/>
    <col min="3" max="3" width="14.6328125" bestFit="1" customWidth="1"/>
    <col min="4" max="4" width="12.6328125" bestFit="1" customWidth="1"/>
    <col min="5" max="5" width="13.1796875" bestFit="1" customWidth="1"/>
    <col min="6" max="6" width="10.453125" bestFit="1" customWidth="1"/>
    <col min="7" max="7" width="5.36328125" bestFit="1" customWidth="1"/>
  </cols>
  <sheetData>
    <row r="1" spans="1:5" x14ac:dyDescent="0.35">
      <c r="A1" s="23" t="s">
        <v>22</v>
      </c>
    </row>
    <row r="2" spans="1:5" x14ac:dyDescent="0.35">
      <c r="A2" s="23" t="s">
        <v>23</v>
      </c>
    </row>
    <row r="3" spans="1:5" x14ac:dyDescent="0.35">
      <c r="A3" s="23" t="s">
        <v>24</v>
      </c>
    </row>
    <row r="4" spans="1:5" x14ac:dyDescent="0.35">
      <c r="A4" s="23" t="s">
        <v>25</v>
      </c>
    </row>
    <row r="5" spans="1:5" x14ac:dyDescent="0.35">
      <c r="A5" s="23" t="s">
        <v>26</v>
      </c>
    </row>
    <row r="6" spans="1:5" hidden="1" outlineLevel="1" x14ac:dyDescent="0.35">
      <c r="A6" s="23"/>
      <c r="B6" t="s">
        <v>27</v>
      </c>
    </row>
    <row r="7" spans="1:5" hidden="1" outlineLevel="1" x14ac:dyDescent="0.35">
      <c r="A7" s="23"/>
      <c r="B7" t="s">
        <v>28</v>
      </c>
    </row>
    <row r="8" spans="1:5" hidden="1" outlineLevel="1" x14ac:dyDescent="0.35">
      <c r="A8" s="23"/>
      <c r="B8" t="s">
        <v>29</v>
      </c>
    </row>
    <row r="9" spans="1:5" collapsed="1" x14ac:dyDescent="0.35">
      <c r="A9" s="23" t="s">
        <v>30</v>
      </c>
    </row>
    <row r="10" spans="1:5" hidden="1" outlineLevel="1" x14ac:dyDescent="0.35">
      <c r="B10" t="s">
        <v>31</v>
      </c>
    </row>
    <row r="11" spans="1:5" hidden="1" outlineLevel="1" x14ac:dyDescent="0.35">
      <c r="B11" t="s">
        <v>32</v>
      </c>
    </row>
    <row r="12" spans="1:5" collapsed="1" x14ac:dyDescent="0.35"/>
    <row r="14" spans="1:5" ht="15" thickBot="1" x14ac:dyDescent="0.4">
      <c r="A14" t="s">
        <v>33</v>
      </c>
    </row>
    <row r="15" spans="1:5" ht="15" thickBot="1" x14ac:dyDescent="0.4">
      <c r="B15" s="25" t="s">
        <v>34</v>
      </c>
      <c r="C15" s="25" t="s">
        <v>35</v>
      </c>
      <c r="D15" s="25" t="s">
        <v>36</v>
      </c>
      <c r="E15" s="25" t="s">
        <v>37</v>
      </c>
    </row>
    <row r="16" spans="1:5" ht="15" thickBot="1" x14ac:dyDescent="0.4">
      <c r="B16" s="24" t="s">
        <v>45</v>
      </c>
      <c r="C16" s="24" t="s">
        <v>46</v>
      </c>
      <c r="D16" s="27">
        <v>0</v>
      </c>
      <c r="E16" s="27">
        <v>35</v>
      </c>
    </row>
    <row r="19" spans="1:7" ht="15" thickBot="1" x14ac:dyDescent="0.4">
      <c r="A19" t="s">
        <v>38</v>
      </c>
    </row>
    <row r="20" spans="1:7" ht="15" thickBot="1" x14ac:dyDescent="0.4">
      <c r="B20" s="25" t="s">
        <v>34</v>
      </c>
      <c r="C20" s="25" t="s">
        <v>35</v>
      </c>
      <c r="D20" s="25" t="s">
        <v>36</v>
      </c>
      <c r="E20" s="25" t="s">
        <v>37</v>
      </c>
      <c r="F20" s="25" t="s">
        <v>39</v>
      </c>
    </row>
    <row r="21" spans="1:7" x14ac:dyDescent="0.35">
      <c r="B21" s="26" t="s">
        <v>47</v>
      </c>
      <c r="C21" s="26" t="s">
        <v>48</v>
      </c>
      <c r="D21" s="28">
        <v>0</v>
      </c>
      <c r="E21" s="28">
        <v>2.5999999999999996</v>
      </c>
      <c r="F21" s="26" t="s">
        <v>49</v>
      </c>
    </row>
    <row r="22" spans="1:7" ht="15" thickBot="1" x14ac:dyDescent="0.4">
      <c r="B22" s="24" t="s">
        <v>50</v>
      </c>
      <c r="C22" s="24" t="s">
        <v>51</v>
      </c>
      <c r="D22" s="27">
        <v>0</v>
      </c>
      <c r="E22" s="27">
        <v>5.6000000000000005</v>
      </c>
      <c r="F22" s="24" t="s">
        <v>49</v>
      </c>
    </row>
    <row r="25" spans="1:7" ht="15" thickBot="1" x14ac:dyDescent="0.4">
      <c r="A25" t="s">
        <v>40</v>
      </c>
    </row>
    <row r="26" spans="1:7" ht="15" thickBot="1" x14ac:dyDescent="0.4">
      <c r="B26" s="25" t="s">
        <v>34</v>
      </c>
      <c r="C26" s="25" t="s">
        <v>35</v>
      </c>
      <c r="D26" s="25" t="s">
        <v>41</v>
      </c>
      <c r="E26" s="25" t="s">
        <v>42</v>
      </c>
      <c r="F26" s="25" t="s">
        <v>43</v>
      </c>
      <c r="G26" s="25" t="s">
        <v>44</v>
      </c>
    </row>
    <row r="27" spans="1:7" x14ac:dyDescent="0.35">
      <c r="B27" s="26" t="s">
        <v>52</v>
      </c>
      <c r="C27" s="26" t="s">
        <v>53</v>
      </c>
      <c r="D27" s="28">
        <v>27.6</v>
      </c>
      <c r="E27" s="26" t="s">
        <v>54</v>
      </c>
      <c r="F27" s="26" t="s">
        <v>55</v>
      </c>
      <c r="G27" s="26">
        <v>6.3999999999999986</v>
      </c>
    </row>
    <row r="28" spans="1:7" x14ac:dyDescent="0.35">
      <c r="B28" s="26" t="s">
        <v>56</v>
      </c>
      <c r="C28" s="26" t="s">
        <v>57</v>
      </c>
      <c r="D28" s="28">
        <v>16</v>
      </c>
      <c r="E28" s="26" t="s">
        <v>58</v>
      </c>
      <c r="F28" s="26" t="s">
        <v>59</v>
      </c>
      <c r="G28" s="26">
        <v>0</v>
      </c>
    </row>
    <row r="29" spans="1:7" ht="15" thickBot="1" x14ac:dyDescent="0.4">
      <c r="B29" s="24" t="s">
        <v>60</v>
      </c>
      <c r="C29" s="24" t="s">
        <v>61</v>
      </c>
      <c r="D29" s="27">
        <v>22</v>
      </c>
      <c r="E29" s="24" t="s">
        <v>62</v>
      </c>
      <c r="F29" s="24" t="s">
        <v>59</v>
      </c>
      <c r="G29" s="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17C3-7982-44AE-9786-FAA2EEDCA271}">
  <dimension ref="A1:H17"/>
  <sheetViews>
    <sheetView showGridLines="0" workbookViewId="0">
      <selection activeCell="C19" sqref="C19"/>
    </sheetView>
  </sheetViews>
  <sheetFormatPr defaultRowHeight="14.5" x14ac:dyDescent="0.35"/>
  <cols>
    <col min="1" max="1" width="2.36328125" customWidth="1"/>
    <col min="2" max="2" width="6.1796875" bestFit="1" customWidth="1"/>
    <col min="3" max="3" width="8.453125" bestFit="1" customWidth="1"/>
    <col min="4" max="4" width="5.81640625" bestFit="1" customWidth="1"/>
    <col min="5" max="5" width="8.36328125" bestFit="1" customWidth="1"/>
    <col min="6" max="6" width="10.08984375" bestFit="1" customWidth="1"/>
    <col min="7" max="8" width="12" bestFit="1" customWidth="1"/>
  </cols>
  <sheetData>
    <row r="1" spans="1:8" x14ac:dyDescent="0.35">
      <c r="A1" s="23" t="s">
        <v>63</v>
      </c>
    </row>
    <row r="2" spans="1:8" x14ac:dyDescent="0.35">
      <c r="A2" s="23" t="s">
        <v>23</v>
      </c>
    </row>
    <row r="3" spans="1:8" x14ac:dyDescent="0.35">
      <c r="A3" s="23" t="s">
        <v>64</v>
      </c>
    </row>
    <row r="6" spans="1:8" ht="15" thickBot="1" x14ac:dyDescent="0.4">
      <c r="A6" t="s">
        <v>38</v>
      </c>
    </row>
    <row r="7" spans="1:8" x14ac:dyDescent="0.35">
      <c r="B7" s="29"/>
      <c r="C7" s="29"/>
      <c r="D7" s="29" t="s">
        <v>65</v>
      </c>
      <c r="E7" s="29" t="s">
        <v>67</v>
      </c>
      <c r="F7" s="29" t="s">
        <v>69</v>
      </c>
      <c r="G7" s="29" t="s">
        <v>71</v>
      </c>
      <c r="H7" s="29" t="s">
        <v>71</v>
      </c>
    </row>
    <row r="8" spans="1:8" ht="15" thickBot="1" x14ac:dyDescent="0.4">
      <c r="B8" s="30" t="s">
        <v>34</v>
      </c>
      <c r="C8" s="30" t="s">
        <v>35</v>
      </c>
      <c r="D8" s="30" t="s">
        <v>66</v>
      </c>
      <c r="E8" s="30" t="s">
        <v>68</v>
      </c>
      <c r="F8" s="30" t="s">
        <v>70</v>
      </c>
      <c r="G8" s="30" t="s">
        <v>72</v>
      </c>
      <c r="H8" s="30" t="s">
        <v>73</v>
      </c>
    </row>
    <row r="9" spans="1:8" x14ac:dyDescent="0.35">
      <c r="B9" s="26" t="s">
        <v>47</v>
      </c>
      <c r="C9" s="26" t="s">
        <v>48</v>
      </c>
      <c r="D9" s="26">
        <v>2.5999999999999996</v>
      </c>
      <c r="E9" s="26">
        <v>0</v>
      </c>
      <c r="F9" s="26">
        <v>7</v>
      </c>
      <c r="G9" s="26">
        <v>5</v>
      </c>
      <c r="H9" s="26">
        <v>5</v>
      </c>
    </row>
    <row r="10" spans="1:8" ht="15" thickBot="1" x14ac:dyDescent="0.4">
      <c r="B10" s="24" t="s">
        <v>50</v>
      </c>
      <c r="C10" s="24" t="s">
        <v>51</v>
      </c>
      <c r="D10" s="24">
        <v>5.6000000000000005</v>
      </c>
      <c r="E10" s="24">
        <v>0</v>
      </c>
      <c r="F10" s="24">
        <v>3</v>
      </c>
      <c r="G10" s="24">
        <v>7.5</v>
      </c>
      <c r="H10" s="24">
        <v>1.25</v>
      </c>
    </row>
    <row r="12" spans="1:8" ht="15" thickBot="1" x14ac:dyDescent="0.4">
      <c r="A12" t="s">
        <v>40</v>
      </c>
    </row>
    <row r="13" spans="1:8" x14ac:dyDescent="0.35">
      <c r="B13" s="29"/>
      <c r="C13" s="29"/>
      <c r="D13" s="29" t="s">
        <v>65</v>
      </c>
      <c r="E13" s="29" t="s">
        <v>74</v>
      </c>
      <c r="F13" s="29" t="s">
        <v>76</v>
      </c>
      <c r="G13" s="29" t="s">
        <v>71</v>
      </c>
      <c r="H13" s="29" t="s">
        <v>71</v>
      </c>
    </row>
    <row r="14" spans="1:8" ht="15" thickBot="1" x14ac:dyDescent="0.4">
      <c r="B14" s="30" t="s">
        <v>34</v>
      </c>
      <c r="C14" s="30" t="s">
        <v>35</v>
      </c>
      <c r="D14" s="30" t="s">
        <v>66</v>
      </c>
      <c r="E14" s="30" t="s">
        <v>75</v>
      </c>
      <c r="F14" s="30" t="s">
        <v>77</v>
      </c>
      <c r="G14" s="30" t="s">
        <v>72</v>
      </c>
      <c r="H14" s="30" t="s">
        <v>73</v>
      </c>
    </row>
    <row r="15" spans="1:8" x14ac:dyDescent="0.35">
      <c r="B15" s="26" t="s">
        <v>52</v>
      </c>
      <c r="C15" s="26" t="s">
        <v>53</v>
      </c>
      <c r="D15" s="26">
        <v>27.6</v>
      </c>
      <c r="E15" s="26">
        <v>0</v>
      </c>
      <c r="F15" s="26">
        <v>34</v>
      </c>
      <c r="G15" s="26">
        <v>1E+30</v>
      </c>
      <c r="H15" s="26">
        <v>6.3999999999999986</v>
      </c>
    </row>
    <row r="16" spans="1:8" x14ac:dyDescent="0.35">
      <c r="B16" s="26" t="s">
        <v>56</v>
      </c>
      <c r="C16" s="26" t="s">
        <v>57</v>
      </c>
      <c r="D16" s="26">
        <v>16</v>
      </c>
      <c r="E16" s="26">
        <v>1.5</v>
      </c>
      <c r="F16" s="26">
        <v>16</v>
      </c>
      <c r="G16" s="26">
        <v>28</v>
      </c>
      <c r="H16" s="26">
        <v>8.6666666666666661</v>
      </c>
    </row>
    <row r="17" spans="2:8" ht="15" thickBot="1" x14ac:dyDescent="0.4">
      <c r="B17" s="24" t="s">
        <v>60</v>
      </c>
      <c r="C17" s="24" t="s">
        <v>61</v>
      </c>
      <c r="D17" s="24">
        <v>22</v>
      </c>
      <c r="E17" s="24">
        <v>0.5</v>
      </c>
      <c r="F17" s="24">
        <v>22</v>
      </c>
      <c r="G17" s="24">
        <v>4.5714285714285703</v>
      </c>
      <c r="H17" s="2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8433-B18B-455F-957B-47C731F58F27}">
  <dimension ref="A1:J14"/>
  <sheetViews>
    <sheetView showGridLines="0" workbookViewId="0"/>
  </sheetViews>
  <sheetFormatPr defaultRowHeight="14.5" x14ac:dyDescent="0.35"/>
  <cols>
    <col min="1" max="1" width="2.36328125" customWidth="1"/>
    <col min="2" max="2" width="6.08984375" bestFit="1" customWidth="1"/>
    <col min="3" max="3" width="14.54296875" bestFit="1" customWidth="1"/>
    <col min="4" max="4" width="5.54296875" bestFit="1" customWidth="1"/>
    <col min="5" max="5" width="2.36328125" customWidth="1"/>
    <col min="6" max="6" width="5.90625" bestFit="1" customWidth="1"/>
    <col min="7" max="7" width="8.7265625" bestFit="1" customWidth="1"/>
    <col min="8" max="8" width="2.36328125" customWidth="1"/>
    <col min="9" max="9" width="6" bestFit="1" customWidth="1"/>
    <col min="10" max="10" width="8.7265625" bestFit="1" customWidth="1"/>
  </cols>
  <sheetData>
    <row r="1" spans="1:10" x14ac:dyDescent="0.35">
      <c r="A1" s="23" t="s">
        <v>78</v>
      </c>
    </row>
    <row r="2" spans="1:10" x14ac:dyDescent="0.35">
      <c r="A2" s="23" t="s">
        <v>23</v>
      </c>
    </row>
    <row r="3" spans="1:10" x14ac:dyDescent="0.35">
      <c r="A3" s="23" t="s">
        <v>64</v>
      </c>
    </row>
    <row r="5" spans="1:10" ht="15" thickBot="1" x14ac:dyDescent="0.4"/>
    <row r="6" spans="1:10" x14ac:dyDescent="0.35">
      <c r="B6" s="29"/>
      <c r="C6" s="29" t="s">
        <v>69</v>
      </c>
      <c r="D6" s="29"/>
    </row>
    <row r="7" spans="1:10" ht="15" thickBot="1" x14ac:dyDescent="0.4">
      <c r="B7" s="30" t="s">
        <v>34</v>
      </c>
      <c r="C7" s="30" t="s">
        <v>35</v>
      </c>
      <c r="D7" s="30" t="s">
        <v>66</v>
      </c>
    </row>
    <row r="8" spans="1:10" ht="15" thickBot="1" x14ac:dyDescent="0.4">
      <c r="B8" s="24" t="s">
        <v>45</v>
      </c>
      <c r="C8" s="24" t="s">
        <v>46</v>
      </c>
      <c r="D8" s="27">
        <v>35</v>
      </c>
    </row>
    <row r="10" spans="1:10" ht="15" thickBot="1" x14ac:dyDescent="0.4"/>
    <row r="11" spans="1:10" x14ac:dyDescent="0.35">
      <c r="B11" s="29"/>
      <c r="C11" s="29" t="s">
        <v>79</v>
      </c>
      <c r="D11" s="29"/>
      <c r="F11" s="29" t="s">
        <v>80</v>
      </c>
      <c r="G11" s="29" t="s">
        <v>69</v>
      </c>
      <c r="I11" s="29" t="s">
        <v>83</v>
      </c>
      <c r="J11" s="29" t="s">
        <v>69</v>
      </c>
    </row>
    <row r="12" spans="1:10" ht="15" thickBot="1" x14ac:dyDescent="0.4">
      <c r="B12" s="30" t="s">
        <v>34</v>
      </c>
      <c r="C12" s="30" t="s">
        <v>35</v>
      </c>
      <c r="D12" s="30" t="s">
        <v>66</v>
      </c>
      <c r="F12" s="30" t="s">
        <v>81</v>
      </c>
      <c r="G12" s="30" t="s">
        <v>82</v>
      </c>
      <c r="I12" s="30" t="s">
        <v>81</v>
      </c>
      <c r="J12" s="30" t="s">
        <v>82</v>
      </c>
    </row>
    <row r="13" spans="1:10" x14ac:dyDescent="0.35">
      <c r="B13" s="26" t="s">
        <v>47</v>
      </c>
      <c r="C13" s="26" t="s">
        <v>48</v>
      </c>
      <c r="D13" s="28">
        <v>2.5999999999999996</v>
      </c>
      <c r="F13" s="28">
        <v>0</v>
      </c>
      <c r="G13" s="28">
        <v>16.8</v>
      </c>
      <c r="I13" s="28">
        <v>2.5999999999999992</v>
      </c>
      <c r="J13" s="28">
        <v>35</v>
      </c>
    </row>
    <row r="14" spans="1:10" ht="15" thickBot="1" x14ac:dyDescent="0.4">
      <c r="B14" s="24" t="s">
        <v>50</v>
      </c>
      <c r="C14" s="24" t="s">
        <v>51</v>
      </c>
      <c r="D14" s="27">
        <v>5.6000000000000005</v>
      </c>
      <c r="F14" s="27">
        <v>0</v>
      </c>
      <c r="G14" s="27">
        <v>18.199999999999996</v>
      </c>
      <c r="I14" s="27">
        <v>5.6</v>
      </c>
      <c r="J14" s="27">
        <v>34.999999999999993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9CFB-4722-4CD3-8C58-F4F99663D262}">
  <dimension ref="A1:G29"/>
  <sheetViews>
    <sheetView showGridLines="0" workbookViewId="0"/>
  </sheetViews>
  <sheetFormatPr defaultRowHeight="14.5" x14ac:dyDescent="0.35"/>
  <cols>
    <col min="1" max="1" width="2.36328125" customWidth="1"/>
    <col min="2" max="2" width="6" bestFit="1" customWidth="1"/>
    <col min="3" max="3" width="16.453125" bestFit="1" customWidth="1"/>
    <col min="4" max="4" width="12.6328125" bestFit="1" customWidth="1"/>
    <col min="5" max="5" width="13.36328125" bestFit="1" customWidth="1"/>
    <col min="6" max="6" width="7" bestFit="1" customWidth="1"/>
    <col min="7" max="7" width="5.36328125" bestFit="1" customWidth="1"/>
  </cols>
  <sheetData>
    <row r="1" spans="1:5" x14ac:dyDescent="0.35">
      <c r="A1" s="23" t="s">
        <v>22</v>
      </c>
    </row>
    <row r="2" spans="1:5" x14ac:dyDescent="0.35">
      <c r="A2" s="23" t="s">
        <v>23</v>
      </c>
    </row>
    <row r="3" spans="1:5" x14ac:dyDescent="0.35">
      <c r="A3" s="23" t="s">
        <v>101</v>
      </c>
    </row>
    <row r="4" spans="1:5" x14ac:dyDescent="0.35">
      <c r="A4" s="23" t="s">
        <v>25</v>
      </c>
    </row>
    <row r="5" spans="1:5" x14ac:dyDescent="0.35">
      <c r="A5" s="23" t="s">
        <v>26</v>
      </c>
    </row>
    <row r="6" spans="1:5" x14ac:dyDescent="0.35">
      <c r="A6" s="23"/>
      <c r="B6" t="s">
        <v>27</v>
      </c>
    </row>
    <row r="7" spans="1:5" x14ac:dyDescent="0.35">
      <c r="A7" s="23"/>
      <c r="B7" t="s">
        <v>84</v>
      </c>
    </row>
    <row r="8" spans="1:5" x14ac:dyDescent="0.35">
      <c r="A8" s="23"/>
      <c r="B8" t="s">
        <v>85</v>
      </c>
    </row>
    <row r="9" spans="1:5" x14ac:dyDescent="0.35">
      <c r="A9" s="23" t="s">
        <v>30</v>
      </c>
    </row>
    <row r="10" spans="1:5" x14ac:dyDescent="0.35">
      <c r="B10" t="s">
        <v>31</v>
      </c>
    </row>
    <row r="11" spans="1:5" x14ac:dyDescent="0.35">
      <c r="B11" t="s">
        <v>32</v>
      </c>
    </row>
    <row r="14" spans="1:5" ht="15" thickBot="1" x14ac:dyDescent="0.4">
      <c r="A14" t="s">
        <v>86</v>
      </c>
    </row>
    <row r="15" spans="1:5" ht="15" thickBot="1" x14ac:dyDescent="0.4">
      <c r="B15" s="25" t="s">
        <v>34</v>
      </c>
      <c r="C15" s="25" t="s">
        <v>35</v>
      </c>
      <c r="D15" s="25" t="s">
        <v>36</v>
      </c>
      <c r="E15" s="25" t="s">
        <v>37</v>
      </c>
    </row>
    <row r="16" spans="1:5" ht="15" thickBot="1" x14ac:dyDescent="0.4">
      <c r="B16" s="24" t="s">
        <v>87</v>
      </c>
      <c r="C16" s="24" t="s">
        <v>88</v>
      </c>
      <c r="D16" s="27">
        <v>0</v>
      </c>
      <c r="E16" s="27">
        <v>35</v>
      </c>
    </row>
    <row r="19" spans="1:7" ht="15" thickBot="1" x14ac:dyDescent="0.4">
      <c r="A19" t="s">
        <v>38</v>
      </c>
    </row>
    <row r="20" spans="1:7" ht="15" thickBot="1" x14ac:dyDescent="0.4">
      <c r="B20" s="25" t="s">
        <v>34</v>
      </c>
      <c r="C20" s="25" t="s">
        <v>35</v>
      </c>
      <c r="D20" s="25" t="s">
        <v>36</v>
      </c>
      <c r="E20" s="25" t="s">
        <v>37</v>
      </c>
      <c r="F20" s="25" t="s">
        <v>39</v>
      </c>
    </row>
    <row r="21" spans="1:7" x14ac:dyDescent="0.35">
      <c r="B21" s="26" t="s">
        <v>89</v>
      </c>
      <c r="C21" s="26" t="s">
        <v>90</v>
      </c>
      <c r="D21" s="28">
        <v>0</v>
      </c>
      <c r="E21" s="28">
        <v>0</v>
      </c>
      <c r="F21" s="26" t="s">
        <v>49</v>
      </c>
    </row>
    <row r="22" spans="1:7" x14ac:dyDescent="0.35">
      <c r="B22" s="26" t="s">
        <v>91</v>
      </c>
      <c r="C22" s="26" t="s">
        <v>92</v>
      </c>
      <c r="D22" s="28">
        <v>0</v>
      </c>
      <c r="E22" s="28">
        <v>1.5</v>
      </c>
      <c r="F22" s="26" t="s">
        <v>49</v>
      </c>
    </row>
    <row r="23" spans="1:7" ht="15" thickBot="1" x14ac:dyDescent="0.4">
      <c r="B23" s="24" t="s">
        <v>93</v>
      </c>
      <c r="C23" s="24" t="s">
        <v>94</v>
      </c>
      <c r="D23" s="27">
        <v>0</v>
      </c>
      <c r="E23" s="27">
        <v>0.5</v>
      </c>
      <c r="F23" s="24" t="s">
        <v>49</v>
      </c>
    </row>
    <row r="26" spans="1:7" ht="15" thickBot="1" x14ac:dyDescent="0.4">
      <c r="A26" t="s">
        <v>40</v>
      </c>
    </row>
    <row r="27" spans="1:7" ht="15" thickBot="1" x14ac:dyDescent="0.4">
      <c r="B27" s="25" t="s">
        <v>34</v>
      </c>
      <c r="C27" s="25" t="s">
        <v>35</v>
      </c>
      <c r="D27" s="25" t="s">
        <v>41</v>
      </c>
      <c r="E27" s="25" t="s">
        <v>42</v>
      </c>
      <c r="F27" s="25" t="s">
        <v>43</v>
      </c>
      <c r="G27" s="25" t="s">
        <v>44</v>
      </c>
    </row>
    <row r="28" spans="1:7" x14ac:dyDescent="0.35">
      <c r="B28" s="26" t="s">
        <v>95</v>
      </c>
      <c r="C28" s="26" t="s">
        <v>102</v>
      </c>
      <c r="D28" s="28">
        <v>7</v>
      </c>
      <c r="E28" s="26" t="s">
        <v>96</v>
      </c>
      <c r="F28" s="26" t="s">
        <v>59</v>
      </c>
      <c r="G28" s="28">
        <v>0</v>
      </c>
    </row>
    <row r="29" spans="1:7" ht="15" thickBot="1" x14ac:dyDescent="0.4">
      <c r="B29" s="24" t="s">
        <v>97</v>
      </c>
      <c r="C29" s="24" t="s">
        <v>103</v>
      </c>
      <c r="D29" s="27">
        <v>3</v>
      </c>
      <c r="E29" s="24" t="s">
        <v>98</v>
      </c>
      <c r="F29" s="24" t="s">
        <v>59</v>
      </c>
      <c r="G29" s="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D727-5B0F-4C53-9DEF-0B6DAA0AED5D}">
  <dimension ref="A1:H17"/>
  <sheetViews>
    <sheetView showGridLines="0" workbookViewId="0"/>
  </sheetViews>
  <sheetFormatPr defaultRowHeight="14.5" x14ac:dyDescent="0.35"/>
  <cols>
    <col min="1" max="1" width="2.36328125" customWidth="1"/>
    <col min="2" max="2" width="6.1796875" bestFit="1" customWidth="1"/>
    <col min="3" max="3" width="16.453125" bestFit="1" customWidth="1"/>
    <col min="4" max="4" width="5.81640625" bestFit="1" customWidth="1"/>
    <col min="5" max="5" width="8.36328125" bestFit="1" customWidth="1"/>
    <col min="6" max="6" width="10.08984375" bestFit="1" customWidth="1"/>
    <col min="7" max="8" width="12" bestFit="1" customWidth="1"/>
  </cols>
  <sheetData>
    <row r="1" spans="1:8" x14ac:dyDescent="0.35">
      <c r="A1" s="23" t="s">
        <v>63</v>
      </c>
    </row>
    <row r="2" spans="1:8" x14ac:dyDescent="0.35">
      <c r="A2" s="23" t="s">
        <v>23</v>
      </c>
    </row>
    <row r="3" spans="1:8" x14ac:dyDescent="0.35">
      <c r="A3" s="23" t="s">
        <v>101</v>
      </c>
    </row>
    <row r="6" spans="1:8" ht="15" thickBot="1" x14ac:dyDescent="0.4">
      <c r="A6" t="s">
        <v>38</v>
      </c>
    </row>
    <row r="7" spans="1:8" x14ac:dyDescent="0.35">
      <c r="B7" s="29"/>
      <c r="C7" s="29"/>
      <c r="D7" s="29" t="s">
        <v>65</v>
      </c>
      <c r="E7" s="29" t="s">
        <v>67</v>
      </c>
      <c r="F7" s="29" t="s">
        <v>69</v>
      </c>
      <c r="G7" s="29" t="s">
        <v>71</v>
      </c>
      <c r="H7" s="29" t="s">
        <v>71</v>
      </c>
    </row>
    <row r="8" spans="1:8" ht="15" thickBot="1" x14ac:dyDescent="0.4">
      <c r="B8" s="30" t="s">
        <v>34</v>
      </c>
      <c r="C8" s="30" t="s">
        <v>35</v>
      </c>
      <c r="D8" s="30" t="s">
        <v>66</v>
      </c>
      <c r="E8" s="30" t="s">
        <v>68</v>
      </c>
      <c r="F8" s="30" t="s">
        <v>70</v>
      </c>
      <c r="G8" s="30" t="s">
        <v>72</v>
      </c>
      <c r="H8" s="30" t="s">
        <v>73</v>
      </c>
    </row>
    <row r="9" spans="1:8" x14ac:dyDescent="0.35">
      <c r="B9" s="26" t="s">
        <v>89</v>
      </c>
      <c r="C9" s="26" t="s">
        <v>90</v>
      </c>
      <c r="D9" s="26">
        <v>0</v>
      </c>
      <c r="E9" s="26">
        <v>6.3999999999999995</v>
      </c>
      <c r="F9" s="26">
        <v>34</v>
      </c>
      <c r="G9" s="26">
        <v>1E+30</v>
      </c>
      <c r="H9" s="26">
        <v>6.3999999999999995</v>
      </c>
    </row>
    <row r="10" spans="1:8" x14ac:dyDescent="0.35">
      <c r="B10" s="26" t="s">
        <v>91</v>
      </c>
      <c r="C10" s="26" t="s">
        <v>92</v>
      </c>
      <c r="D10" s="26">
        <v>1.5</v>
      </c>
      <c r="E10" s="26">
        <v>0</v>
      </c>
      <c r="F10" s="26">
        <v>16</v>
      </c>
      <c r="G10" s="26">
        <v>28.000000000000004</v>
      </c>
      <c r="H10" s="26">
        <v>8.6666666666666661</v>
      </c>
    </row>
    <row r="11" spans="1:8" ht="15" thickBot="1" x14ac:dyDescent="0.4">
      <c r="B11" s="24" t="s">
        <v>93</v>
      </c>
      <c r="C11" s="24" t="s">
        <v>94</v>
      </c>
      <c r="D11" s="24">
        <v>0.5</v>
      </c>
      <c r="E11" s="24">
        <v>0</v>
      </c>
      <c r="F11" s="24">
        <v>22</v>
      </c>
      <c r="G11" s="24">
        <v>4.5714285714285712</v>
      </c>
      <c r="H11" s="24">
        <v>14.000000000000002</v>
      </c>
    </row>
    <row r="13" spans="1:8" ht="15" thickBot="1" x14ac:dyDescent="0.4">
      <c r="A13" t="s">
        <v>40</v>
      </c>
    </row>
    <row r="14" spans="1:8" x14ac:dyDescent="0.35">
      <c r="B14" s="29"/>
      <c r="C14" s="29"/>
      <c r="D14" s="29" t="s">
        <v>65</v>
      </c>
      <c r="E14" s="29" t="s">
        <v>74</v>
      </c>
      <c r="F14" s="29" t="s">
        <v>76</v>
      </c>
      <c r="G14" s="29" t="s">
        <v>71</v>
      </c>
      <c r="H14" s="29" t="s">
        <v>71</v>
      </c>
    </row>
    <row r="15" spans="1:8" ht="15" thickBot="1" x14ac:dyDescent="0.4">
      <c r="B15" s="30" t="s">
        <v>34</v>
      </c>
      <c r="C15" s="30" t="s">
        <v>35</v>
      </c>
      <c r="D15" s="30" t="s">
        <v>66</v>
      </c>
      <c r="E15" s="30" t="s">
        <v>75</v>
      </c>
      <c r="F15" s="30" t="s">
        <v>77</v>
      </c>
      <c r="G15" s="30" t="s">
        <v>72</v>
      </c>
      <c r="H15" s="30" t="s">
        <v>73</v>
      </c>
    </row>
    <row r="16" spans="1:8" x14ac:dyDescent="0.35">
      <c r="B16" s="26" t="s">
        <v>95</v>
      </c>
      <c r="C16" s="26" t="s">
        <v>102</v>
      </c>
      <c r="D16" s="26">
        <v>7</v>
      </c>
      <c r="E16" s="26">
        <v>2.5999999999999996</v>
      </c>
      <c r="F16" s="26">
        <v>7</v>
      </c>
      <c r="G16" s="26">
        <v>5</v>
      </c>
      <c r="H16" s="26">
        <v>5</v>
      </c>
    </row>
    <row r="17" spans="2:8" ht="15" thickBot="1" x14ac:dyDescent="0.4">
      <c r="B17" s="24" t="s">
        <v>97</v>
      </c>
      <c r="C17" s="24" t="s">
        <v>103</v>
      </c>
      <c r="D17" s="24">
        <v>3</v>
      </c>
      <c r="E17" s="24">
        <v>5.6000000000000005</v>
      </c>
      <c r="F17" s="24">
        <v>3</v>
      </c>
      <c r="G17" s="24">
        <v>7.5000000000000009</v>
      </c>
      <c r="H17" s="24">
        <v>1.25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ABF8-3C89-45AF-8DA4-0961DD40AF52}">
  <dimension ref="A1:J15"/>
  <sheetViews>
    <sheetView showGridLines="0" workbookViewId="0"/>
  </sheetViews>
  <sheetFormatPr defaultRowHeight="14.5" x14ac:dyDescent="0.35"/>
  <cols>
    <col min="1" max="1" width="2.36328125" customWidth="1"/>
    <col min="2" max="2" width="6.1796875" bestFit="1" customWidth="1"/>
    <col min="3" max="3" width="14.54296875" bestFit="1" customWidth="1"/>
    <col min="4" max="4" width="5.81640625" bestFit="1" customWidth="1"/>
    <col min="5" max="5" width="2.36328125" customWidth="1"/>
    <col min="6" max="6" width="6.08984375" bestFit="1" customWidth="1"/>
    <col min="7" max="7" width="9" bestFit="1" customWidth="1"/>
    <col min="8" max="8" width="2.36328125" customWidth="1"/>
    <col min="9" max="9" width="6.1796875" bestFit="1" customWidth="1"/>
    <col min="10" max="10" width="9" bestFit="1" customWidth="1"/>
  </cols>
  <sheetData>
    <row r="1" spans="1:10" x14ac:dyDescent="0.35">
      <c r="A1" s="23" t="s">
        <v>78</v>
      </c>
    </row>
    <row r="2" spans="1:10" x14ac:dyDescent="0.35">
      <c r="A2" s="23" t="s">
        <v>23</v>
      </c>
    </row>
    <row r="3" spans="1:10" x14ac:dyDescent="0.35">
      <c r="A3" s="23" t="s">
        <v>101</v>
      </c>
    </row>
    <row r="5" spans="1:10" ht="15" thickBot="1" x14ac:dyDescent="0.4"/>
    <row r="6" spans="1:10" x14ac:dyDescent="0.35">
      <c r="B6" s="29"/>
      <c r="C6" s="29" t="s">
        <v>69</v>
      </c>
      <c r="D6" s="29"/>
    </row>
    <row r="7" spans="1:10" ht="15" thickBot="1" x14ac:dyDescent="0.4">
      <c r="B7" s="30" t="s">
        <v>34</v>
      </c>
      <c r="C7" s="30" t="s">
        <v>35</v>
      </c>
      <c r="D7" s="30" t="s">
        <v>66</v>
      </c>
    </row>
    <row r="8" spans="1:10" ht="15" thickBot="1" x14ac:dyDescent="0.4">
      <c r="B8" s="24" t="s">
        <v>87</v>
      </c>
      <c r="C8" s="24" t="s">
        <v>88</v>
      </c>
      <c r="D8" s="27">
        <v>35</v>
      </c>
    </row>
    <row r="10" spans="1:10" ht="15" thickBot="1" x14ac:dyDescent="0.4"/>
    <row r="11" spans="1:10" x14ac:dyDescent="0.35">
      <c r="B11" s="29"/>
      <c r="C11" s="29" t="s">
        <v>79</v>
      </c>
      <c r="D11" s="29"/>
      <c r="F11" s="29" t="s">
        <v>80</v>
      </c>
      <c r="G11" s="29" t="s">
        <v>69</v>
      </c>
      <c r="I11" s="29" t="s">
        <v>83</v>
      </c>
      <c r="J11" s="29" t="s">
        <v>69</v>
      </c>
    </row>
    <row r="12" spans="1:10" ht="15" thickBot="1" x14ac:dyDescent="0.4">
      <c r="B12" s="30" t="s">
        <v>34</v>
      </c>
      <c r="C12" s="30" t="s">
        <v>35</v>
      </c>
      <c r="D12" s="30" t="s">
        <v>66</v>
      </c>
      <c r="F12" s="30" t="s">
        <v>81</v>
      </c>
      <c r="G12" s="30" t="s">
        <v>82</v>
      </c>
      <c r="I12" s="30" t="s">
        <v>81</v>
      </c>
      <c r="J12" s="30" t="s">
        <v>82</v>
      </c>
    </row>
    <row r="13" spans="1:10" x14ac:dyDescent="0.35">
      <c r="B13" s="26" t="s">
        <v>89</v>
      </c>
      <c r="C13" s="26" t="s">
        <v>90</v>
      </c>
      <c r="D13" s="28">
        <v>0</v>
      </c>
      <c r="F13" s="28">
        <v>0</v>
      </c>
      <c r="G13" s="28">
        <v>35</v>
      </c>
      <c r="I13" s="26" t="e">
        <v>#N/A</v>
      </c>
      <c r="J13" s="26" t="e">
        <v>#N/A</v>
      </c>
    </row>
    <row r="14" spans="1:10" x14ac:dyDescent="0.35">
      <c r="B14" s="26" t="s">
        <v>91</v>
      </c>
      <c r="C14" s="26" t="s">
        <v>92</v>
      </c>
      <c r="D14" s="28">
        <v>1.5</v>
      </c>
      <c r="F14" s="28">
        <v>1.5</v>
      </c>
      <c r="G14" s="28">
        <v>35</v>
      </c>
      <c r="I14" s="26" t="e">
        <v>#N/A</v>
      </c>
      <c r="J14" s="26" t="e">
        <v>#N/A</v>
      </c>
    </row>
    <row r="15" spans="1:10" ht="15" thickBot="1" x14ac:dyDescent="0.4">
      <c r="B15" s="24" t="s">
        <v>93</v>
      </c>
      <c r="C15" s="24" t="s">
        <v>94</v>
      </c>
      <c r="D15" s="27">
        <v>0.5</v>
      </c>
      <c r="F15" s="27">
        <v>0.5</v>
      </c>
      <c r="G15" s="27">
        <v>35</v>
      </c>
      <c r="I15" s="24" t="e">
        <v>#N/A</v>
      </c>
      <c r="J15" s="24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CDD5-193F-47BB-A944-938A45987385}">
  <dimension ref="A1:G30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14.54296875" bestFit="1" customWidth="1"/>
    <col min="4" max="4" width="18" bestFit="1" customWidth="1"/>
    <col min="5" max="5" width="23.26953125" bestFit="1" customWidth="1"/>
    <col min="6" max="6" width="14.6328125" bestFit="1" customWidth="1"/>
    <col min="7" max="7" width="7.08984375" bestFit="1" customWidth="1"/>
  </cols>
  <sheetData>
    <row r="1" spans="1:5" x14ac:dyDescent="0.35">
      <c r="A1" s="37" t="s">
        <v>111</v>
      </c>
    </row>
    <row r="2" spans="1:5" x14ac:dyDescent="0.35">
      <c r="A2" s="37" t="s">
        <v>112</v>
      </c>
    </row>
    <row r="3" spans="1:5" x14ac:dyDescent="0.35">
      <c r="A3" s="37" t="s">
        <v>113</v>
      </c>
    </row>
    <row r="4" spans="1:5" x14ac:dyDescent="0.35">
      <c r="A4" s="37" t="s">
        <v>114</v>
      </c>
    </row>
    <row r="5" spans="1:5" x14ac:dyDescent="0.35">
      <c r="A5" s="37" t="s">
        <v>115</v>
      </c>
    </row>
    <row r="6" spans="1:5" x14ac:dyDescent="0.35">
      <c r="A6" s="37"/>
      <c r="B6" t="s">
        <v>116</v>
      </c>
    </row>
    <row r="7" spans="1:5" x14ac:dyDescent="0.35">
      <c r="A7" s="37"/>
      <c r="B7" t="s">
        <v>117</v>
      </c>
    </row>
    <row r="8" spans="1:5" x14ac:dyDescent="0.35">
      <c r="A8" s="37"/>
      <c r="B8" t="s">
        <v>118</v>
      </c>
    </row>
    <row r="9" spans="1:5" x14ac:dyDescent="0.35">
      <c r="A9" s="37" t="s">
        <v>119</v>
      </c>
    </row>
    <row r="10" spans="1:5" x14ac:dyDescent="0.35">
      <c r="B10" t="s">
        <v>120</v>
      </c>
    </row>
    <row r="11" spans="1:5" x14ac:dyDescent="0.35">
      <c r="B11" t="s">
        <v>121</v>
      </c>
    </row>
    <row r="14" spans="1:5" ht="15" thickBot="1" x14ac:dyDescent="0.4">
      <c r="A14" t="s">
        <v>122</v>
      </c>
    </row>
    <row r="15" spans="1:5" ht="15" thickBot="1" x14ac:dyDescent="0.4">
      <c r="B15" s="38" t="s">
        <v>123</v>
      </c>
      <c r="C15" s="38" t="s">
        <v>124</v>
      </c>
      <c r="D15" s="38" t="s">
        <v>125</v>
      </c>
      <c r="E15" s="38" t="s">
        <v>126</v>
      </c>
    </row>
    <row r="16" spans="1:5" ht="15" thickBot="1" x14ac:dyDescent="0.4">
      <c r="B16" s="24" t="s">
        <v>45</v>
      </c>
      <c r="C16" s="24" t="s">
        <v>46</v>
      </c>
      <c r="D16" s="27">
        <v>34.750000000000007</v>
      </c>
      <c r="E16" s="27">
        <v>26</v>
      </c>
    </row>
    <row r="19" spans="1:7" ht="15" thickBot="1" x14ac:dyDescent="0.4">
      <c r="A19" t="s">
        <v>127</v>
      </c>
    </row>
    <row r="20" spans="1:7" ht="15" thickBot="1" x14ac:dyDescent="0.4">
      <c r="B20" s="38" t="s">
        <v>123</v>
      </c>
      <c r="C20" s="38" t="s">
        <v>124</v>
      </c>
      <c r="D20" s="38" t="s">
        <v>125</v>
      </c>
      <c r="E20" s="38" t="s">
        <v>126</v>
      </c>
      <c r="F20" s="38" t="s">
        <v>128</v>
      </c>
    </row>
    <row r="21" spans="1:7" x14ac:dyDescent="0.35">
      <c r="B21" s="26" t="s">
        <v>47</v>
      </c>
      <c r="C21" s="26" t="s">
        <v>48</v>
      </c>
      <c r="D21" s="28">
        <v>11.833333333333336</v>
      </c>
      <c r="E21" s="28">
        <v>5.9999999999999973</v>
      </c>
      <c r="F21" s="26" t="s">
        <v>133</v>
      </c>
    </row>
    <row r="22" spans="1:7" ht="15" thickBot="1" x14ac:dyDescent="0.4">
      <c r="B22" s="24" t="s">
        <v>50</v>
      </c>
      <c r="C22" s="24" t="s">
        <v>51</v>
      </c>
      <c r="D22" s="27">
        <v>11.083333333333334</v>
      </c>
      <c r="E22" s="27">
        <v>14.000000000000004</v>
      </c>
      <c r="F22" s="24" t="s">
        <v>133</v>
      </c>
    </row>
    <row r="25" spans="1:7" ht="15" thickBot="1" x14ac:dyDescent="0.4">
      <c r="A25" t="s">
        <v>21</v>
      </c>
    </row>
    <row r="26" spans="1:7" ht="15" thickBot="1" x14ac:dyDescent="0.4">
      <c r="B26" s="38" t="s">
        <v>123</v>
      </c>
      <c r="C26" s="38" t="s">
        <v>124</v>
      </c>
      <c r="D26" s="38" t="s">
        <v>129</v>
      </c>
      <c r="E26" s="38" t="s">
        <v>130</v>
      </c>
      <c r="F26" s="38" t="s">
        <v>131</v>
      </c>
      <c r="G26" s="38" t="s">
        <v>132</v>
      </c>
    </row>
    <row r="27" spans="1:7" x14ac:dyDescent="0.35">
      <c r="B27" s="26" t="s">
        <v>52</v>
      </c>
      <c r="C27" s="26" t="s">
        <v>53</v>
      </c>
      <c r="D27" s="28">
        <v>171.99999999999997</v>
      </c>
      <c r="E27" s="26" t="s">
        <v>134</v>
      </c>
      <c r="F27" s="26" t="s">
        <v>135</v>
      </c>
      <c r="G27" s="28">
        <v>86.999999999999972</v>
      </c>
    </row>
    <row r="28" spans="1:7" x14ac:dyDescent="0.35">
      <c r="B28" s="26" t="s">
        <v>56</v>
      </c>
      <c r="C28" s="26" t="s">
        <v>57</v>
      </c>
      <c r="D28" s="28">
        <v>20</v>
      </c>
      <c r="E28" s="26" t="s">
        <v>136</v>
      </c>
      <c r="F28" s="26" t="s">
        <v>137</v>
      </c>
      <c r="G28" s="28">
        <v>0</v>
      </c>
    </row>
    <row r="29" spans="1:7" x14ac:dyDescent="0.35">
      <c r="B29" s="26" t="s">
        <v>60</v>
      </c>
      <c r="C29" s="26" t="s">
        <v>61</v>
      </c>
      <c r="D29" s="28">
        <v>69.999999999999986</v>
      </c>
      <c r="E29" s="26" t="s">
        <v>62</v>
      </c>
      <c r="F29" s="26" t="s">
        <v>135</v>
      </c>
      <c r="G29" s="26">
        <v>35.000000000000014</v>
      </c>
    </row>
    <row r="30" spans="1:7" ht="15" thickBot="1" x14ac:dyDescent="0.4">
      <c r="B30" s="24" t="s">
        <v>138</v>
      </c>
      <c r="C30" s="24" t="s">
        <v>139</v>
      </c>
      <c r="D30" s="27">
        <v>34.000000000000007</v>
      </c>
      <c r="E30" s="24" t="s">
        <v>140</v>
      </c>
      <c r="F30" s="24" t="s">
        <v>137</v>
      </c>
      <c r="G30" s="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1045-2191-4548-A247-C44B2C0FD6D8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7.08984375" bestFit="1" customWidth="1"/>
    <col min="3" max="3" width="8.26953125" bestFit="1" customWidth="1"/>
    <col min="4" max="4" width="14.54296875" bestFit="1" customWidth="1"/>
    <col min="5" max="5" width="11.1796875" bestFit="1" customWidth="1"/>
    <col min="6" max="6" width="16.26953125" bestFit="1" customWidth="1"/>
    <col min="7" max="7" width="11.81640625" bestFit="1" customWidth="1"/>
    <col min="8" max="8" width="12.1796875" bestFit="1" customWidth="1"/>
  </cols>
  <sheetData>
    <row r="1" spans="1:8" x14ac:dyDescent="0.35">
      <c r="A1" s="37" t="s">
        <v>141</v>
      </c>
    </row>
    <row r="2" spans="1:8" x14ac:dyDescent="0.35">
      <c r="A2" s="37" t="s">
        <v>112</v>
      </c>
    </row>
    <row r="3" spans="1:8" x14ac:dyDescent="0.35">
      <c r="A3" s="37" t="s">
        <v>113</v>
      </c>
    </row>
    <row r="6" spans="1:8" ht="15" thickBot="1" x14ac:dyDescent="0.4">
      <c r="A6" t="s">
        <v>127</v>
      </c>
    </row>
    <row r="7" spans="1:8" x14ac:dyDescent="0.35">
      <c r="B7" s="39"/>
      <c r="C7" s="39"/>
      <c r="D7" s="39" t="s">
        <v>142</v>
      </c>
      <c r="E7" s="39" t="s">
        <v>144</v>
      </c>
      <c r="F7" s="39" t="s">
        <v>146</v>
      </c>
      <c r="G7" s="39" t="s">
        <v>148</v>
      </c>
      <c r="H7" s="39" t="s">
        <v>148</v>
      </c>
    </row>
    <row r="8" spans="1:8" ht="15" thickBot="1" x14ac:dyDescent="0.4">
      <c r="B8" s="40" t="s">
        <v>123</v>
      </c>
      <c r="C8" s="40" t="s">
        <v>124</v>
      </c>
      <c r="D8" s="40" t="s">
        <v>143</v>
      </c>
      <c r="E8" s="40" t="s">
        <v>145</v>
      </c>
      <c r="F8" s="40" t="s">
        <v>147</v>
      </c>
      <c r="G8" s="40" t="s">
        <v>149</v>
      </c>
      <c r="H8" s="40" t="s">
        <v>150</v>
      </c>
    </row>
    <row r="9" spans="1:8" x14ac:dyDescent="0.35">
      <c r="B9" s="26" t="s">
        <v>47</v>
      </c>
      <c r="C9" s="26" t="s">
        <v>48</v>
      </c>
      <c r="D9" s="26">
        <v>5.9999999999999973</v>
      </c>
      <c r="E9" s="26">
        <v>0</v>
      </c>
      <c r="F9" s="26">
        <v>2</v>
      </c>
      <c r="G9" s="26">
        <v>1E+30</v>
      </c>
      <c r="H9" s="26">
        <v>1</v>
      </c>
    </row>
    <row r="10" spans="1:8" ht="15" thickBot="1" x14ac:dyDescent="0.4">
      <c r="B10" s="24" t="s">
        <v>50</v>
      </c>
      <c r="C10" s="24" t="s">
        <v>51</v>
      </c>
      <c r="D10" s="24">
        <v>14.000000000000004</v>
      </c>
      <c r="E10" s="24">
        <v>0</v>
      </c>
      <c r="F10" s="24">
        <v>1</v>
      </c>
      <c r="G10" s="24">
        <v>1</v>
      </c>
      <c r="H10" s="24">
        <v>1E+30</v>
      </c>
    </row>
    <row r="12" spans="1:8" ht="15" thickBot="1" x14ac:dyDescent="0.4">
      <c r="A12" t="s">
        <v>21</v>
      </c>
    </row>
    <row r="13" spans="1:8" x14ac:dyDescent="0.35">
      <c r="B13" s="39"/>
      <c r="C13" s="39"/>
      <c r="D13" s="39" t="s">
        <v>142</v>
      </c>
      <c r="E13" s="39" t="s">
        <v>151</v>
      </c>
      <c r="F13" s="39" t="s">
        <v>153</v>
      </c>
      <c r="G13" s="39" t="s">
        <v>148</v>
      </c>
      <c r="H13" s="39" t="s">
        <v>148</v>
      </c>
    </row>
    <row r="14" spans="1:8" ht="15" thickBot="1" x14ac:dyDescent="0.4">
      <c r="B14" s="40" t="s">
        <v>123</v>
      </c>
      <c r="C14" s="40" t="s">
        <v>124</v>
      </c>
      <c r="D14" s="40" t="s">
        <v>143</v>
      </c>
      <c r="E14" s="40" t="s">
        <v>152</v>
      </c>
      <c r="F14" s="40" t="s">
        <v>154</v>
      </c>
      <c r="G14" s="40" t="s">
        <v>149</v>
      </c>
      <c r="H14" s="40" t="s">
        <v>150</v>
      </c>
    </row>
    <row r="15" spans="1:8" x14ac:dyDescent="0.35">
      <c r="B15" s="26" t="s">
        <v>52</v>
      </c>
      <c r="C15" s="26" t="s">
        <v>53</v>
      </c>
      <c r="D15" s="26">
        <v>171.99999999999997</v>
      </c>
      <c r="E15" s="26">
        <v>0</v>
      </c>
      <c r="F15" s="26">
        <v>85</v>
      </c>
      <c r="G15" s="26">
        <v>86.999999999999943</v>
      </c>
      <c r="H15" s="26">
        <v>1E+30</v>
      </c>
    </row>
    <row r="16" spans="1:8" x14ac:dyDescent="0.35">
      <c r="B16" s="26" t="s">
        <v>56</v>
      </c>
      <c r="C16" s="26" t="s">
        <v>57</v>
      </c>
      <c r="D16" s="26">
        <v>20</v>
      </c>
      <c r="E16" s="26">
        <v>3.0000000000000004</v>
      </c>
      <c r="F16" s="26">
        <v>20</v>
      </c>
      <c r="G16" s="26">
        <v>2.9166666666666692</v>
      </c>
      <c r="H16" s="26">
        <v>2.9999999999999978</v>
      </c>
    </row>
    <row r="17" spans="2:8" x14ac:dyDescent="0.35">
      <c r="B17" s="26" t="s">
        <v>60</v>
      </c>
      <c r="C17" s="26" t="s">
        <v>61</v>
      </c>
      <c r="D17" s="26">
        <v>69.999999999999986</v>
      </c>
      <c r="E17" s="26">
        <v>0</v>
      </c>
      <c r="F17" s="26">
        <v>105</v>
      </c>
      <c r="G17" s="26">
        <v>1E+30</v>
      </c>
      <c r="H17" s="26">
        <v>35.000000000000028</v>
      </c>
    </row>
    <row r="18" spans="2:8" ht="15" thickBot="1" x14ac:dyDescent="0.4">
      <c r="B18" s="24" t="s">
        <v>138</v>
      </c>
      <c r="C18" s="24" t="s">
        <v>139</v>
      </c>
      <c r="D18" s="24">
        <v>34.000000000000007</v>
      </c>
      <c r="E18" s="24">
        <v>-1</v>
      </c>
      <c r="F18" s="24">
        <v>34</v>
      </c>
      <c r="G18" s="24">
        <v>5.9999999999999973</v>
      </c>
      <c r="H18" s="24">
        <v>7.0000000000000053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CAF1-EBE3-4F83-97E4-C930EBC8ECA4}">
  <dimension ref="A1:J14"/>
  <sheetViews>
    <sheetView showGridLines="0" workbookViewId="0">
      <selection sqref="A1:A3"/>
    </sheetView>
  </sheetViews>
  <sheetFormatPr defaultRowHeight="14.5" x14ac:dyDescent="0.35"/>
  <cols>
    <col min="1" max="1" width="2.1796875" customWidth="1"/>
    <col min="2" max="2" width="7.08984375" bestFit="1" customWidth="1"/>
    <col min="3" max="3" width="11.81640625" bestFit="1" customWidth="1"/>
    <col min="4" max="4" width="9.08984375" bestFit="1" customWidth="1"/>
    <col min="5" max="5" width="2.1796875" customWidth="1"/>
    <col min="6" max="6" width="7.90625" bestFit="1" customWidth="1"/>
    <col min="7" max="7" width="16.26953125" bestFit="1" customWidth="1"/>
    <col min="8" max="8" width="2.1796875" customWidth="1"/>
    <col min="9" max="9" width="8.1796875" bestFit="1" customWidth="1"/>
    <col min="10" max="10" width="16.26953125" bestFit="1" customWidth="1"/>
  </cols>
  <sheetData>
    <row r="1" spans="1:10" x14ac:dyDescent="0.35">
      <c r="A1" s="37" t="s">
        <v>155</v>
      </c>
    </row>
    <row r="2" spans="1:10" x14ac:dyDescent="0.35">
      <c r="A2" s="37" t="s">
        <v>112</v>
      </c>
    </row>
    <row r="3" spans="1:10" x14ac:dyDescent="0.35">
      <c r="A3" s="37" t="s">
        <v>113</v>
      </c>
    </row>
    <row r="5" spans="1:10" ht="15" thickBot="1" x14ac:dyDescent="0.4"/>
    <row r="6" spans="1:10" x14ac:dyDescent="0.35">
      <c r="B6" s="39"/>
      <c r="C6" s="39" t="s">
        <v>146</v>
      </c>
      <c r="D6" s="39"/>
    </row>
    <row r="7" spans="1:10" ht="15" thickBot="1" x14ac:dyDescent="0.4">
      <c r="B7" s="40" t="s">
        <v>123</v>
      </c>
      <c r="C7" s="40" t="s">
        <v>124</v>
      </c>
      <c r="D7" s="40" t="s">
        <v>143</v>
      </c>
    </row>
    <row r="8" spans="1:10" ht="15" thickBot="1" x14ac:dyDescent="0.4">
      <c r="B8" s="24" t="s">
        <v>45</v>
      </c>
      <c r="C8" s="24" t="s">
        <v>46</v>
      </c>
      <c r="D8" s="27">
        <v>26</v>
      </c>
    </row>
    <row r="10" spans="1:10" ht="15" thickBot="1" x14ac:dyDescent="0.4"/>
    <row r="11" spans="1:10" x14ac:dyDescent="0.35">
      <c r="B11" s="39"/>
      <c r="C11" s="39" t="s">
        <v>156</v>
      </c>
      <c r="D11" s="39"/>
      <c r="F11" s="39" t="s">
        <v>157</v>
      </c>
      <c r="G11" s="39" t="s">
        <v>146</v>
      </c>
      <c r="I11" s="39" t="s">
        <v>160</v>
      </c>
      <c r="J11" s="39" t="s">
        <v>146</v>
      </c>
    </row>
    <row r="12" spans="1:10" ht="15" thickBot="1" x14ac:dyDescent="0.4">
      <c r="B12" s="40" t="s">
        <v>123</v>
      </c>
      <c r="C12" s="40" t="s">
        <v>124</v>
      </c>
      <c r="D12" s="40" t="s">
        <v>143</v>
      </c>
      <c r="F12" s="40" t="s">
        <v>158</v>
      </c>
      <c r="G12" s="40" t="s">
        <v>159</v>
      </c>
      <c r="I12" s="40" t="s">
        <v>158</v>
      </c>
      <c r="J12" s="40" t="s">
        <v>159</v>
      </c>
    </row>
    <row r="13" spans="1:10" x14ac:dyDescent="0.35">
      <c r="B13" s="26" t="s">
        <v>47</v>
      </c>
      <c r="C13" s="26" t="s">
        <v>48</v>
      </c>
      <c r="D13" s="28">
        <v>5.9999999999999973</v>
      </c>
      <c r="F13" s="28">
        <v>5.9999999999999964</v>
      </c>
      <c r="G13" s="28">
        <v>25.999999999999996</v>
      </c>
      <c r="I13" s="28">
        <v>5.9999999999999929</v>
      </c>
      <c r="J13" s="28">
        <v>25.999999999999989</v>
      </c>
    </row>
    <row r="14" spans="1:10" ht="15" thickBot="1" x14ac:dyDescent="0.4">
      <c r="B14" s="24" t="s">
        <v>50</v>
      </c>
      <c r="C14" s="24" t="s">
        <v>51</v>
      </c>
      <c r="D14" s="27">
        <v>14.000000000000004</v>
      </c>
      <c r="F14" s="27">
        <v>14.000000000000002</v>
      </c>
      <c r="G14" s="27">
        <v>25.999999999999996</v>
      </c>
      <c r="I14" s="27">
        <v>14.000000000000002</v>
      </c>
      <c r="J14" s="27">
        <v>25.999999999999996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="82" zoomScaleNormal="85" workbookViewId="0">
      <selection activeCell="G8" sqref="G8"/>
    </sheetView>
  </sheetViews>
  <sheetFormatPr defaultColWidth="10.81640625" defaultRowHeight="15.5" x14ac:dyDescent="0.45"/>
  <cols>
    <col min="1" max="1" width="20.08984375" style="1" customWidth="1"/>
    <col min="2" max="2" width="18.54296875" style="1" customWidth="1"/>
    <col min="3" max="3" width="17.90625" style="1" customWidth="1"/>
    <col min="4" max="4" width="19.08984375" style="1" customWidth="1"/>
    <col min="5" max="9" width="10.81640625" style="1"/>
    <col min="10" max="10" width="20" style="1" customWidth="1"/>
    <col min="11" max="16384" width="10.81640625" style="1"/>
  </cols>
  <sheetData>
    <row r="1" spans="1:5" x14ac:dyDescent="0.45">
      <c r="A1" s="7" t="s">
        <v>104</v>
      </c>
    </row>
    <row r="2" spans="1:5" x14ac:dyDescent="0.45">
      <c r="A2" s="7" t="s">
        <v>106</v>
      </c>
    </row>
    <row r="3" spans="1:5" x14ac:dyDescent="0.45">
      <c r="A3" s="7" t="s">
        <v>105</v>
      </c>
    </row>
    <row r="4" spans="1:5" x14ac:dyDescent="0.45">
      <c r="A4" s="7" t="s">
        <v>107</v>
      </c>
    </row>
    <row r="5" spans="1:5" x14ac:dyDescent="0.45">
      <c r="A5" s="1" t="s">
        <v>108</v>
      </c>
    </row>
    <row r="6" spans="1:5" s="41" customFormat="1" x14ac:dyDescent="0.45">
      <c r="A6" s="41" t="s">
        <v>163</v>
      </c>
    </row>
    <row r="8" spans="1:5" ht="31.75" customHeight="1" x14ac:dyDescent="0.45">
      <c r="A8" s="8" t="s">
        <v>20</v>
      </c>
      <c r="B8" s="9">
        <v>2</v>
      </c>
      <c r="C8" s="9">
        <v>1</v>
      </c>
      <c r="D8" s="5" t="s">
        <v>165</v>
      </c>
      <c r="E8" s="5"/>
    </row>
    <row r="9" spans="1:5" x14ac:dyDescent="0.45">
      <c r="A9" s="10" t="s">
        <v>7</v>
      </c>
      <c r="B9" s="5" t="s">
        <v>0</v>
      </c>
      <c r="C9" s="5" t="s">
        <v>1</v>
      </c>
      <c r="D9" s="5" t="s">
        <v>2</v>
      </c>
      <c r="E9" s="5" t="s">
        <v>3</v>
      </c>
    </row>
    <row r="10" spans="1:5" x14ac:dyDescent="0.45">
      <c r="A10" s="5" t="s">
        <v>4</v>
      </c>
      <c r="B10" s="9">
        <v>17</v>
      </c>
      <c r="C10" s="9">
        <v>5</v>
      </c>
      <c r="D10" s="5" t="s">
        <v>16</v>
      </c>
      <c r="E10" s="9">
        <v>85</v>
      </c>
    </row>
    <row r="11" spans="1:5" x14ac:dyDescent="0.45">
      <c r="A11" s="5" t="s">
        <v>5</v>
      </c>
      <c r="B11" s="9">
        <v>-1</v>
      </c>
      <c r="C11" s="9">
        <v>-1</v>
      </c>
      <c r="D11" s="5" t="s">
        <v>16</v>
      </c>
      <c r="E11" s="9">
        <v>-20</v>
      </c>
    </row>
    <row r="12" spans="1:5" x14ac:dyDescent="0.45">
      <c r="A12" s="5" t="s">
        <v>6</v>
      </c>
      <c r="B12" s="9">
        <v>-7</v>
      </c>
      <c r="C12" s="9">
        <v>-2</v>
      </c>
      <c r="D12" s="5" t="s">
        <v>16</v>
      </c>
      <c r="E12" s="9">
        <v>-105</v>
      </c>
    </row>
    <row r="13" spans="1:5" x14ac:dyDescent="0.45">
      <c r="A13" s="5" t="s">
        <v>110</v>
      </c>
      <c r="B13" s="9">
        <v>-1</v>
      </c>
      <c r="C13" s="9">
        <v>-2</v>
      </c>
      <c r="D13" s="5" t="s">
        <v>16</v>
      </c>
      <c r="E13" s="5">
        <v>-34</v>
      </c>
    </row>
    <row r="15" spans="1:5" x14ac:dyDescent="0.45">
      <c r="A15" s="1" t="s">
        <v>166</v>
      </c>
    </row>
    <row r="16" spans="1:5" x14ac:dyDescent="0.45">
      <c r="A16" s="1" t="s">
        <v>167</v>
      </c>
    </row>
    <row r="17" spans="1:14" x14ac:dyDescent="0.45">
      <c r="A17" s="1" t="s">
        <v>168</v>
      </c>
    </row>
    <row r="20" spans="1:14" s="42" customFormat="1" x14ac:dyDescent="0.45">
      <c r="A20" s="42" t="s">
        <v>164</v>
      </c>
    </row>
    <row r="21" spans="1:14" ht="16" thickBot="1" x14ac:dyDescent="0.5"/>
    <row r="22" spans="1:14" x14ac:dyDescent="0.45">
      <c r="A22" s="48" t="s">
        <v>7</v>
      </c>
      <c r="B22" s="49"/>
      <c r="C22" s="49"/>
      <c r="D22" s="49"/>
      <c r="E22" s="49"/>
      <c r="F22" s="49"/>
      <c r="G22" s="49"/>
      <c r="H22" s="50"/>
      <c r="J22" s="34"/>
      <c r="K22" s="35"/>
      <c r="L22" s="35"/>
      <c r="M22" s="12"/>
      <c r="N22" s="12"/>
    </row>
    <row r="23" spans="1:14" x14ac:dyDescent="0.45">
      <c r="A23" s="22" t="s">
        <v>8</v>
      </c>
      <c r="B23" s="14" t="s">
        <v>0</v>
      </c>
      <c r="C23" s="14" t="s">
        <v>1</v>
      </c>
      <c r="D23" s="51"/>
      <c r="E23" s="52"/>
      <c r="F23" s="52"/>
      <c r="G23" s="52"/>
      <c r="H23" s="53"/>
      <c r="J23" s="36"/>
      <c r="K23" s="12"/>
      <c r="L23" s="12"/>
      <c r="M23" s="12"/>
      <c r="N23" s="12"/>
    </row>
    <row r="24" spans="1:14" x14ac:dyDescent="0.45">
      <c r="A24" s="17" t="s">
        <v>9</v>
      </c>
      <c r="B24" s="6">
        <v>5</v>
      </c>
      <c r="C24" s="6">
        <v>0</v>
      </c>
      <c r="D24" s="54"/>
      <c r="E24" s="55"/>
      <c r="F24" s="55"/>
      <c r="G24" s="55"/>
      <c r="H24" s="56"/>
      <c r="J24" s="12"/>
      <c r="K24" s="35"/>
      <c r="L24" s="35"/>
      <c r="M24" s="12"/>
      <c r="N24" s="35"/>
    </row>
    <row r="25" spans="1:14" ht="16" thickBot="1" x14ac:dyDescent="0.5">
      <c r="A25" s="16" t="s">
        <v>10</v>
      </c>
      <c r="B25" s="13">
        <v>2</v>
      </c>
      <c r="C25" s="13">
        <v>1</v>
      </c>
      <c r="D25" s="18">
        <f>SUMPRODUCT(B$24:C$24,B25:C25)</f>
        <v>10</v>
      </c>
      <c r="E25" s="46" t="s">
        <v>11</v>
      </c>
      <c r="F25" s="46"/>
      <c r="G25" s="46"/>
      <c r="H25" s="47"/>
      <c r="J25" s="12"/>
      <c r="K25" s="35"/>
      <c r="L25" s="35"/>
      <c r="M25" s="12"/>
      <c r="N25" s="35"/>
    </row>
    <row r="26" spans="1:14" ht="16" thickBot="1" x14ac:dyDescent="0.5">
      <c r="A26" s="48" t="s">
        <v>21</v>
      </c>
      <c r="B26" s="49"/>
      <c r="C26" s="49"/>
      <c r="D26" s="49"/>
      <c r="E26" s="49"/>
      <c r="F26" s="49"/>
      <c r="G26" s="49"/>
      <c r="H26" s="50"/>
      <c r="J26" s="12"/>
      <c r="K26" s="35"/>
      <c r="L26" s="35"/>
      <c r="M26" s="12"/>
      <c r="N26" s="35"/>
    </row>
    <row r="27" spans="1:14" x14ac:dyDescent="0.45">
      <c r="A27" s="22" t="s">
        <v>12</v>
      </c>
      <c r="B27" s="54"/>
      <c r="C27" s="57"/>
      <c r="D27" s="2" t="s">
        <v>13</v>
      </c>
      <c r="E27" s="2" t="s">
        <v>14</v>
      </c>
      <c r="F27" s="2" t="s">
        <v>15</v>
      </c>
      <c r="G27" s="4"/>
      <c r="H27" s="19"/>
      <c r="J27" s="12"/>
      <c r="K27" s="12"/>
      <c r="L27" s="12"/>
      <c r="M27" s="12"/>
      <c r="N27" s="12"/>
    </row>
    <row r="28" spans="1:14" x14ac:dyDescent="0.45">
      <c r="A28" s="3" t="s">
        <v>17</v>
      </c>
      <c r="B28" s="3">
        <v>17</v>
      </c>
      <c r="C28" s="3">
        <v>5</v>
      </c>
      <c r="D28" s="3">
        <f>SUMPRODUCT($B24:$C24,B28:C28)</f>
        <v>85</v>
      </c>
      <c r="E28" s="3" t="s">
        <v>16</v>
      </c>
      <c r="F28" s="3">
        <v>85</v>
      </c>
      <c r="G28" s="4"/>
      <c r="H28" s="19"/>
    </row>
    <row r="29" spans="1:14" x14ac:dyDescent="0.45">
      <c r="A29" s="3" t="s">
        <v>18</v>
      </c>
      <c r="B29" s="3">
        <v>-1</v>
      </c>
      <c r="C29" s="3">
        <v>-1</v>
      </c>
      <c r="D29" s="3">
        <f>SUMPRODUCT($B24:$C24,B29:C29)</f>
        <v>-5</v>
      </c>
      <c r="E29" s="3" t="s">
        <v>16</v>
      </c>
      <c r="F29" s="3">
        <v>-20</v>
      </c>
      <c r="G29" s="4"/>
      <c r="H29" s="19"/>
    </row>
    <row r="30" spans="1:14" ht="16" thickBot="1" x14ac:dyDescent="0.5">
      <c r="A30" s="13" t="s">
        <v>19</v>
      </c>
      <c r="B30" s="13">
        <v>-7</v>
      </c>
      <c r="C30" s="13">
        <v>-2</v>
      </c>
      <c r="D30" s="13">
        <f>SUMPRODUCT($B24:$C24,B30:C30)</f>
        <v>-35</v>
      </c>
      <c r="E30" s="13" t="s">
        <v>16</v>
      </c>
      <c r="F30" s="13">
        <v>-105</v>
      </c>
      <c r="G30" s="20"/>
      <c r="H30" s="21"/>
    </row>
    <row r="31" spans="1:14" ht="16" thickBot="1" x14ac:dyDescent="0.5">
      <c r="A31" s="13" t="s">
        <v>109</v>
      </c>
      <c r="B31" s="13">
        <v>-1</v>
      </c>
      <c r="C31" s="13">
        <v>-2</v>
      </c>
      <c r="D31" s="13">
        <f>SUMPRODUCT($B24:$C24,B31:C31)</f>
        <v>-5</v>
      </c>
      <c r="E31" s="13" t="s">
        <v>16</v>
      </c>
      <c r="F31" s="13">
        <v>-34</v>
      </c>
      <c r="G31" s="20"/>
      <c r="H31" s="21"/>
    </row>
    <row r="32" spans="1:14" ht="16" thickBot="1" x14ac:dyDescent="0.5">
      <c r="A32" s="48" t="s">
        <v>7</v>
      </c>
      <c r="B32" s="49"/>
      <c r="C32" s="49"/>
      <c r="D32" s="49"/>
      <c r="E32" s="49"/>
      <c r="F32" s="49"/>
      <c r="G32" s="49"/>
      <c r="H32" s="50"/>
      <c r="J32" s="11"/>
    </row>
    <row r="33" spans="1:10" x14ac:dyDescent="0.45">
      <c r="A33" s="33" t="s">
        <v>8</v>
      </c>
      <c r="B33" s="15" t="s">
        <v>4</v>
      </c>
      <c r="C33" s="15" t="s">
        <v>5</v>
      </c>
      <c r="D33" s="15" t="s">
        <v>6</v>
      </c>
      <c r="E33" s="1" t="s">
        <v>110</v>
      </c>
      <c r="F33" s="11"/>
    </row>
    <row r="34" spans="1:10" x14ac:dyDescent="0.45">
      <c r="A34" s="17" t="s">
        <v>9</v>
      </c>
      <c r="B34" s="6">
        <v>0.11764705882352941</v>
      </c>
      <c r="C34" s="6">
        <v>0</v>
      </c>
      <c r="D34" s="6">
        <v>0</v>
      </c>
      <c r="E34" s="1">
        <v>0</v>
      </c>
    </row>
    <row r="35" spans="1:10" ht="16" thickBot="1" x14ac:dyDescent="0.5">
      <c r="A35" s="16" t="s">
        <v>10</v>
      </c>
      <c r="B35" s="13">
        <v>85</v>
      </c>
      <c r="C35" s="13">
        <v>-20</v>
      </c>
      <c r="D35" s="13">
        <v>-105</v>
      </c>
      <c r="E35" s="18">
        <v>-34</v>
      </c>
      <c r="F35" s="1">
        <f>SUMPRODUCT(B$34:E$34,B35:E35)</f>
        <v>10</v>
      </c>
      <c r="G35" s="46" t="s">
        <v>11</v>
      </c>
      <c r="H35" s="46"/>
      <c r="I35" s="46"/>
      <c r="J35" s="47"/>
    </row>
    <row r="36" spans="1:10" ht="16" thickBot="1" x14ac:dyDescent="0.5">
      <c r="A36" s="48" t="s">
        <v>21</v>
      </c>
      <c r="B36" s="49"/>
      <c r="C36" s="49"/>
      <c r="D36" s="49"/>
      <c r="E36" s="49"/>
      <c r="F36" s="49"/>
      <c r="G36" s="49"/>
      <c r="H36" s="50"/>
    </row>
    <row r="37" spans="1:10" x14ac:dyDescent="0.45">
      <c r="A37" s="22" t="s">
        <v>12</v>
      </c>
      <c r="B37" s="43"/>
      <c r="C37" s="44"/>
      <c r="D37" s="45"/>
      <c r="E37" s="2"/>
      <c r="F37" s="2" t="s">
        <v>161</v>
      </c>
      <c r="G37" s="2" t="s">
        <v>14</v>
      </c>
      <c r="H37" s="31" t="s">
        <v>162</v>
      </c>
    </row>
    <row r="38" spans="1:10" x14ac:dyDescent="0.45">
      <c r="A38" s="17" t="s">
        <v>99</v>
      </c>
      <c r="B38" s="3">
        <v>17</v>
      </c>
      <c r="C38" s="3">
        <v>-1</v>
      </c>
      <c r="D38" s="3">
        <v>-7</v>
      </c>
      <c r="E38" s="3">
        <v>-1</v>
      </c>
      <c r="F38" s="3">
        <f>SUMPRODUCT(B$34:E$34,B38:E38)</f>
        <v>2</v>
      </c>
      <c r="G38" s="3" t="s">
        <v>16</v>
      </c>
      <c r="H38" s="31">
        <v>2</v>
      </c>
    </row>
    <row r="39" spans="1:10" ht="16" thickBot="1" x14ac:dyDescent="0.5">
      <c r="A39" s="16" t="s">
        <v>100</v>
      </c>
      <c r="B39" s="13">
        <v>5</v>
      </c>
      <c r="C39" s="13">
        <v>-1</v>
      </c>
      <c r="D39" s="13">
        <v>-2</v>
      </c>
      <c r="E39" s="13">
        <v>-2</v>
      </c>
      <c r="F39" s="13">
        <f>SUMPRODUCT(B$34:E$34,B39:E39)</f>
        <v>0.58823529411764708</v>
      </c>
      <c r="G39" s="3" t="s">
        <v>16</v>
      </c>
      <c r="H39" s="32">
        <v>1</v>
      </c>
    </row>
  </sheetData>
  <mergeCells count="11">
    <mergeCell ref="A6:XFD6"/>
    <mergeCell ref="A20:XFD20"/>
    <mergeCell ref="B37:D37"/>
    <mergeCell ref="G35:J35"/>
    <mergeCell ref="A22:H22"/>
    <mergeCell ref="D23:H24"/>
    <mergeCell ref="E25:H25"/>
    <mergeCell ref="A26:H26"/>
    <mergeCell ref="B27:C27"/>
    <mergeCell ref="A32:H32"/>
    <mergeCell ref="A36:H3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Отчет о результатах 1</vt:lpstr>
      <vt:lpstr>Отчет об устойчивости 1</vt:lpstr>
      <vt:lpstr>Отчет о пределах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Саша Бражалович</cp:lastModifiedBy>
  <dcterms:created xsi:type="dcterms:W3CDTF">2015-06-05T18:17:20Z</dcterms:created>
  <dcterms:modified xsi:type="dcterms:W3CDTF">2025-09-22T15:28:00Z</dcterms:modified>
</cp:coreProperties>
</file>