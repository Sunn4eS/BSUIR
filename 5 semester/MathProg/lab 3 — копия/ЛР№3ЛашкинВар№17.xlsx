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UIR\COURSE 3\МатПрог\"/>
    </mc:Choice>
  </mc:AlternateContent>
  <xr:revisionPtr revIDLastSave="0" documentId="13_ncr:1_{A856342C-3025-49AB-927D-D0C39722D1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solver_adj" localSheetId="0" hidden="1">Sheet1!$H$137:$H$140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Sheet1!$C$141</definedName>
    <definedName name="solver_lhs2" localSheetId="0" hidden="1">Sheet1!$D$141</definedName>
    <definedName name="solver_lhs3" localSheetId="0" hidden="1">Sheet1!$E$141</definedName>
    <definedName name="solver_lhs4" localSheetId="0" hidden="1">Sheet1!$F$141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Sheet1!$H$143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hs1" localSheetId="0" hidden="1">Sheet1!$C$143</definedName>
    <definedName name="solver_rhs2" localSheetId="0" hidden="1">Sheet1!$D$143</definedName>
    <definedName name="solver_rhs3" localSheetId="0" hidden="1">Sheet1!$E$143</definedName>
    <definedName name="solver_rhs4" localSheetId="0" hidden="1">Sheet1!$F$143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3" i="1" l="1"/>
  <c r="B140" i="1"/>
  <c r="B139" i="1"/>
  <c r="B138" i="1"/>
  <c r="B137" i="1"/>
  <c r="F136" i="1"/>
  <c r="E136" i="1"/>
  <c r="D136" i="1"/>
  <c r="C136" i="1"/>
  <c r="H131" i="1"/>
  <c r="B147" i="1" s="1"/>
  <c r="E149" i="1" l="1"/>
  <c r="B148" i="1"/>
  <c r="E150" i="1"/>
  <c r="E147" i="1"/>
  <c r="B151" i="1"/>
  <c r="B150" i="1"/>
  <c r="B149" i="1"/>
  <c r="E151" i="1"/>
  <c r="E148" i="1"/>
  <c r="B129" i="1" l="1"/>
  <c r="B128" i="1"/>
  <c r="B127" i="1"/>
  <c r="B126" i="1"/>
  <c r="F125" i="1"/>
  <c r="E125" i="1"/>
  <c r="D125" i="1"/>
  <c r="C125" i="1"/>
  <c r="B101" i="1"/>
  <c r="B100" i="1"/>
  <c r="B99" i="1"/>
  <c r="B98" i="1"/>
  <c r="F97" i="1"/>
  <c r="E97" i="1"/>
  <c r="D97" i="1"/>
  <c r="C97" i="1"/>
  <c r="B92" i="1"/>
  <c r="B91" i="1"/>
  <c r="B90" i="1"/>
  <c r="B89" i="1"/>
  <c r="F88" i="1"/>
  <c r="E88" i="1"/>
  <c r="D88" i="1"/>
  <c r="C88" i="1"/>
  <c r="D82" i="1"/>
  <c r="E82" i="1"/>
  <c r="F82" i="1"/>
  <c r="C82" i="1"/>
  <c r="D73" i="1"/>
  <c r="E73" i="1"/>
  <c r="F73" i="1"/>
  <c r="C73" i="1"/>
  <c r="B81" i="1"/>
  <c r="B80" i="1"/>
  <c r="B79" i="1"/>
  <c r="B78" i="1"/>
  <c r="F77" i="1"/>
  <c r="E77" i="1"/>
  <c r="D77" i="1"/>
  <c r="C77" i="1"/>
  <c r="B72" i="1"/>
  <c r="B71" i="1"/>
  <c r="B70" i="1"/>
  <c r="B69" i="1"/>
  <c r="F68" i="1"/>
  <c r="E68" i="1"/>
  <c r="D68" i="1"/>
  <c r="C68" i="1"/>
  <c r="F62" i="1"/>
  <c r="E62" i="1"/>
  <c r="D62" i="1"/>
  <c r="C62" i="1"/>
  <c r="B61" i="1"/>
  <c r="B60" i="1"/>
  <c r="B59" i="1"/>
  <c r="B58" i="1"/>
  <c r="F57" i="1"/>
  <c r="E57" i="1"/>
  <c r="D57" i="1"/>
  <c r="C57" i="1"/>
  <c r="F53" i="1"/>
  <c r="E53" i="1"/>
  <c r="D53" i="1"/>
  <c r="C53" i="1"/>
  <c r="B52" i="1"/>
  <c r="B51" i="1"/>
  <c r="B50" i="1"/>
  <c r="B49" i="1"/>
  <c r="F48" i="1"/>
  <c r="E48" i="1"/>
  <c r="D48" i="1"/>
  <c r="C48" i="1"/>
  <c r="B39" i="1"/>
  <c r="B38" i="1"/>
  <c r="B37" i="1"/>
  <c r="B36" i="1"/>
  <c r="F35" i="1"/>
  <c r="E35" i="1"/>
  <c r="D35" i="1"/>
  <c r="D127" i="1" s="1"/>
  <c r="C35" i="1"/>
  <c r="F126" i="1" l="1"/>
  <c r="D128" i="1"/>
  <c r="E129" i="1"/>
  <c r="C127" i="1"/>
  <c r="F129" i="1"/>
  <c r="F128" i="1"/>
  <c r="C129" i="1"/>
  <c r="C128" i="1"/>
  <c r="F127" i="1"/>
  <c r="D137" i="1"/>
  <c r="D138" i="1"/>
  <c r="D139" i="1"/>
  <c r="D140" i="1"/>
  <c r="E139" i="1"/>
  <c r="E140" i="1"/>
  <c r="E137" i="1"/>
  <c r="E138" i="1"/>
  <c r="E126" i="1"/>
  <c r="F139" i="1"/>
  <c r="F137" i="1"/>
  <c r="F138" i="1"/>
  <c r="F140" i="1"/>
  <c r="D126" i="1"/>
  <c r="E127" i="1"/>
  <c r="D129" i="1"/>
  <c r="C138" i="1"/>
  <c r="C137" i="1"/>
  <c r="C139" i="1"/>
  <c r="C140" i="1"/>
  <c r="C126" i="1"/>
  <c r="E128" i="1"/>
  <c r="E89" i="1"/>
  <c r="C91" i="1"/>
  <c r="D90" i="1"/>
  <c r="C98" i="1"/>
  <c r="E90" i="1"/>
  <c r="D99" i="1"/>
  <c r="C92" i="1"/>
  <c r="F99" i="1"/>
  <c r="E98" i="1"/>
  <c r="C101" i="1"/>
  <c r="C90" i="1"/>
  <c r="D98" i="1"/>
  <c r="F100" i="1"/>
  <c r="D101" i="1"/>
  <c r="D89" i="1"/>
  <c r="F91" i="1"/>
  <c r="F98" i="1"/>
  <c r="E101" i="1"/>
  <c r="C89" i="1"/>
  <c r="F90" i="1"/>
  <c r="E99" i="1"/>
  <c r="F101" i="1"/>
  <c r="C78" i="1"/>
  <c r="F89" i="1"/>
  <c r="C99" i="1"/>
  <c r="F92" i="1"/>
  <c r="D100" i="1"/>
  <c r="E100" i="1"/>
  <c r="C100" i="1"/>
  <c r="D92" i="1"/>
  <c r="E92" i="1"/>
  <c r="D91" i="1"/>
  <c r="E91" i="1"/>
  <c r="F79" i="1"/>
  <c r="E70" i="1"/>
  <c r="F78" i="1"/>
  <c r="D78" i="1"/>
  <c r="E71" i="1"/>
  <c r="C79" i="1"/>
  <c r="F80" i="1"/>
  <c r="F70" i="1"/>
  <c r="F69" i="1"/>
  <c r="D71" i="1"/>
  <c r="D69" i="1"/>
  <c r="F71" i="1"/>
  <c r="E79" i="1"/>
  <c r="C70" i="1"/>
  <c r="C69" i="1"/>
  <c r="D79" i="1"/>
  <c r="F72" i="1"/>
  <c r="D70" i="1"/>
  <c r="E80" i="1"/>
  <c r="F81" i="1"/>
  <c r="E69" i="1"/>
  <c r="C72" i="1"/>
  <c r="E78" i="1"/>
  <c r="D72" i="1"/>
  <c r="D81" i="1"/>
  <c r="C71" i="1"/>
  <c r="E72" i="1"/>
  <c r="C80" i="1"/>
  <c r="E81" i="1"/>
  <c r="C81" i="1"/>
  <c r="D80" i="1"/>
  <c r="F51" i="1"/>
  <c r="F39" i="1"/>
  <c r="C61" i="1"/>
  <c r="D61" i="1"/>
  <c r="F36" i="1"/>
  <c r="F49" i="1"/>
  <c r="E61" i="1"/>
  <c r="C59" i="1"/>
  <c r="D60" i="1"/>
  <c r="F50" i="1"/>
  <c r="E49" i="1"/>
  <c r="D52" i="1"/>
  <c r="C50" i="1"/>
  <c r="D59" i="1"/>
  <c r="F60" i="1"/>
  <c r="F59" i="1"/>
  <c r="C58" i="1"/>
  <c r="E60" i="1"/>
  <c r="F58" i="1"/>
  <c r="F61" i="1"/>
  <c r="D50" i="1"/>
  <c r="D58" i="1"/>
  <c r="C60" i="1"/>
  <c r="E58" i="1"/>
  <c r="D49" i="1"/>
  <c r="E52" i="1"/>
  <c r="C37" i="1"/>
  <c r="C49" i="1"/>
  <c r="E59" i="1"/>
  <c r="F52" i="1"/>
  <c r="D51" i="1"/>
  <c r="E51" i="1"/>
  <c r="C51" i="1"/>
  <c r="E50" i="1"/>
  <c r="C52" i="1"/>
  <c r="D39" i="1"/>
  <c r="D38" i="1"/>
  <c r="E37" i="1"/>
  <c r="D37" i="1"/>
  <c r="C39" i="1"/>
  <c r="E36" i="1"/>
  <c r="D36" i="1"/>
  <c r="C38" i="1"/>
  <c r="F38" i="1"/>
  <c r="E39" i="1"/>
  <c r="E38" i="1"/>
  <c r="F37" i="1"/>
  <c r="C36" i="1"/>
  <c r="E141" i="1" l="1"/>
  <c r="F141" i="1"/>
  <c r="C141" i="1"/>
  <c r="D141" i="1"/>
  <c r="G129" i="1"/>
  <c r="G127" i="1"/>
  <c r="G128" i="1"/>
  <c r="G126" i="1"/>
  <c r="D102" i="1"/>
  <c r="G92" i="1"/>
  <c r="G80" i="1"/>
  <c r="G78" i="1"/>
  <c r="H92" i="1"/>
  <c r="H91" i="1"/>
  <c r="E102" i="1"/>
  <c r="H90" i="1"/>
  <c r="E93" i="1"/>
  <c r="C102" i="1"/>
  <c r="F102" i="1"/>
  <c r="G81" i="1"/>
  <c r="G79" i="1"/>
  <c r="D93" i="1"/>
  <c r="G91" i="1"/>
  <c r="F93" i="1"/>
  <c r="G90" i="1"/>
  <c r="G89" i="1"/>
  <c r="H89" i="1"/>
  <c r="C93" i="1"/>
  <c r="H101" i="1"/>
  <c r="G101" i="1"/>
  <c r="H99" i="1"/>
  <c r="G99" i="1"/>
  <c r="H100" i="1"/>
  <c r="G100" i="1"/>
  <c r="H98" i="1"/>
  <c r="G98" i="1"/>
  <c r="G69" i="1"/>
  <c r="G72" i="1"/>
  <c r="G70" i="1"/>
  <c r="G71" i="1"/>
  <c r="G60" i="1"/>
  <c r="G59" i="1"/>
  <c r="G61" i="1"/>
  <c r="G58" i="1"/>
  <c r="G52" i="1"/>
  <c r="G50" i="1"/>
  <c r="G49" i="1"/>
  <c r="G51" i="1"/>
  <c r="I90" i="1" l="1"/>
  <c r="I92" i="1"/>
  <c r="I91" i="1"/>
  <c r="I89" i="1"/>
  <c r="I100" i="1"/>
  <c r="I98" i="1"/>
  <c r="I99" i="1"/>
  <c r="I101" i="1"/>
</calcChain>
</file>

<file path=xl/sharedStrings.xml><?xml version="1.0" encoding="utf-8"?>
<sst xmlns="http://schemas.openxmlformats.org/spreadsheetml/2006/main" count="172" uniqueCount="89">
  <si>
    <t>1ый игрок - предприятие</t>
  </si>
  <si>
    <t>2ой игрок - природа</t>
  </si>
  <si>
    <t>Стратегии:</t>
  </si>
  <si>
    <t>П1</t>
  </si>
  <si>
    <t>П2</t>
  </si>
  <si>
    <t>П3</t>
  </si>
  <si>
    <t>П4</t>
  </si>
  <si>
    <t>А1</t>
  </si>
  <si>
    <t>А2</t>
  </si>
  <si>
    <t>А3</t>
  </si>
  <si>
    <t>А4</t>
  </si>
  <si>
    <t>Платежная матрица</t>
  </si>
  <si>
    <t>qj</t>
  </si>
  <si>
    <t>Матрица рисков</t>
  </si>
  <si>
    <t>r</t>
  </si>
  <si>
    <t>min aij</t>
  </si>
  <si>
    <t>max aij</t>
  </si>
  <si>
    <t>Критерий Сэвиджа - выбираем стратегию А2 (максимальный риск равен 36)</t>
  </si>
  <si>
    <t>bj</t>
  </si>
  <si>
    <t>min rij</t>
  </si>
  <si>
    <t>max rij</t>
  </si>
  <si>
    <t>q1 =</t>
  </si>
  <si>
    <t>q2 =</t>
  </si>
  <si>
    <t>q3 =</t>
  </si>
  <si>
    <t>q4 =</t>
  </si>
  <si>
    <t>Математическая модель для игрока П:</t>
  </si>
  <si>
    <t>Математическая модель для игрока А:</t>
  </si>
  <si>
    <t>f(y) = y1 + y2 + y3 + y4 -&gt; max</t>
  </si>
  <si>
    <t>z(x) = x1 + x2 + x3 + x4 -&gt; min</t>
  </si>
  <si>
    <t>Вариант 17</t>
  </si>
  <si>
    <t>1. Придать описанной ситуации игровую схему, выявить участников игры и установить ее характер, указать допустимые стратегии сторон</t>
  </si>
  <si>
    <t>За некоторый период времени на предприятии потребление исходного сырья S в зависимости от его качества составляет 12, 14, 16 или 18 ед. Если для выпуска запланированного объема основной продукции сырья S окажется недостаточно, то запас его можно пополнить, что потребует дополнительных затрат в сумме 5 ед. в расчете на единицу сырья. Если же запас сырья превысит потребности, то дополнительные затраты на содержание и хранение остатка составят 7 ед. в расчете на единицу сырья.</t>
  </si>
  <si>
    <t>А1 - создать запас сырья 12 ед.</t>
  </si>
  <si>
    <t>А2 - создать запас сырья 14 ед.</t>
  </si>
  <si>
    <t>А3 - создать запас сырья 16 ед.</t>
  </si>
  <si>
    <t>А4 - создать запас сырья 18 ед.</t>
  </si>
  <si>
    <t>П1 - для производства достаточно 12 ед. сырья</t>
  </si>
  <si>
    <t>П2 - для производства достаточно 14 ед. сырья</t>
  </si>
  <si>
    <t>П3 - для производства достаточно 16 ед. сырья</t>
  </si>
  <si>
    <t>П4 - для производства достаточно 18 ед. сырья</t>
  </si>
  <si>
    <t>2. Вычислить элементы платежной матрицы и составить ее</t>
  </si>
  <si>
    <t>3. Дать обоснованные рекомендации об оптимальном уровне запаса сырья, при котором дополнительные затраты на приобретение, содержание и хранение сырья будут минимальными</t>
  </si>
  <si>
    <t>а) вероятности q1, q2, q3, q4 потребности в сырье в количествах соответственно b1, b2, b3 , b4  ед. известны</t>
  </si>
  <si>
    <t>b2</t>
  </si>
  <si>
    <t>b3</t>
  </si>
  <si>
    <t>b4</t>
  </si>
  <si>
    <t>c1</t>
  </si>
  <si>
    <t>c2</t>
  </si>
  <si>
    <t>q2</t>
  </si>
  <si>
    <t>q1</t>
  </si>
  <si>
    <t>b1</t>
  </si>
  <si>
    <t>q3</t>
  </si>
  <si>
    <t>q4</t>
  </si>
  <si>
    <t>γ</t>
  </si>
  <si>
    <t>ai</t>
  </si>
  <si>
    <t>б) потребление сырья в количествах b1, b2, b3 , b4 ед. Представляется равновероятным</t>
  </si>
  <si>
    <t>в) о вероятностях потребления сырья ничего определенного сказать нельзя</t>
  </si>
  <si>
    <t>Лашкин Владислав</t>
  </si>
  <si>
    <t>гр. 251001</t>
  </si>
  <si>
    <t>Гурвиц</t>
  </si>
  <si>
    <t>α = -20</t>
  </si>
  <si>
    <t>β = 0</t>
  </si>
  <si>
    <t>Критерий Вальда - выбираем стратегию А2 (минимальный гарантированный выигрыш равен -20)</t>
  </si>
  <si>
    <t>Критерий Гурвица - стратегия А2 для платежной матрицы, А2 для матрицы рисков (возможный выигрыш равен 12, возможный риск равен 12)</t>
  </si>
  <si>
    <t>4. Решить в смешанных стратегиях (сведением к задаче линейного программирования)</t>
  </si>
  <si>
    <t>42*y1 + 32*y2 + 22*y3 + 12*y4 &lt;= 1</t>
  </si>
  <si>
    <t>28*y1 + 42*y2 + 32*y3 + 22*y4 &lt;= 1</t>
  </si>
  <si>
    <t>14*y1 + 28*y2 + 42*y3 + 32*y4 &lt;= 1</t>
  </si>
  <si>
    <t>0*y1 + 14*y2 + 28*y3 + 42*y4 &lt;= 1</t>
  </si>
  <si>
    <t>42*x1 + 28*x2 + 14*x3 + 0*x4 &gt;= 1</t>
  </si>
  <si>
    <t>32*x1 + 42*x2 + 28*x3 + 14*x4 &gt;= 1</t>
  </si>
  <si>
    <t>22*x1 + 32*x2 + 42*x3 + 28*x4 &gt;= 1</t>
  </si>
  <si>
    <t>12*x1 + 22*x2 + 32*x3 + 42*x4 &gt;= 1</t>
  </si>
  <si>
    <t>&lt;=</t>
  </si>
  <si>
    <t>-&gt; max</t>
  </si>
  <si>
    <t>&gt;=</t>
  </si>
  <si>
    <t>-&gt; min</t>
  </si>
  <si>
    <t>Отсюда y* = (0.01701, 0, 0, 0.02381), f(y) = 0.04082</t>
  </si>
  <si>
    <t>Отсюда x* = (0, 0.03571, 0, 0.0051), z(x) = 0.04082</t>
  </si>
  <si>
    <t>v =</t>
  </si>
  <si>
    <t>p1 =</t>
  </si>
  <si>
    <t>p2 =</t>
  </si>
  <si>
    <t>p3 =</t>
  </si>
  <si>
    <t>p4 =</t>
  </si>
  <si>
    <t>v' =</t>
  </si>
  <si>
    <t>q = (0.41667, 0, 0, 0.58333)</t>
  </si>
  <si>
    <t>p = (0, -0.625, 0, -0.08929)</t>
  </si>
  <si>
    <t>Нижняя цена</t>
  </si>
  <si>
    <t>Верхняя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</si>
</sst>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49" fontId="1" fillId="0" borderId="0" xfId="0" applyNumberFormat="1" applyFont="1"/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2"/>
  <sheetViews>
    <sheetView tabSelected="1" zoomScaleNormal="100" workbookViewId="0">
      <selection activeCell="D6" sqref="D6"/>
    </sheetView>
  </sheetViews>
  <sheetFormatPr defaultColWidth="10.77734375" defaultRowHeight="16.2" x14ac:dyDescent="0.4"/>
  <cols>
    <col min="1" max="16384" width="10.77734375" style="1"/>
  </cols>
  <sheetData>
    <row r="1" spans="1:6" s="16" customFormat="1" x14ac:dyDescent="0.4">
      <c r="A1" s="16" t="s">
        <v>29</v>
      </c>
    </row>
    <row r="3" spans="1:6" x14ac:dyDescent="0.4">
      <c r="A3" s="1" t="s">
        <v>50</v>
      </c>
      <c r="B3" s="1">
        <v>12</v>
      </c>
      <c r="D3" s="18" t="s">
        <v>57</v>
      </c>
      <c r="E3" s="18"/>
      <c r="F3" s="18"/>
    </row>
    <row r="4" spans="1:6" x14ac:dyDescent="0.4">
      <c r="A4" s="1" t="s">
        <v>43</v>
      </c>
      <c r="B4" s="1">
        <v>14</v>
      </c>
      <c r="D4" s="18" t="s">
        <v>58</v>
      </c>
      <c r="E4" s="18"/>
      <c r="F4" s="18"/>
    </row>
    <row r="5" spans="1:6" x14ac:dyDescent="0.4">
      <c r="A5" s="1" t="s">
        <v>44</v>
      </c>
      <c r="B5" s="1">
        <v>16</v>
      </c>
      <c r="D5" s="18" t="s">
        <v>29</v>
      </c>
      <c r="E5" s="18"/>
      <c r="F5" s="18"/>
    </row>
    <row r="6" spans="1:6" x14ac:dyDescent="0.4">
      <c r="A6" s="1" t="s">
        <v>45</v>
      </c>
      <c r="B6" s="1">
        <v>18</v>
      </c>
    </row>
    <row r="7" spans="1:6" x14ac:dyDescent="0.4">
      <c r="A7" s="1" t="s">
        <v>46</v>
      </c>
      <c r="B7" s="1">
        <v>5</v>
      </c>
    </row>
    <row r="8" spans="1:6" x14ac:dyDescent="0.4">
      <c r="A8" s="1" t="s">
        <v>47</v>
      </c>
      <c r="B8" s="1">
        <v>7</v>
      </c>
    </row>
    <row r="9" spans="1:6" x14ac:dyDescent="0.4">
      <c r="A9" s="1" t="s">
        <v>49</v>
      </c>
      <c r="B9" s="1">
        <v>0.25</v>
      </c>
    </row>
    <row r="10" spans="1:6" x14ac:dyDescent="0.4">
      <c r="A10" s="1" t="s">
        <v>48</v>
      </c>
      <c r="B10" s="1">
        <v>0.3</v>
      </c>
    </row>
    <row r="11" spans="1:6" x14ac:dyDescent="0.4">
      <c r="A11" s="1" t="s">
        <v>51</v>
      </c>
      <c r="B11" s="1">
        <v>0.26</v>
      </c>
    </row>
    <row r="12" spans="1:6" x14ac:dyDescent="0.4">
      <c r="A12" s="1" t="s">
        <v>52</v>
      </c>
      <c r="B12" s="1">
        <v>0.2</v>
      </c>
    </row>
    <row r="13" spans="1:6" x14ac:dyDescent="0.4">
      <c r="A13" s="1" t="s">
        <v>53</v>
      </c>
      <c r="B13" s="1">
        <v>0.6</v>
      </c>
    </row>
    <row r="15" spans="1:6" s="16" customFormat="1" x14ac:dyDescent="0.4">
      <c r="A15" s="16" t="s">
        <v>30</v>
      </c>
    </row>
    <row r="17" spans="1:8" ht="16.2" customHeight="1" x14ac:dyDescent="0.4">
      <c r="A17" s="20" t="s">
        <v>31</v>
      </c>
      <c r="B17" s="20"/>
      <c r="C17" s="20"/>
      <c r="D17" s="20"/>
      <c r="E17" s="20"/>
      <c r="F17" s="20"/>
      <c r="G17" s="20"/>
      <c r="H17" s="20"/>
    </row>
    <row r="18" spans="1:8" x14ac:dyDescent="0.4">
      <c r="A18" s="20"/>
      <c r="B18" s="20"/>
      <c r="C18" s="20"/>
      <c r="D18" s="20"/>
      <c r="E18" s="20"/>
      <c r="F18" s="20"/>
      <c r="G18" s="20"/>
      <c r="H18" s="20"/>
    </row>
    <row r="19" spans="1:8" x14ac:dyDescent="0.4">
      <c r="A19" s="20"/>
      <c r="B19" s="20"/>
      <c r="C19" s="20"/>
      <c r="D19" s="20"/>
      <c r="E19" s="20"/>
      <c r="F19" s="20"/>
      <c r="G19" s="20"/>
      <c r="H19" s="20"/>
    </row>
    <row r="20" spans="1:8" x14ac:dyDescent="0.4">
      <c r="A20" s="20"/>
      <c r="B20" s="20"/>
      <c r="C20" s="20"/>
      <c r="D20" s="20"/>
      <c r="E20" s="20"/>
      <c r="F20" s="20"/>
      <c r="G20" s="20"/>
      <c r="H20" s="20"/>
    </row>
    <row r="21" spans="1:8" x14ac:dyDescent="0.4">
      <c r="A21" s="20"/>
      <c r="B21" s="20"/>
      <c r="C21" s="20"/>
      <c r="D21" s="20"/>
      <c r="E21" s="20"/>
      <c r="F21" s="20"/>
      <c r="G21" s="20"/>
      <c r="H21" s="20"/>
    </row>
    <row r="22" spans="1:8" x14ac:dyDescent="0.4">
      <c r="A22" s="20"/>
      <c r="B22" s="20"/>
      <c r="C22" s="20"/>
      <c r="D22" s="20"/>
      <c r="E22" s="20"/>
      <c r="F22" s="20"/>
      <c r="G22" s="20"/>
      <c r="H22" s="20"/>
    </row>
    <row r="23" spans="1:8" x14ac:dyDescent="0.4">
      <c r="A23" s="20"/>
      <c r="B23" s="20"/>
      <c r="C23" s="20"/>
      <c r="D23" s="20"/>
      <c r="E23" s="20"/>
      <c r="F23" s="20"/>
      <c r="G23" s="20"/>
      <c r="H23" s="20"/>
    </row>
    <row r="25" spans="1:8" x14ac:dyDescent="0.4">
      <c r="A25" s="1" t="s">
        <v>0</v>
      </c>
      <c r="E25" s="1" t="s">
        <v>1</v>
      </c>
    </row>
    <row r="26" spans="1:8" x14ac:dyDescent="0.4">
      <c r="A26" s="1" t="s">
        <v>2</v>
      </c>
      <c r="E26" s="1" t="s">
        <v>2</v>
      </c>
    </row>
    <row r="27" spans="1:8" x14ac:dyDescent="0.4">
      <c r="A27" s="1" t="s">
        <v>32</v>
      </c>
      <c r="E27" s="1" t="s">
        <v>36</v>
      </c>
    </row>
    <row r="28" spans="1:8" x14ac:dyDescent="0.4">
      <c r="A28" s="1" t="s">
        <v>33</v>
      </c>
      <c r="E28" s="1" t="s">
        <v>37</v>
      </c>
    </row>
    <row r="29" spans="1:8" x14ac:dyDescent="0.4">
      <c r="A29" s="1" t="s">
        <v>34</v>
      </c>
      <c r="E29" s="1" t="s">
        <v>38</v>
      </c>
    </row>
    <row r="30" spans="1:8" x14ac:dyDescent="0.4">
      <c r="A30" s="1" t="s">
        <v>35</v>
      </c>
      <c r="E30" s="1" t="s">
        <v>39</v>
      </c>
    </row>
    <row r="32" spans="1:8" s="16" customFormat="1" x14ac:dyDescent="0.4">
      <c r="A32" s="16" t="s">
        <v>40</v>
      </c>
    </row>
    <row r="34" spans="1:7" x14ac:dyDescent="0.4">
      <c r="A34" s="5"/>
      <c r="B34" s="5"/>
      <c r="C34" s="8" t="s">
        <v>3</v>
      </c>
      <c r="D34" s="8" t="s">
        <v>4</v>
      </c>
      <c r="E34" s="8" t="s">
        <v>5</v>
      </c>
      <c r="F34" s="8" t="s">
        <v>6</v>
      </c>
      <c r="G34" s="5"/>
    </row>
    <row r="35" spans="1:7" x14ac:dyDescent="0.4">
      <c r="A35" s="6"/>
      <c r="B35" s="5"/>
      <c r="C35" s="2">
        <f>$B$3</f>
        <v>12</v>
      </c>
      <c r="D35" s="2">
        <f>$B$4</f>
        <v>14</v>
      </c>
      <c r="E35" s="2">
        <f>$B$5</f>
        <v>16</v>
      </c>
      <c r="F35" s="2">
        <f>$B$6</f>
        <v>18</v>
      </c>
      <c r="G35" s="6"/>
    </row>
    <row r="36" spans="1:7" x14ac:dyDescent="0.4">
      <c r="A36" s="7" t="s">
        <v>7</v>
      </c>
      <c r="B36" s="4">
        <f>$B$3</f>
        <v>12</v>
      </c>
      <c r="C36" s="2">
        <f>-1*(C$35-$B36)*$B$7</f>
        <v>0</v>
      </c>
      <c r="D36" s="2">
        <f>-1*(D$35-$B36)*$B$7</f>
        <v>-10</v>
      </c>
      <c r="E36" s="2">
        <f>-1*(E$35-$B36)*$B$7</f>
        <v>-20</v>
      </c>
      <c r="F36" s="2">
        <f>-1*(F$35-$B36)*$B$7</f>
        <v>-30</v>
      </c>
      <c r="G36" s="5"/>
    </row>
    <row r="37" spans="1:7" x14ac:dyDescent="0.4">
      <c r="A37" s="7" t="s">
        <v>8</v>
      </c>
      <c r="B37" s="4">
        <f>$B$4</f>
        <v>14</v>
      </c>
      <c r="C37" s="2">
        <f>-1*($B37-C$35)*$B$8</f>
        <v>-14</v>
      </c>
      <c r="D37" s="2">
        <f>-1*(D$35-$B37)*$B$7</f>
        <v>0</v>
      </c>
      <c r="E37" s="2">
        <f>-1*(E$35-$B37)*$B$7</f>
        <v>-10</v>
      </c>
      <c r="F37" s="2">
        <f>-1*(F$35-$B37)*$B$7</f>
        <v>-20</v>
      </c>
      <c r="G37" s="5"/>
    </row>
    <row r="38" spans="1:7" x14ac:dyDescent="0.4">
      <c r="A38" s="7" t="s">
        <v>9</v>
      </c>
      <c r="B38" s="4">
        <f>$B$5</f>
        <v>16</v>
      </c>
      <c r="C38" s="2">
        <f>-1*($B38-C$35)*$B$8</f>
        <v>-28</v>
      </c>
      <c r="D38" s="2">
        <f>-1*($B38-D$35)*$B$8</f>
        <v>-14</v>
      </c>
      <c r="E38" s="2">
        <f>-1*(E$35-$B38)*$B$7</f>
        <v>0</v>
      </c>
      <c r="F38" s="2">
        <f>-1*(F$35-$B38)*$B$7</f>
        <v>-10</v>
      </c>
      <c r="G38" s="5"/>
    </row>
    <row r="39" spans="1:7" x14ac:dyDescent="0.4">
      <c r="A39" s="7" t="s">
        <v>10</v>
      </c>
      <c r="B39" s="4">
        <f>$B$6</f>
        <v>18</v>
      </c>
      <c r="C39" s="2">
        <f>-1*($B39-C$35)*$B$8</f>
        <v>-42</v>
      </c>
      <c r="D39" s="2">
        <f>-1*($B39-D$35)*$B$8</f>
        <v>-28</v>
      </c>
      <c r="E39" s="2">
        <f>-1*($B39-E$35)*$B$8</f>
        <v>-14</v>
      </c>
      <c r="F39" s="2">
        <f>-1*(F$35-$B39)*$B$7</f>
        <v>0</v>
      </c>
      <c r="G39" s="5"/>
    </row>
    <row r="40" spans="1:7" x14ac:dyDescent="0.4">
      <c r="A40" s="6"/>
      <c r="B40" s="6"/>
      <c r="C40" s="5"/>
      <c r="D40" s="5"/>
      <c r="E40" s="5"/>
      <c r="F40" s="5"/>
      <c r="G40" s="5"/>
    </row>
    <row r="42" spans="1:7" s="16" customFormat="1" x14ac:dyDescent="0.4">
      <c r="A42" s="16" t="s">
        <v>41</v>
      </c>
    </row>
    <row r="44" spans="1:7" s="19" customFormat="1" x14ac:dyDescent="0.4">
      <c r="A44" s="19" t="s">
        <v>42</v>
      </c>
    </row>
    <row r="46" spans="1:7" x14ac:dyDescent="0.4">
      <c r="A46" s="17" t="s">
        <v>11</v>
      </c>
      <c r="B46" s="17"/>
      <c r="C46" s="17"/>
      <c r="D46" s="17"/>
      <c r="E46" s="17"/>
      <c r="F46" s="17"/>
      <c r="G46" s="17"/>
    </row>
    <row r="47" spans="1:7" x14ac:dyDescent="0.4">
      <c r="A47" s="5"/>
      <c r="B47" s="5"/>
      <c r="C47" s="8" t="s">
        <v>3</v>
      </c>
      <c r="D47" s="8" t="s">
        <v>4</v>
      </c>
      <c r="E47" s="8" t="s">
        <v>5</v>
      </c>
      <c r="F47" s="8" t="s">
        <v>6</v>
      </c>
      <c r="G47" s="10" t="s">
        <v>54</v>
      </c>
    </row>
    <row r="48" spans="1:7" x14ac:dyDescent="0.4">
      <c r="A48" s="6"/>
      <c r="B48" s="5"/>
      <c r="C48" s="3">
        <f>$B$3</f>
        <v>12</v>
      </c>
      <c r="D48" s="3">
        <f>$B$4</f>
        <v>14</v>
      </c>
      <c r="E48" s="3">
        <f>$B$5</f>
        <v>16</v>
      </c>
      <c r="F48" s="3">
        <f>$B$6</f>
        <v>18</v>
      </c>
      <c r="G48" s="2"/>
    </row>
    <row r="49" spans="1:7" x14ac:dyDescent="0.4">
      <c r="A49" s="7" t="s">
        <v>7</v>
      </c>
      <c r="B49" s="2">
        <f>$B$3</f>
        <v>12</v>
      </c>
      <c r="C49" s="2">
        <f>-1*(C$35-$B49)*$B$7</f>
        <v>0</v>
      </c>
      <c r="D49" s="2">
        <f>-1*(D$35-$B49)*$B$7</f>
        <v>-10</v>
      </c>
      <c r="E49" s="2">
        <f>-1*(E$35-$B49)*$B$7</f>
        <v>-20</v>
      </c>
      <c r="F49" s="2">
        <f>-1*(F$35-$B49)*$B$7</f>
        <v>-30</v>
      </c>
      <c r="G49" s="2">
        <f>SUMPRODUCT(C49:F49,$C$53:$F$53)</f>
        <v>-14.2</v>
      </c>
    </row>
    <row r="50" spans="1:7" x14ac:dyDescent="0.4">
      <c r="A50" s="7" t="s">
        <v>8</v>
      </c>
      <c r="B50" s="2">
        <f>$B$4</f>
        <v>14</v>
      </c>
      <c r="C50" s="2">
        <f>-1*($B50-C$35)*$B$8</f>
        <v>-14</v>
      </c>
      <c r="D50" s="2">
        <f>-1*(D$35-$B50)*$B$7</f>
        <v>0</v>
      </c>
      <c r="E50" s="2">
        <f>-1*(E$35-$B50)*$B$7</f>
        <v>-10</v>
      </c>
      <c r="F50" s="2">
        <f>-1*(F$35-$B50)*$B$7</f>
        <v>-20</v>
      </c>
      <c r="G50" s="11">
        <f>SUMPRODUCT(C50:F50,$C$53:$F$53)</f>
        <v>-10.1</v>
      </c>
    </row>
    <row r="51" spans="1:7" x14ac:dyDescent="0.4">
      <c r="A51" s="7" t="s">
        <v>9</v>
      </c>
      <c r="B51" s="2">
        <f>$B$5</f>
        <v>16</v>
      </c>
      <c r="C51" s="2">
        <f>-1*($B51-C$35)*$B$8</f>
        <v>-28</v>
      </c>
      <c r="D51" s="2">
        <f>-1*($B51-D$35)*$B$8</f>
        <v>-14</v>
      </c>
      <c r="E51" s="2">
        <f>-1*(E$35-$B51)*$B$7</f>
        <v>0</v>
      </c>
      <c r="F51" s="2">
        <f>-1*(F$35-$B51)*$B$7</f>
        <v>-10</v>
      </c>
      <c r="G51" s="2">
        <f>SUMPRODUCT(C51:F51,$C$53:$F$53)</f>
        <v>-13.2</v>
      </c>
    </row>
    <row r="52" spans="1:7" x14ac:dyDescent="0.4">
      <c r="A52" s="7" t="s">
        <v>10</v>
      </c>
      <c r="B52" s="2">
        <f>$B$6</f>
        <v>18</v>
      </c>
      <c r="C52" s="2">
        <f>-1*($B52-C$35)*$B$8</f>
        <v>-42</v>
      </c>
      <c r="D52" s="2">
        <f>-1*($B52-D$35)*$B$8</f>
        <v>-28</v>
      </c>
      <c r="E52" s="2">
        <f>-1*($B52-E$35)*$B$8</f>
        <v>-14</v>
      </c>
      <c r="F52" s="2">
        <f>-1*(F$35-$B52)*$B$7</f>
        <v>0</v>
      </c>
      <c r="G52" s="2">
        <f>SUMPRODUCT(C52:F52,$C$53:$F$53)</f>
        <v>-22.54</v>
      </c>
    </row>
    <row r="53" spans="1:7" x14ac:dyDescent="0.4">
      <c r="A53" s="9" t="s">
        <v>12</v>
      </c>
      <c r="B53" s="2"/>
      <c r="C53" s="2">
        <f>$B$9</f>
        <v>0.25</v>
      </c>
      <c r="D53" s="2">
        <f>$B$10</f>
        <v>0.3</v>
      </c>
      <c r="E53" s="2">
        <f>$B$11</f>
        <v>0.26</v>
      </c>
      <c r="F53" s="2">
        <f>$B$12</f>
        <v>0.2</v>
      </c>
      <c r="G53" s="2"/>
    </row>
    <row r="55" spans="1:7" x14ac:dyDescent="0.4">
      <c r="A55" s="17" t="s">
        <v>13</v>
      </c>
      <c r="B55" s="17"/>
      <c r="C55" s="17"/>
      <c r="D55" s="17"/>
      <c r="E55" s="17"/>
      <c r="F55" s="17"/>
      <c r="G55" s="17"/>
    </row>
    <row r="56" spans="1:7" x14ac:dyDescent="0.4">
      <c r="A56" s="5"/>
      <c r="B56" s="5"/>
      <c r="C56" s="8" t="s">
        <v>3</v>
      </c>
      <c r="D56" s="8" t="s">
        <v>4</v>
      </c>
      <c r="E56" s="8" t="s">
        <v>5</v>
      </c>
      <c r="F56" s="8" t="s">
        <v>6</v>
      </c>
      <c r="G56" s="10" t="s">
        <v>14</v>
      </c>
    </row>
    <row r="57" spans="1:7" x14ac:dyDescent="0.4">
      <c r="A57" s="6"/>
      <c r="B57" s="5"/>
      <c r="C57" s="3">
        <f>$B$3</f>
        <v>12</v>
      </c>
      <c r="D57" s="3">
        <f>$B$4</f>
        <v>14</v>
      </c>
      <c r="E57" s="3">
        <f>$B$5</f>
        <v>16</v>
      </c>
      <c r="F57" s="3">
        <f>$B$6</f>
        <v>18</v>
      </c>
      <c r="G57" s="2"/>
    </row>
    <row r="58" spans="1:7" x14ac:dyDescent="0.4">
      <c r="A58" s="7" t="s">
        <v>7</v>
      </c>
      <c r="B58" s="2">
        <f>$B$3</f>
        <v>12</v>
      </c>
      <c r="C58" s="2">
        <f>(C$35-$B58)*$B$7</f>
        <v>0</v>
      </c>
      <c r="D58" s="2">
        <f t="shared" ref="D58:F61" si="0">(D$35-$B58)*$B$7</f>
        <v>10</v>
      </c>
      <c r="E58" s="2">
        <f t="shared" si="0"/>
        <v>20</v>
      </c>
      <c r="F58" s="2">
        <f t="shared" si="0"/>
        <v>30</v>
      </c>
      <c r="G58" s="2">
        <f>SUMPRODUCT(C58:F58,$C$62:$F$62)</f>
        <v>14.2</v>
      </c>
    </row>
    <row r="59" spans="1:7" x14ac:dyDescent="0.4">
      <c r="A59" s="7" t="s">
        <v>8</v>
      </c>
      <c r="B59" s="2">
        <f>$B$4</f>
        <v>14</v>
      </c>
      <c r="C59" s="2">
        <f>($B59-C$35)*$B$8</f>
        <v>14</v>
      </c>
      <c r="D59" s="2">
        <f t="shared" si="0"/>
        <v>0</v>
      </c>
      <c r="E59" s="2">
        <f t="shared" si="0"/>
        <v>10</v>
      </c>
      <c r="F59" s="2">
        <f t="shared" si="0"/>
        <v>20</v>
      </c>
      <c r="G59" s="11">
        <f t="shared" ref="G59:G61" si="1">SUMPRODUCT(C59:F59,$C$62:$F$62)</f>
        <v>10.1</v>
      </c>
    </row>
    <row r="60" spans="1:7" x14ac:dyDescent="0.4">
      <c r="A60" s="7" t="s">
        <v>9</v>
      </c>
      <c r="B60" s="2">
        <f>$B$5</f>
        <v>16</v>
      </c>
      <c r="C60" s="2">
        <f>($B60-C$35)*$B$8</f>
        <v>28</v>
      </c>
      <c r="D60" s="2">
        <f>($B60-D$35)*$B$8</f>
        <v>14</v>
      </c>
      <c r="E60" s="2">
        <f t="shared" si="0"/>
        <v>0</v>
      </c>
      <c r="F60" s="2">
        <f t="shared" si="0"/>
        <v>10</v>
      </c>
      <c r="G60" s="2">
        <f t="shared" si="1"/>
        <v>13.2</v>
      </c>
    </row>
    <row r="61" spans="1:7" x14ac:dyDescent="0.4">
      <c r="A61" s="7" t="s">
        <v>10</v>
      </c>
      <c r="B61" s="2">
        <f>$B$6</f>
        <v>18</v>
      </c>
      <c r="C61" s="2">
        <f>($B61-C$35)*$B$8</f>
        <v>42</v>
      </c>
      <c r="D61" s="2">
        <f>($B61-D$35)*$B$8</f>
        <v>28</v>
      </c>
      <c r="E61" s="2">
        <f>($B61-E$35)*$B$8</f>
        <v>14</v>
      </c>
      <c r="F61" s="2">
        <f t="shared" si="0"/>
        <v>0</v>
      </c>
      <c r="G61" s="2">
        <f t="shared" si="1"/>
        <v>22.54</v>
      </c>
    </row>
    <row r="62" spans="1:7" x14ac:dyDescent="0.4">
      <c r="A62" s="9" t="s">
        <v>12</v>
      </c>
      <c r="B62" s="2"/>
      <c r="C62" s="2">
        <f>$B$9</f>
        <v>0.25</v>
      </c>
      <c r="D62" s="2">
        <f>$B$10</f>
        <v>0.3</v>
      </c>
      <c r="E62" s="2">
        <f>$B$11</f>
        <v>0.26</v>
      </c>
      <c r="F62" s="2">
        <f>$B$12</f>
        <v>0.2</v>
      </c>
      <c r="G62" s="2"/>
    </row>
    <row r="64" spans="1:7" s="16" customFormat="1" x14ac:dyDescent="0.4">
      <c r="A64" s="16" t="s">
        <v>55</v>
      </c>
    </row>
    <row r="66" spans="1:7" x14ac:dyDescent="0.4">
      <c r="A66" s="17" t="s">
        <v>11</v>
      </c>
      <c r="B66" s="17"/>
      <c r="C66" s="17"/>
      <c r="D66" s="17"/>
      <c r="E66" s="17"/>
      <c r="F66" s="17"/>
      <c r="G66" s="17"/>
    </row>
    <row r="67" spans="1:7" x14ac:dyDescent="0.4">
      <c r="A67" s="5"/>
      <c r="B67" s="5"/>
      <c r="C67" s="8" t="s">
        <v>3</v>
      </c>
      <c r="D67" s="8" t="s">
        <v>4</v>
      </c>
      <c r="E67" s="8" t="s">
        <v>5</v>
      </c>
      <c r="F67" s="8" t="s">
        <v>6</v>
      </c>
      <c r="G67" s="10" t="s">
        <v>54</v>
      </c>
    </row>
    <row r="68" spans="1:7" x14ac:dyDescent="0.4">
      <c r="A68" s="6"/>
      <c r="B68" s="5"/>
      <c r="C68" s="3">
        <f>$B$3</f>
        <v>12</v>
      </c>
      <c r="D68" s="3">
        <f>$B$4</f>
        <v>14</v>
      </c>
      <c r="E68" s="3">
        <f>$B$5</f>
        <v>16</v>
      </c>
      <c r="F68" s="3">
        <f>$B$6</f>
        <v>18</v>
      </c>
      <c r="G68" s="2"/>
    </row>
    <row r="69" spans="1:7" x14ac:dyDescent="0.4">
      <c r="A69" s="7" t="s">
        <v>7</v>
      </c>
      <c r="B69" s="2">
        <f>$B$3</f>
        <v>12</v>
      </c>
      <c r="C69" s="2">
        <f>-1*(C$35-$B69)*$B$7</f>
        <v>0</v>
      </c>
      <c r="D69" s="2">
        <f>-1*(D$35-$B69)*$B$7</f>
        <v>-10</v>
      </c>
      <c r="E69" s="2">
        <f>-1*(E$35-$B69)*$B$7</f>
        <v>-20</v>
      </c>
      <c r="F69" s="2">
        <f>-1*(F$35-$B69)*$B$7</f>
        <v>-30</v>
      </c>
      <c r="G69" s="2">
        <f>SUMPRODUCT(C69:F69,$C$73:$F$73)</f>
        <v>-15</v>
      </c>
    </row>
    <row r="70" spans="1:7" x14ac:dyDescent="0.4">
      <c r="A70" s="7" t="s">
        <v>8</v>
      </c>
      <c r="B70" s="2">
        <f>$B$4</f>
        <v>14</v>
      </c>
      <c r="C70" s="2">
        <f>-1*($B70-C$35)*$B$8</f>
        <v>-14</v>
      </c>
      <c r="D70" s="2">
        <f>-1*(D$35-$B70)*$B$7</f>
        <v>0</v>
      </c>
      <c r="E70" s="2">
        <f>-1*(E$35-$B70)*$B$7</f>
        <v>-10</v>
      </c>
      <c r="F70" s="2">
        <f>-1*(F$35-$B70)*$B$7</f>
        <v>-20</v>
      </c>
      <c r="G70" s="11">
        <f t="shared" ref="G70:G72" si="2">SUMPRODUCT(C70:F70,$C$73:$F$73)</f>
        <v>-11</v>
      </c>
    </row>
    <row r="71" spans="1:7" x14ac:dyDescent="0.4">
      <c r="A71" s="7" t="s">
        <v>9</v>
      </c>
      <c r="B71" s="2">
        <f>$B$5</f>
        <v>16</v>
      </c>
      <c r="C71" s="2">
        <f>-1*($B71-C$35)*$B$8</f>
        <v>-28</v>
      </c>
      <c r="D71" s="2">
        <f>-1*($B71-D$35)*$B$8</f>
        <v>-14</v>
      </c>
      <c r="E71" s="2">
        <f>-1*(E$35-$B71)*$B$7</f>
        <v>0</v>
      </c>
      <c r="F71" s="2">
        <f>-1*(F$35-$B71)*$B$7</f>
        <v>-10</v>
      </c>
      <c r="G71" s="2">
        <f t="shared" si="2"/>
        <v>-13</v>
      </c>
    </row>
    <row r="72" spans="1:7" x14ac:dyDescent="0.4">
      <c r="A72" s="7" t="s">
        <v>10</v>
      </c>
      <c r="B72" s="2">
        <f>$B$6</f>
        <v>18</v>
      </c>
      <c r="C72" s="2">
        <f>-1*($B72-C$35)*$B$8</f>
        <v>-42</v>
      </c>
      <c r="D72" s="2">
        <f>-1*($B72-D$35)*$B$8</f>
        <v>-28</v>
      </c>
      <c r="E72" s="2">
        <f>-1*($B72-E$35)*$B$8</f>
        <v>-14</v>
      </c>
      <c r="F72" s="2">
        <f>-1*(F$35-$B72)*$B$7</f>
        <v>0</v>
      </c>
      <c r="G72" s="2">
        <f t="shared" si="2"/>
        <v>-21</v>
      </c>
    </row>
    <row r="73" spans="1:7" x14ac:dyDescent="0.4">
      <c r="A73" s="9" t="s">
        <v>12</v>
      </c>
      <c r="B73" s="2"/>
      <c r="C73" s="2">
        <f>1/4</f>
        <v>0.25</v>
      </c>
      <c r="D73" s="2">
        <f t="shared" ref="D73:F73" si="3">1/4</f>
        <v>0.25</v>
      </c>
      <c r="E73" s="2">
        <f t="shared" si="3"/>
        <v>0.25</v>
      </c>
      <c r="F73" s="2">
        <f t="shared" si="3"/>
        <v>0.25</v>
      </c>
      <c r="G73" s="2"/>
    </row>
    <row r="75" spans="1:7" x14ac:dyDescent="0.4">
      <c r="A75" s="17" t="s">
        <v>13</v>
      </c>
      <c r="B75" s="17"/>
      <c r="C75" s="17"/>
      <c r="D75" s="17"/>
      <c r="E75" s="17"/>
      <c r="F75" s="17"/>
      <c r="G75" s="17"/>
    </row>
    <row r="76" spans="1:7" x14ac:dyDescent="0.4">
      <c r="A76" s="5"/>
      <c r="B76" s="5"/>
      <c r="C76" s="8" t="s">
        <v>3</v>
      </c>
      <c r="D76" s="8" t="s">
        <v>4</v>
      </c>
      <c r="E76" s="8" t="s">
        <v>5</v>
      </c>
      <c r="F76" s="8" t="s">
        <v>6</v>
      </c>
      <c r="G76" s="10" t="s">
        <v>14</v>
      </c>
    </row>
    <row r="77" spans="1:7" x14ac:dyDescent="0.4">
      <c r="A77" s="6"/>
      <c r="B77" s="5"/>
      <c r="C77" s="3">
        <f>$B$3</f>
        <v>12</v>
      </c>
      <c r="D77" s="3">
        <f>$B$4</f>
        <v>14</v>
      </c>
      <c r="E77" s="3">
        <f>$B$5</f>
        <v>16</v>
      </c>
      <c r="F77" s="3">
        <f>$B$6</f>
        <v>18</v>
      </c>
      <c r="G77" s="2"/>
    </row>
    <row r="78" spans="1:7" x14ac:dyDescent="0.4">
      <c r="A78" s="7" t="s">
        <v>7</v>
      </c>
      <c r="B78" s="2">
        <f>$B$3</f>
        <v>12</v>
      </c>
      <c r="C78" s="2">
        <f>(C$35-$B78)*$B$7</f>
        <v>0</v>
      </c>
      <c r="D78" s="2">
        <f t="shared" ref="D78:F81" si="4">(D$35-$B78)*$B$7</f>
        <v>10</v>
      </c>
      <c r="E78" s="2">
        <f t="shared" si="4"/>
        <v>20</v>
      </c>
      <c r="F78" s="2">
        <f t="shared" si="4"/>
        <v>30</v>
      </c>
      <c r="G78" s="2">
        <f>SUMPRODUCT(C78:F78,$C$82:$F$82)</f>
        <v>15</v>
      </c>
    </row>
    <row r="79" spans="1:7" x14ac:dyDescent="0.4">
      <c r="A79" s="7" t="s">
        <v>8</v>
      </c>
      <c r="B79" s="2">
        <f>$B$4</f>
        <v>14</v>
      </c>
      <c r="C79" s="2">
        <f>($B79-C$35)*$B$8</f>
        <v>14</v>
      </c>
      <c r="D79" s="2">
        <f t="shared" si="4"/>
        <v>0</v>
      </c>
      <c r="E79" s="2">
        <f t="shared" si="4"/>
        <v>10</v>
      </c>
      <c r="F79" s="2">
        <f t="shared" si="4"/>
        <v>20</v>
      </c>
      <c r="G79" s="11">
        <f t="shared" ref="G79:G81" si="5">SUMPRODUCT(C79:F79,$C$82:$F$82)</f>
        <v>11</v>
      </c>
    </row>
    <row r="80" spans="1:7" x14ac:dyDescent="0.4">
      <c r="A80" s="7" t="s">
        <v>9</v>
      </c>
      <c r="B80" s="2">
        <f>$B$5</f>
        <v>16</v>
      </c>
      <c r="C80" s="2">
        <f>($B80-C$35)*$B$8</f>
        <v>28</v>
      </c>
      <c r="D80" s="2">
        <f>($B80-D$35)*$B$8</f>
        <v>14</v>
      </c>
      <c r="E80" s="2">
        <f t="shared" si="4"/>
        <v>0</v>
      </c>
      <c r="F80" s="2">
        <f t="shared" si="4"/>
        <v>10</v>
      </c>
      <c r="G80" s="2">
        <f t="shared" si="5"/>
        <v>13</v>
      </c>
    </row>
    <row r="81" spans="1:9" x14ac:dyDescent="0.4">
      <c r="A81" s="7" t="s">
        <v>10</v>
      </c>
      <c r="B81" s="2">
        <f>$B$6</f>
        <v>18</v>
      </c>
      <c r="C81" s="2">
        <f>($B81-C$35)*$B$8</f>
        <v>42</v>
      </c>
      <c r="D81" s="2">
        <f>($B81-D$35)*$B$8</f>
        <v>28</v>
      </c>
      <c r="E81" s="2">
        <f>($B81-E$35)*$B$8</f>
        <v>14</v>
      </c>
      <c r="F81" s="2">
        <f t="shared" si="4"/>
        <v>0</v>
      </c>
      <c r="G81" s="2">
        <f t="shared" si="5"/>
        <v>21</v>
      </c>
    </row>
    <row r="82" spans="1:9" x14ac:dyDescent="0.4">
      <c r="A82" s="9" t="s">
        <v>12</v>
      </c>
      <c r="B82" s="2"/>
      <c r="C82" s="2">
        <f>1/4</f>
        <v>0.25</v>
      </c>
      <c r="D82" s="2">
        <f t="shared" ref="D82:F82" si="6">1/4</f>
        <v>0.25</v>
      </c>
      <c r="E82" s="2">
        <f t="shared" si="6"/>
        <v>0.25</v>
      </c>
      <c r="F82" s="2">
        <f t="shared" si="6"/>
        <v>0.25</v>
      </c>
      <c r="G82" s="2"/>
    </row>
    <row r="84" spans="1:9" s="16" customFormat="1" x14ac:dyDescent="0.4">
      <c r="A84" s="16" t="s">
        <v>56</v>
      </c>
    </row>
    <row r="86" spans="1:9" x14ac:dyDescent="0.4">
      <c r="A86" s="17" t="s">
        <v>11</v>
      </c>
      <c r="B86" s="17"/>
      <c r="C86" s="17"/>
      <c r="D86" s="17"/>
      <c r="E86" s="17"/>
      <c r="F86" s="17"/>
      <c r="G86" s="17"/>
    </row>
    <row r="87" spans="1:9" x14ac:dyDescent="0.4">
      <c r="A87" s="1" t="s">
        <v>60</v>
      </c>
      <c r="B87" s="1" t="s">
        <v>61</v>
      </c>
      <c r="C87" s="8" t="s">
        <v>3</v>
      </c>
      <c r="D87" s="8" t="s">
        <v>4</v>
      </c>
      <c r="E87" s="8" t="s">
        <v>5</v>
      </c>
      <c r="F87" s="8" t="s">
        <v>6</v>
      </c>
      <c r="G87" s="8" t="s">
        <v>15</v>
      </c>
      <c r="H87" s="8" t="s">
        <v>16</v>
      </c>
      <c r="I87" s="8" t="s">
        <v>59</v>
      </c>
    </row>
    <row r="88" spans="1:9" x14ac:dyDescent="0.4">
      <c r="A88" s="6"/>
      <c r="B88" s="5"/>
      <c r="C88" s="3">
        <f>$B$3</f>
        <v>12</v>
      </c>
      <c r="D88" s="3">
        <f>$B$4</f>
        <v>14</v>
      </c>
      <c r="E88" s="3">
        <f>$B$5</f>
        <v>16</v>
      </c>
      <c r="F88" s="3">
        <f>$B$6</f>
        <v>18</v>
      </c>
      <c r="G88" s="2"/>
      <c r="H88" s="2"/>
      <c r="I88" s="2"/>
    </row>
    <row r="89" spans="1:9" x14ac:dyDescent="0.4">
      <c r="A89" s="7" t="s">
        <v>7</v>
      </c>
      <c r="B89" s="2">
        <f>$B$3</f>
        <v>12</v>
      </c>
      <c r="C89" s="2">
        <f>-1*(C$35-$B89)*$B$7</f>
        <v>0</v>
      </c>
      <c r="D89" s="2">
        <f>-1*(D$35-$B89)*$B$7</f>
        <v>-10</v>
      </c>
      <c r="E89" s="2">
        <f>-1*(E$35-$B89)*$B$7</f>
        <v>-20</v>
      </c>
      <c r="F89" s="2">
        <f>-1*(F$35-$B89)*$B$7</f>
        <v>-30</v>
      </c>
      <c r="G89" s="2">
        <f>MIN(C89:F89)</f>
        <v>-30</v>
      </c>
      <c r="H89" s="2">
        <f>MAX(C89:F89)</f>
        <v>0</v>
      </c>
      <c r="I89" s="2">
        <f>$B$13*G89+(1-$B$13)*H89</f>
        <v>-18</v>
      </c>
    </row>
    <row r="90" spans="1:9" x14ac:dyDescent="0.4">
      <c r="A90" s="7" t="s">
        <v>8</v>
      </c>
      <c r="B90" s="2">
        <f>$B$4</f>
        <v>14</v>
      </c>
      <c r="C90" s="2">
        <f>-1*($B90-C$35)*$B$8</f>
        <v>-14</v>
      </c>
      <c r="D90" s="2">
        <f>-1*(D$35-$B90)*$B$7</f>
        <v>0</v>
      </c>
      <c r="E90" s="2">
        <f>-1*(E$35-$B90)*$B$7</f>
        <v>-10</v>
      </c>
      <c r="F90" s="2">
        <f>-1*(F$35-$B90)*$B$7</f>
        <v>-20</v>
      </c>
      <c r="G90" s="11">
        <f t="shared" ref="G90:G92" si="7">MIN(C90:F90)</f>
        <v>-20</v>
      </c>
      <c r="H90" s="2">
        <f t="shared" ref="H90:H92" si="8">MAX(C90:F90)</f>
        <v>0</v>
      </c>
      <c r="I90" s="11">
        <f t="shared" ref="I90:I92" si="9">$B$13*G90+(1-$B$13)*H90</f>
        <v>-12</v>
      </c>
    </row>
    <row r="91" spans="1:9" x14ac:dyDescent="0.4">
      <c r="A91" s="7" t="s">
        <v>9</v>
      </c>
      <c r="B91" s="2">
        <f>$B$5</f>
        <v>16</v>
      </c>
      <c r="C91" s="2">
        <f>-1*($B91-C$35)*$B$8</f>
        <v>-28</v>
      </c>
      <c r="D91" s="2">
        <f>-1*($B91-D$35)*$B$8</f>
        <v>-14</v>
      </c>
      <c r="E91" s="2">
        <f>-1*(E$35-$B91)*$B$7</f>
        <v>0</v>
      </c>
      <c r="F91" s="2">
        <f>-1*(F$35-$B91)*$B$7</f>
        <v>-10</v>
      </c>
      <c r="G91" s="2">
        <f t="shared" si="7"/>
        <v>-28</v>
      </c>
      <c r="H91" s="2">
        <f t="shared" si="8"/>
        <v>0</v>
      </c>
      <c r="I91" s="2">
        <f t="shared" si="9"/>
        <v>-16.8</v>
      </c>
    </row>
    <row r="92" spans="1:9" x14ac:dyDescent="0.4">
      <c r="A92" s="7" t="s">
        <v>10</v>
      </c>
      <c r="B92" s="2">
        <f>$B$6</f>
        <v>18</v>
      </c>
      <c r="C92" s="2">
        <f>-1*($B92-C$35)*$B$8</f>
        <v>-42</v>
      </c>
      <c r="D92" s="2">
        <f>-1*($B92-D$35)*$B$8</f>
        <v>-28</v>
      </c>
      <c r="E92" s="2">
        <f>-1*($B92-E$35)*$B$8</f>
        <v>-14</v>
      </c>
      <c r="F92" s="2">
        <f>-1*(F$35-$B92)*$B$7</f>
        <v>0</v>
      </c>
      <c r="G92" s="2">
        <f t="shared" si="7"/>
        <v>-42</v>
      </c>
      <c r="H92" s="2">
        <f t="shared" si="8"/>
        <v>0</v>
      </c>
      <c r="I92" s="2">
        <f t="shared" si="9"/>
        <v>-25.2</v>
      </c>
    </row>
    <row r="93" spans="1:9" x14ac:dyDescent="0.4">
      <c r="A93" s="7" t="s">
        <v>18</v>
      </c>
      <c r="B93" s="2"/>
      <c r="C93" s="2">
        <f>MAX(C89:C92)</f>
        <v>0</v>
      </c>
      <c r="D93" s="2">
        <f t="shared" ref="D93:F93" si="10">MAX(D89:D92)</f>
        <v>0</v>
      </c>
      <c r="E93" s="2">
        <f t="shared" si="10"/>
        <v>0</v>
      </c>
      <c r="F93" s="2">
        <f t="shared" si="10"/>
        <v>0</v>
      </c>
      <c r="G93" s="2"/>
      <c r="H93" s="2"/>
      <c r="I93" s="2"/>
    </row>
    <row r="95" spans="1:9" x14ac:dyDescent="0.4">
      <c r="A95" s="17" t="s">
        <v>13</v>
      </c>
      <c r="B95" s="17"/>
      <c r="C95" s="17"/>
      <c r="D95" s="17"/>
      <c r="E95" s="17"/>
      <c r="F95" s="17"/>
      <c r="G95" s="17"/>
    </row>
    <row r="96" spans="1:9" x14ac:dyDescent="0.4">
      <c r="C96" s="8" t="s">
        <v>3</v>
      </c>
      <c r="D96" s="8" t="s">
        <v>4</v>
      </c>
      <c r="E96" s="8" t="s">
        <v>5</v>
      </c>
      <c r="F96" s="8" t="s">
        <v>6</v>
      </c>
      <c r="G96" s="8" t="s">
        <v>19</v>
      </c>
      <c r="H96" s="8" t="s">
        <v>20</v>
      </c>
      <c r="I96" s="8" t="s">
        <v>59</v>
      </c>
    </row>
    <row r="97" spans="1:9" x14ac:dyDescent="0.4">
      <c r="B97" s="5"/>
      <c r="C97" s="3">
        <f>$B$3</f>
        <v>12</v>
      </c>
      <c r="D97" s="3">
        <f>$B$4</f>
        <v>14</v>
      </c>
      <c r="E97" s="3">
        <f>$B$5</f>
        <v>16</v>
      </c>
      <c r="F97" s="3">
        <f>$B$6</f>
        <v>18</v>
      </c>
      <c r="G97" s="2"/>
      <c r="H97" s="2"/>
      <c r="I97" s="2"/>
    </row>
    <row r="98" spans="1:9" x14ac:dyDescent="0.4">
      <c r="A98" s="7" t="s">
        <v>7</v>
      </c>
      <c r="B98" s="2">
        <f>$B$3</f>
        <v>12</v>
      </c>
      <c r="C98" s="2">
        <f>(C$35-$B98)*$B$7</f>
        <v>0</v>
      </c>
      <c r="D98" s="2">
        <f t="shared" ref="D98:F101" si="11">(D$35-$B98)*$B$7</f>
        <v>10</v>
      </c>
      <c r="E98" s="2">
        <f t="shared" si="11"/>
        <v>20</v>
      </c>
      <c r="F98" s="2">
        <f t="shared" si="11"/>
        <v>30</v>
      </c>
      <c r="G98" s="2">
        <f>MIN(C98:F98)</f>
        <v>0</v>
      </c>
      <c r="H98" s="2">
        <f>MAX(C98:F98)</f>
        <v>30</v>
      </c>
      <c r="I98" s="2">
        <f>$B$13*H98+(1-$B$13)*G98</f>
        <v>18</v>
      </c>
    </row>
    <row r="99" spans="1:9" x14ac:dyDescent="0.4">
      <c r="A99" s="7" t="s">
        <v>8</v>
      </c>
      <c r="B99" s="2">
        <f>$B$4</f>
        <v>14</v>
      </c>
      <c r="C99" s="2">
        <f>($B99-C$35)*$B$8</f>
        <v>14</v>
      </c>
      <c r="D99" s="2">
        <f t="shared" si="11"/>
        <v>0</v>
      </c>
      <c r="E99" s="2">
        <f t="shared" si="11"/>
        <v>10</v>
      </c>
      <c r="F99" s="2">
        <f t="shared" si="11"/>
        <v>20</v>
      </c>
      <c r="G99" s="2">
        <f t="shared" ref="G99:G101" si="12">MIN(C99:F99)</f>
        <v>0</v>
      </c>
      <c r="H99" s="11">
        <f t="shared" ref="H99:H101" si="13">MAX(C99:F99)</f>
        <v>20</v>
      </c>
      <c r="I99" s="11">
        <f t="shared" ref="I99:I101" si="14">$B$13*H99+(1-$B$13)*G99</f>
        <v>12</v>
      </c>
    </row>
    <row r="100" spans="1:9" x14ac:dyDescent="0.4">
      <c r="A100" s="7" t="s">
        <v>9</v>
      </c>
      <c r="B100" s="2">
        <f>$B$5</f>
        <v>16</v>
      </c>
      <c r="C100" s="2">
        <f>($B100-C$35)*$B$8</f>
        <v>28</v>
      </c>
      <c r="D100" s="2">
        <f>($B100-D$35)*$B$8</f>
        <v>14</v>
      </c>
      <c r="E100" s="2">
        <f t="shared" si="11"/>
        <v>0</v>
      </c>
      <c r="F100" s="2">
        <f t="shared" si="11"/>
        <v>10</v>
      </c>
      <c r="G100" s="2">
        <f t="shared" si="12"/>
        <v>0</v>
      </c>
      <c r="H100" s="2">
        <f t="shared" si="13"/>
        <v>28</v>
      </c>
      <c r="I100" s="2">
        <f t="shared" si="14"/>
        <v>16.8</v>
      </c>
    </row>
    <row r="101" spans="1:9" x14ac:dyDescent="0.4">
      <c r="A101" s="7" t="s">
        <v>10</v>
      </c>
      <c r="B101" s="2">
        <f>$B$6</f>
        <v>18</v>
      </c>
      <c r="C101" s="2">
        <f>($B101-C$35)*$B$8</f>
        <v>42</v>
      </c>
      <c r="D101" s="2">
        <f>($B101-D$35)*$B$8</f>
        <v>28</v>
      </c>
      <c r="E101" s="2">
        <f>($B101-E$35)*$B$8</f>
        <v>14</v>
      </c>
      <c r="F101" s="2">
        <f t="shared" si="11"/>
        <v>0</v>
      </c>
      <c r="G101" s="2">
        <f t="shared" si="12"/>
        <v>0</v>
      </c>
      <c r="H101" s="2">
        <f t="shared" si="13"/>
        <v>42</v>
      </c>
      <c r="I101" s="2">
        <f t="shared" si="14"/>
        <v>25.2</v>
      </c>
    </row>
    <row r="102" spans="1:9" x14ac:dyDescent="0.4">
      <c r="A102" s="7" t="s">
        <v>18</v>
      </c>
      <c r="B102" s="2"/>
      <c r="C102" s="2">
        <f>MAX(C98:C101)</f>
        <v>42</v>
      </c>
      <c r="D102" s="2">
        <f t="shared" ref="D102:F102" si="15">MAX(D98:D101)</f>
        <v>28</v>
      </c>
      <c r="E102" s="2">
        <f t="shared" si="15"/>
        <v>20</v>
      </c>
      <c r="F102" s="2">
        <f t="shared" si="15"/>
        <v>30</v>
      </c>
      <c r="G102" s="2"/>
      <c r="H102" s="2"/>
      <c r="I102" s="2"/>
    </row>
    <row r="104" spans="1:9" ht="16.2" customHeight="1" x14ac:dyDescent="0.4">
      <c r="A104" s="15" t="s">
        <v>62</v>
      </c>
      <c r="B104" s="15"/>
      <c r="C104" s="15"/>
      <c r="D104" s="15"/>
      <c r="E104" s="15"/>
      <c r="F104" s="15"/>
      <c r="G104" s="15"/>
      <c r="H104" s="15"/>
      <c r="I104" s="15"/>
    </row>
    <row r="105" spans="1:9" x14ac:dyDescent="0.4">
      <c r="A105" s="15"/>
      <c r="B105" s="15"/>
      <c r="C105" s="15"/>
      <c r="D105" s="15"/>
      <c r="E105" s="15"/>
      <c r="F105" s="15"/>
      <c r="G105" s="15"/>
      <c r="H105" s="15"/>
      <c r="I105" s="15"/>
    </row>
    <row r="107" spans="1:9" ht="16.2" customHeight="1" x14ac:dyDescent="0.4">
      <c r="A107" s="15" t="s">
        <v>17</v>
      </c>
      <c r="B107" s="15"/>
      <c r="C107" s="15"/>
      <c r="D107" s="15"/>
      <c r="E107" s="15"/>
      <c r="F107" s="15"/>
      <c r="G107" s="15"/>
      <c r="H107" s="15"/>
      <c r="I107" s="15"/>
    </row>
    <row r="108" spans="1:9" x14ac:dyDescent="0.4">
      <c r="A108" s="15"/>
      <c r="B108" s="15"/>
      <c r="C108" s="15"/>
      <c r="D108" s="15"/>
      <c r="E108" s="15"/>
      <c r="F108" s="15"/>
      <c r="G108" s="15"/>
      <c r="H108" s="15"/>
      <c r="I108" s="15"/>
    </row>
    <row r="109" spans="1:9" ht="16.2" customHeight="1" x14ac:dyDescent="0.4">
      <c r="B109" s="13"/>
      <c r="C109" s="13"/>
      <c r="D109" s="13"/>
      <c r="E109" s="13"/>
      <c r="F109" s="13"/>
      <c r="G109" s="13"/>
      <c r="H109" s="13"/>
      <c r="I109" s="13"/>
    </row>
    <row r="110" spans="1:9" ht="16.2" customHeight="1" x14ac:dyDescent="0.4">
      <c r="A110" s="15" t="s">
        <v>63</v>
      </c>
      <c r="B110" s="15"/>
      <c r="C110" s="15"/>
      <c r="D110" s="15"/>
      <c r="E110" s="15"/>
      <c r="F110" s="15"/>
      <c r="G110" s="15"/>
      <c r="H110" s="15"/>
      <c r="I110" s="15"/>
    </row>
    <row r="111" spans="1:9" x14ac:dyDescent="0.4">
      <c r="A111" s="15"/>
      <c r="B111" s="15"/>
      <c r="C111" s="15"/>
      <c r="D111" s="15"/>
      <c r="E111" s="15"/>
      <c r="F111" s="15"/>
      <c r="G111" s="15"/>
      <c r="H111" s="15"/>
      <c r="I111" s="15"/>
    </row>
    <row r="112" spans="1:9" ht="16.2" customHeight="1" x14ac:dyDescent="0.4">
      <c r="B112" s="12"/>
      <c r="C112" s="12"/>
      <c r="D112" s="12"/>
      <c r="E112" s="12"/>
      <c r="F112" s="12"/>
      <c r="G112" s="12"/>
      <c r="H112" s="12"/>
      <c r="I112" s="12"/>
    </row>
    <row r="113" spans="1:9" s="16" customFormat="1" x14ac:dyDescent="0.4">
      <c r="A113" s="16" t="s">
        <v>64</v>
      </c>
    </row>
    <row r="115" spans="1:9" x14ac:dyDescent="0.4">
      <c r="A115" s="1" t="s">
        <v>25</v>
      </c>
      <c r="F115" s="1" t="s">
        <v>26</v>
      </c>
    </row>
    <row r="117" spans="1:9" x14ac:dyDescent="0.4">
      <c r="A117" s="1" t="s">
        <v>27</v>
      </c>
      <c r="F117" s="1" t="s">
        <v>28</v>
      </c>
    </row>
    <row r="119" spans="1:9" x14ac:dyDescent="0.4">
      <c r="A119" s="1" t="s">
        <v>65</v>
      </c>
      <c r="F119" s="1" t="s">
        <v>69</v>
      </c>
    </row>
    <row r="120" spans="1:9" x14ac:dyDescent="0.4">
      <c r="A120" s="1" t="s">
        <v>66</v>
      </c>
      <c r="F120" s="1" t="s">
        <v>70</v>
      </c>
    </row>
    <row r="121" spans="1:9" x14ac:dyDescent="0.4">
      <c r="A121" s="1" t="s">
        <v>67</v>
      </c>
      <c r="F121" s="1" t="s">
        <v>71</v>
      </c>
    </row>
    <row r="122" spans="1:9" x14ac:dyDescent="0.4">
      <c r="A122" s="1" t="s">
        <v>68</v>
      </c>
      <c r="F122" s="1" t="s">
        <v>72</v>
      </c>
    </row>
    <row r="124" spans="1:9" x14ac:dyDescent="0.4">
      <c r="A124" s="5">
        <v>42</v>
      </c>
      <c r="B124" s="5"/>
      <c r="C124" s="8" t="s">
        <v>3</v>
      </c>
      <c r="D124" s="8" t="s">
        <v>4</v>
      </c>
      <c r="E124" s="8" t="s">
        <v>5</v>
      </c>
      <c r="F124" s="8" t="s">
        <v>6</v>
      </c>
    </row>
    <row r="125" spans="1:9" x14ac:dyDescent="0.4">
      <c r="A125" s="6"/>
      <c r="B125" s="5"/>
      <c r="C125" s="2">
        <f>$B$3</f>
        <v>12</v>
      </c>
      <c r="D125" s="2">
        <f>$B$4</f>
        <v>14</v>
      </c>
      <c r="E125" s="2">
        <f>$B$5</f>
        <v>16</v>
      </c>
      <c r="F125" s="2">
        <f>$B$6</f>
        <v>18</v>
      </c>
    </row>
    <row r="126" spans="1:9" x14ac:dyDescent="0.4">
      <c r="A126" s="7" t="s">
        <v>7</v>
      </c>
      <c r="B126" s="4">
        <f>$B$3</f>
        <v>12</v>
      </c>
      <c r="C126" s="2">
        <f>-1*(C$35-$B126)*$B$7+$A$124</f>
        <v>42</v>
      </c>
      <c r="D126" s="2">
        <f>-1*(D$35-$B126)*$B$7+$A$124</f>
        <v>32</v>
      </c>
      <c r="E126" s="2">
        <f>-1*(E$35-$B126)*$B$7+$A$124</f>
        <v>22</v>
      </c>
      <c r="F126" s="2">
        <f>-1*(F$35-$B126)*$B$7+$A$124</f>
        <v>12</v>
      </c>
      <c r="G126" s="1">
        <f>SUMPRODUCT(C126:F126,$C$131:$F$131)</f>
        <v>0.99999999999999989</v>
      </c>
      <c r="H126" s="1" t="s">
        <v>73</v>
      </c>
      <c r="I126" s="1">
        <v>1</v>
      </c>
    </row>
    <row r="127" spans="1:9" x14ac:dyDescent="0.4">
      <c r="A127" s="7" t="s">
        <v>8</v>
      </c>
      <c r="B127" s="4">
        <f>$B$4</f>
        <v>14</v>
      </c>
      <c r="C127" s="2">
        <f>-1*($B127-C$35)*$B$8+$A$124</f>
        <v>28</v>
      </c>
      <c r="D127" s="2">
        <f>-1*(D$35-$B127)*$B$7+$A$124</f>
        <v>42</v>
      </c>
      <c r="E127" s="2">
        <f>-1*(E$35-$B127)*$B$7+$A$124</f>
        <v>32</v>
      </c>
      <c r="F127" s="2">
        <f>-1*(F$35-$B127)*$B$7+$A$124</f>
        <v>22</v>
      </c>
      <c r="G127" s="1">
        <f t="shared" ref="G127:G129" si="16">SUMPRODUCT(C127:F127,$C$131:$F$131)</f>
        <v>0.99999999999999989</v>
      </c>
      <c r="H127" s="1" t="s">
        <v>73</v>
      </c>
      <c r="I127" s="1">
        <v>1</v>
      </c>
    </row>
    <row r="128" spans="1:9" x14ac:dyDescent="0.4">
      <c r="A128" s="7" t="s">
        <v>9</v>
      </c>
      <c r="B128" s="4">
        <f>$B$5</f>
        <v>16</v>
      </c>
      <c r="C128" s="2">
        <f>-1*($B128-C$35)*$B$8+$A$124</f>
        <v>14</v>
      </c>
      <c r="D128" s="2">
        <f>-1*($B128-D$35)*$B$8+$A$124</f>
        <v>28</v>
      </c>
      <c r="E128" s="2">
        <f>-1*(E$35-$B128)*$B$7+$A$124</f>
        <v>42</v>
      </c>
      <c r="F128" s="2">
        <f>-1*(F$35-$B128)*$B$7+$A$124</f>
        <v>32</v>
      </c>
      <c r="G128" s="1">
        <f t="shared" si="16"/>
        <v>1</v>
      </c>
      <c r="H128" s="1" t="s">
        <v>73</v>
      </c>
      <c r="I128" s="1">
        <v>1</v>
      </c>
    </row>
    <row r="129" spans="1:9" x14ac:dyDescent="0.4">
      <c r="A129" s="7" t="s">
        <v>10</v>
      </c>
      <c r="B129" s="4">
        <f>$B$6</f>
        <v>18</v>
      </c>
      <c r="C129" s="2">
        <f>-1*($B129-C$35)*$B$8+$A$124</f>
        <v>0</v>
      </c>
      <c r="D129" s="2">
        <f>-1*($B129-D$35)*$B$8+$A$124</f>
        <v>14</v>
      </c>
      <c r="E129" s="2">
        <f>-1*($B129-E$35)*$B$8+$A$124</f>
        <v>28</v>
      </c>
      <c r="F129" s="2">
        <f>-1*(F$35-$B129)*$B$7+$A$124</f>
        <v>42</v>
      </c>
      <c r="G129" s="1">
        <f t="shared" si="16"/>
        <v>1</v>
      </c>
      <c r="H129" s="1" t="s">
        <v>73</v>
      </c>
      <c r="I129" s="1">
        <v>1</v>
      </c>
    </row>
    <row r="131" spans="1:9" x14ac:dyDescent="0.4">
      <c r="C131" s="2">
        <v>1.7006802721088433E-2</v>
      </c>
      <c r="D131" s="2">
        <v>0</v>
      </c>
      <c r="E131" s="2">
        <v>0</v>
      </c>
      <c r="F131" s="2">
        <v>2.3809523809523808E-2</v>
      </c>
      <c r="H131" s="2">
        <f>SUM(C131:F131)</f>
        <v>4.0816326530612242E-2</v>
      </c>
      <c r="I131" s="14" t="s">
        <v>74</v>
      </c>
    </row>
    <row r="133" spans="1:9" x14ac:dyDescent="0.4">
      <c r="A133" s="1" t="s">
        <v>77</v>
      </c>
    </row>
    <row r="135" spans="1:9" x14ac:dyDescent="0.4">
      <c r="A135" s="5">
        <v>42</v>
      </c>
      <c r="B135" s="5"/>
      <c r="C135" s="8" t="s">
        <v>3</v>
      </c>
      <c r="D135" s="8" t="s">
        <v>4</v>
      </c>
      <c r="E135" s="8" t="s">
        <v>5</v>
      </c>
      <c r="F135" s="8" t="s">
        <v>6</v>
      </c>
    </row>
    <row r="136" spans="1:9" x14ac:dyDescent="0.4">
      <c r="A136" s="6"/>
      <c r="B136" s="5"/>
      <c r="C136" s="2">
        <f>$B$3</f>
        <v>12</v>
      </c>
      <c r="D136" s="2">
        <f>$B$4</f>
        <v>14</v>
      </c>
      <c r="E136" s="2">
        <f>$B$5</f>
        <v>16</v>
      </c>
      <c r="F136" s="2">
        <f>$B$6</f>
        <v>18</v>
      </c>
      <c r="H136" s="5"/>
    </row>
    <row r="137" spans="1:9" x14ac:dyDescent="0.4">
      <c r="A137" s="7" t="s">
        <v>7</v>
      </c>
      <c r="B137" s="4">
        <f>$B$3</f>
        <v>12</v>
      </c>
      <c r="C137" s="2">
        <f>-1*(C$35-$B137)*$B$7+$A$124</f>
        <v>42</v>
      </c>
      <c r="D137" s="2">
        <f>-1*(D$35-$B137)*$B$7+$A$124</f>
        <v>32</v>
      </c>
      <c r="E137" s="2">
        <f>-1*(E$35-$B137)*$B$7+$A$124</f>
        <v>22</v>
      </c>
      <c r="F137" s="2">
        <f>-1*(F$35-$B137)*$B$7+$A$124</f>
        <v>12</v>
      </c>
      <c r="H137" s="2">
        <v>0</v>
      </c>
    </row>
    <row r="138" spans="1:9" x14ac:dyDescent="0.4">
      <c r="A138" s="7" t="s">
        <v>8</v>
      </c>
      <c r="B138" s="4">
        <f>$B$4</f>
        <v>14</v>
      </c>
      <c r="C138" s="2">
        <f>-1*($B138-C$35)*$B$8+$A$124</f>
        <v>28</v>
      </c>
      <c r="D138" s="2">
        <f>-1*(D$35-$B138)*$B$7+$A$124</f>
        <v>42</v>
      </c>
      <c r="E138" s="2">
        <f>-1*(E$35-$B138)*$B$7+$A$124</f>
        <v>32</v>
      </c>
      <c r="F138" s="2">
        <f>-1*(F$35-$B138)*$B$7+$A$124</f>
        <v>22</v>
      </c>
      <c r="H138" s="2">
        <v>3.5714285714285712E-2</v>
      </c>
    </row>
    <row r="139" spans="1:9" x14ac:dyDescent="0.4">
      <c r="A139" s="7" t="s">
        <v>9</v>
      </c>
      <c r="B139" s="4">
        <f>$B$5</f>
        <v>16</v>
      </c>
      <c r="C139" s="2">
        <f>-1*($B139-C$35)*$B$8+$A$124</f>
        <v>14</v>
      </c>
      <c r="D139" s="2">
        <f>-1*($B139-D$35)*$B$8+$A$124</f>
        <v>28</v>
      </c>
      <c r="E139" s="2">
        <f>-1*(E$35-$B139)*$B$7+$A$124</f>
        <v>42</v>
      </c>
      <c r="F139" s="2">
        <f>-1*(F$35-$B139)*$B$7+$A$124</f>
        <v>32</v>
      </c>
      <c r="H139" s="2">
        <v>0</v>
      </c>
    </row>
    <row r="140" spans="1:9" x14ac:dyDescent="0.4">
      <c r="A140" s="7" t="s">
        <v>10</v>
      </c>
      <c r="B140" s="4">
        <f>$B$6</f>
        <v>18</v>
      </c>
      <c r="C140" s="2">
        <f>-1*($B140-C$35)*$B$8+$A$124</f>
        <v>0</v>
      </c>
      <c r="D140" s="2">
        <f>-1*($B140-D$35)*$B$8+$A$124</f>
        <v>14</v>
      </c>
      <c r="E140" s="2">
        <f>-1*($B140-E$35)*$B$8+$A$124</f>
        <v>28</v>
      </c>
      <c r="F140" s="2">
        <f>-1*(F$35-$B140)*$B$7+$A$124</f>
        <v>42</v>
      </c>
      <c r="H140" s="2">
        <v>5.1020408163265337E-3</v>
      </c>
    </row>
    <row r="141" spans="1:9" x14ac:dyDescent="0.4">
      <c r="C141" s="1">
        <f>SUMPRODUCT(C137:C140,$H$137:$H$140)</f>
        <v>1</v>
      </c>
      <c r="D141" s="1">
        <f t="shared" ref="D141:F141" si="17">SUMPRODUCT(D137:D140,$H$137:$H$140)</f>
        <v>1.5714285714285714</v>
      </c>
      <c r="E141" s="1">
        <f t="shared" si="17"/>
        <v>1.2857142857142858</v>
      </c>
      <c r="F141" s="1">
        <f t="shared" si="17"/>
        <v>1</v>
      </c>
    </row>
    <row r="142" spans="1:9" x14ac:dyDescent="0.4">
      <c r="C142" s="1" t="s">
        <v>75</v>
      </c>
      <c r="D142" s="1" t="s">
        <v>75</v>
      </c>
      <c r="E142" s="1" t="s">
        <v>75</v>
      </c>
      <c r="F142" s="1" t="s">
        <v>75</v>
      </c>
    </row>
    <row r="143" spans="1:9" x14ac:dyDescent="0.4">
      <c r="C143" s="1">
        <v>1</v>
      </c>
      <c r="D143" s="1">
        <v>1</v>
      </c>
      <c r="E143" s="1">
        <v>1</v>
      </c>
      <c r="F143" s="1">
        <v>1</v>
      </c>
      <c r="H143" s="2">
        <f>SUM(H137:H140)</f>
        <v>4.0816326530612249E-2</v>
      </c>
      <c r="I143" s="14" t="s">
        <v>76</v>
      </c>
    </row>
    <row r="145" spans="1:9" x14ac:dyDescent="0.4">
      <c r="A145" s="1" t="s">
        <v>78</v>
      </c>
    </row>
    <row r="147" spans="1:9" x14ac:dyDescent="0.4">
      <c r="A147" s="1" t="s">
        <v>84</v>
      </c>
      <c r="B147" s="1">
        <f>1/H131</f>
        <v>24.500000000000004</v>
      </c>
      <c r="D147" s="1" t="s">
        <v>79</v>
      </c>
      <c r="E147" s="1">
        <f>B147-A135</f>
        <v>-17.499999999999996</v>
      </c>
      <c r="G147" s="1" t="s">
        <v>87</v>
      </c>
      <c r="I147" s="1">
        <v>-20</v>
      </c>
    </row>
    <row r="148" spans="1:9" x14ac:dyDescent="0.4">
      <c r="A148" s="1" t="s">
        <v>21</v>
      </c>
      <c r="B148" s="1">
        <f>C131*B147</f>
        <v>0.41666666666666669</v>
      </c>
      <c r="D148" s="1" t="s">
        <v>80</v>
      </c>
      <c r="E148" s="1">
        <f>$B$147*H137</f>
        <v>0</v>
      </c>
      <c r="G148" s="1" t="s">
        <v>88</v>
      </c>
      <c r="I148" s="1">
        <v>0</v>
      </c>
    </row>
    <row r="149" spans="1:9" x14ac:dyDescent="0.4">
      <c r="A149" s="1" t="s">
        <v>22</v>
      </c>
      <c r="B149" s="1">
        <f>D131*B147</f>
        <v>0</v>
      </c>
      <c r="D149" s="1" t="s">
        <v>81</v>
      </c>
      <c r="E149" s="1">
        <f t="shared" ref="E149:E151" si="18">$B$147*H138</f>
        <v>0.87500000000000011</v>
      </c>
    </row>
    <row r="150" spans="1:9" x14ac:dyDescent="0.4">
      <c r="A150" s="1" t="s">
        <v>23</v>
      </c>
      <c r="B150" s="1">
        <f>E131*B147</f>
        <v>0</v>
      </c>
      <c r="D150" s="1" t="s">
        <v>82</v>
      </c>
      <c r="E150" s="1">
        <f t="shared" si="18"/>
        <v>0</v>
      </c>
    </row>
    <row r="151" spans="1:9" x14ac:dyDescent="0.4">
      <c r="A151" s="1" t="s">
        <v>24</v>
      </c>
      <c r="B151" s="1">
        <f>F131*B147</f>
        <v>0.58333333333333337</v>
      </c>
      <c r="D151" s="1" t="s">
        <v>83</v>
      </c>
      <c r="E151" s="1">
        <f t="shared" si="18"/>
        <v>0.12500000000000008</v>
      </c>
    </row>
    <row r="152" spans="1:9" x14ac:dyDescent="0.4">
      <c r="A152" s="1" t="s">
        <v>85</v>
      </c>
      <c r="D152" s="1" t="s">
        <v>86</v>
      </c>
    </row>
  </sheetData>
  <scenarios current="0">
    <scenario name="Y*" count="4" user="Vladislav" comment="Created by Vladislav on 11/3/2024">
      <inputCells r="C131" val="0.0170068027210884"/>
      <inputCells r="D131" val="0"/>
      <inputCells r="E131" val="0"/>
      <inputCells r="F131" val="0.0238095238095238"/>
    </scenario>
    <scenario name="X*" count="4" user="Vladislav" comment="Created by Vladislav on 11/3/2024">
      <inputCells r="H137" val="0"/>
      <inputCells r="H138" val="0.0357142857142857"/>
      <inputCells r="H139" val="0"/>
      <inputCells r="H140" val="0.00510204081632653"/>
    </scenario>
  </scenarios>
  <mergeCells count="21">
    <mergeCell ref="A1:XFD1"/>
    <mergeCell ref="A15:XFD15"/>
    <mergeCell ref="A17:H23"/>
    <mergeCell ref="A32:XFD32"/>
    <mergeCell ref="A42:XFD42"/>
    <mergeCell ref="A75:G75"/>
    <mergeCell ref="A84:XFD84"/>
    <mergeCell ref="D3:F3"/>
    <mergeCell ref="D4:F4"/>
    <mergeCell ref="D5:F5"/>
    <mergeCell ref="A44:XFD44"/>
    <mergeCell ref="A46:G46"/>
    <mergeCell ref="A55:G55"/>
    <mergeCell ref="A64:XFD64"/>
    <mergeCell ref="A66:G66"/>
    <mergeCell ref="A107:I108"/>
    <mergeCell ref="A110:I111"/>
    <mergeCell ref="A113:XFD113"/>
    <mergeCell ref="A86:G86"/>
    <mergeCell ref="A95:G95"/>
    <mergeCell ref="A104:I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vladislavlash@outlook.com</cp:lastModifiedBy>
  <dcterms:created xsi:type="dcterms:W3CDTF">2015-06-05T18:17:20Z</dcterms:created>
  <dcterms:modified xsi:type="dcterms:W3CDTF">2024-11-03T14:59:10Z</dcterms:modified>
</cp:coreProperties>
</file>