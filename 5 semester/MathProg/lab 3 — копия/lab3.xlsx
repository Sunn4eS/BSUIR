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P\Desktop\МатПрог\"/>
    </mc:Choice>
  </mc:AlternateContent>
  <xr:revisionPtr revIDLastSave="0" documentId="13_ncr:1_{2ADD2A67-9FE1-40F7-AA4D-97502638669D}" xr6:coauthVersionLast="47" xr6:coauthVersionMax="47" xr10:uidLastSave="{00000000-0000-0000-0000-000000000000}"/>
  <bookViews>
    <workbookView minimized="1" xWindow="264" yWindow="72" windowWidth="11508" windowHeight="12192" firstSheet="1" activeTab="3" xr2:uid="{00000000-000D-0000-FFFF-FFFF00000000}"/>
  </bookViews>
  <sheets>
    <sheet name="Отчет о результатах 1" sheetId="2" r:id="rId1"/>
    <sheet name="Отчет об устойчивости 1" sheetId="3" r:id="rId2"/>
    <sheet name="Отчет о пределах 1" sheetId="4" r:id="rId3"/>
    <sheet name="Лист1" sheetId="1" r:id="rId4"/>
  </sheets>
  <definedNames>
    <definedName name="solver_adj" localSheetId="3" hidden="1">Лист1!$N$104:$N$107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Лист1!$I$108:$L$108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Лист1!$N$108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hs1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1" l="1"/>
  <c r="N102" i="1" l="1"/>
  <c r="K102" i="1"/>
  <c r="F110" i="1"/>
  <c r="F104" i="1"/>
  <c r="F109" i="1"/>
  <c r="F106" i="1"/>
  <c r="F105" i="1"/>
  <c r="F107" i="1"/>
  <c r="F92" i="1"/>
  <c r="E94" i="1"/>
  <c r="D94" i="1"/>
  <c r="C94" i="1"/>
  <c r="B94" i="1"/>
  <c r="F94" i="1" s="1"/>
  <c r="E93" i="1"/>
  <c r="D93" i="1"/>
  <c r="G92" i="1" s="1"/>
  <c r="H92" i="1" s="1"/>
  <c r="C93" i="1"/>
  <c r="B93" i="1"/>
  <c r="E92" i="1"/>
  <c r="D92" i="1"/>
  <c r="C92" i="1"/>
  <c r="B92" i="1"/>
  <c r="E91" i="1"/>
  <c r="E95" i="1" s="1"/>
  <c r="D91" i="1"/>
  <c r="D95" i="1" s="1"/>
  <c r="C91" i="1"/>
  <c r="C95" i="1" s="1"/>
  <c r="B91" i="1"/>
  <c r="G91" i="1" s="1"/>
  <c r="H83" i="1"/>
  <c r="G83" i="1"/>
  <c r="G84" i="1"/>
  <c r="G85" i="1"/>
  <c r="G82" i="1"/>
  <c r="C86" i="1"/>
  <c r="D86" i="1"/>
  <c r="E86" i="1"/>
  <c r="B86" i="1"/>
  <c r="F83" i="1"/>
  <c r="F84" i="1"/>
  <c r="H84" i="1" s="1"/>
  <c r="F85" i="1"/>
  <c r="H85" i="1" s="1"/>
  <c r="F82" i="1"/>
  <c r="H82" i="1" s="1"/>
  <c r="C75" i="1"/>
  <c r="D75" i="1"/>
  <c r="E75" i="1"/>
  <c r="B75" i="1"/>
  <c r="B72" i="1"/>
  <c r="F72" i="1" s="1"/>
  <c r="B73" i="1"/>
  <c r="F73" i="1" s="1"/>
  <c r="B74" i="1"/>
  <c r="F74" i="1" s="1"/>
  <c r="C72" i="1"/>
  <c r="C73" i="1"/>
  <c r="C74" i="1"/>
  <c r="B71" i="1"/>
  <c r="F71" i="1" s="1"/>
  <c r="C71" i="1"/>
  <c r="D72" i="1"/>
  <c r="D73" i="1"/>
  <c r="D74" i="1"/>
  <c r="D71" i="1"/>
  <c r="E72" i="1"/>
  <c r="E73" i="1"/>
  <c r="E74" i="1"/>
  <c r="E71" i="1"/>
  <c r="F64" i="1"/>
  <c r="C66" i="1"/>
  <c r="D66" i="1"/>
  <c r="E66" i="1"/>
  <c r="B66" i="1"/>
  <c r="F63" i="1" s="1"/>
  <c r="F53" i="1"/>
  <c r="E53" i="1"/>
  <c r="E54" i="1"/>
  <c r="E55" i="1"/>
  <c r="E52" i="1"/>
  <c r="D53" i="1"/>
  <c r="D54" i="1"/>
  <c r="D55" i="1"/>
  <c r="D52" i="1"/>
  <c r="C53" i="1"/>
  <c r="C54" i="1"/>
  <c r="F54" i="1" s="1"/>
  <c r="C55" i="1"/>
  <c r="F55" i="1" s="1"/>
  <c r="C52" i="1"/>
  <c r="F52" i="1" s="1"/>
  <c r="B53" i="1"/>
  <c r="B54" i="1"/>
  <c r="B55" i="1"/>
  <c r="B52" i="1"/>
  <c r="F44" i="1"/>
  <c r="F45" i="1"/>
  <c r="F46" i="1"/>
  <c r="F43" i="1"/>
  <c r="D33" i="1"/>
  <c r="E33" i="1"/>
  <c r="D32" i="1"/>
  <c r="C32" i="1"/>
  <c r="C33" i="1"/>
  <c r="C31" i="1"/>
  <c r="F32" i="1"/>
  <c r="F31" i="1"/>
  <c r="E31" i="1"/>
  <c r="E30" i="1"/>
  <c r="F30" i="1"/>
  <c r="D30" i="1"/>
  <c r="B95" i="1" l="1"/>
  <c r="G94" i="1" s="1"/>
  <c r="H94" i="1" s="1"/>
  <c r="F62" i="1"/>
  <c r="F65" i="1"/>
  <c r="F91" i="1"/>
  <c r="H91" i="1" s="1"/>
  <c r="F93" i="1"/>
  <c r="G93" i="1"/>
  <c r="H93" i="1" s="1"/>
  <c r="N106" i="1"/>
  <c r="K106" i="1"/>
  <c r="N105" i="1"/>
  <c r="N103" i="1"/>
  <c r="K104" i="1"/>
  <c r="N104" i="1"/>
  <c r="K105" i="1"/>
</calcChain>
</file>

<file path=xl/sharedStrings.xml><?xml version="1.0" encoding="utf-8"?>
<sst xmlns="http://schemas.openxmlformats.org/spreadsheetml/2006/main" count="274" uniqueCount="141">
  <si>
    <t>Вариант 24</t>
  </si>
  <si>
    <t>1)  Придать описанной ситуации игровую схему, выявить участников игры и установить ее характер, указать допустимые стратегии сторон;</t>
  </si>
  <si>
    <t>1ый игрок - предприятие</t>
  </si>
  <si>
    <t>Стратегии:</t>
  </si>
  <si>
    <t>А1 - создать запас сырья 13 ед</t>
  </si>
  <si>
    <t>А2 - создать запас сырья 15 ед</t>
  </si>
  <si>
    <t>А3 - создать запас сырья 17 ед</t>
  </si>
  <si>
    <t>А4 - создать запас сырья 19 ед</t>
  </si>
  <si>
    <t>2ой игрок - природа</t>
  </si>
  <si>
    <t>П1 - для производства достаточно 13 ед сырья</t>
  </si>
  <si>
    <t>П2 - для производства достаточно 15 ед сырья</t>
  </si>
  <si>
    <t>П3 - для производства достаточно 17 ед сырья</t>
  </si>
  <si>
    <t>П4 - для производства достаточно 19 ед сырья</t>
  </si>
  <si>
    <t>2) Вычислить элементы платежной матрицы и составить ее;</t>
  </si>
  <si>
    <t>П1</t>
  </si>
  <si>
    <t>П2</t>
  </si>
  <si>
    <t>П3</t>
  </si>
  <si>
    <t>П4</t>
  </si>
  <si>
    <t>А1</t>
  </si>
  <si>
    <t>А2</t>
  </si>
  <si>
    <t>А3</t>
  </si>
  <si>
    <t>А4</t>
  </si>
  <si>
    <t>3) дать обоснованные рекомендации об оптимальном уровне запаса сырья, при котором дополнительные затраты на приобретение, содержание и хранение сырья будут минимальными</t>
  </si>
  <si>
    <t>а) вероятности известны</t>
  </si>
  <si>
    <t>qj</t>
  </si>
  <si>
    <t>Платежная матрица</t>
  </si>
  <si>
    <t>а</t>
  </si>
  <si>
    <t>Матрица рисков</t>
  </si>
  <si>
    <t>r</t>
  </si>
  <si>
    <t>б) потребление сырья в количествах b1, b2, b3 , b4 ед. представляется равновероятным;</t>
  </si>
  <si>
    <t>в) о вероятностях потребления сырья ничего определенного сказать нельзя.</t>
  </si>
  <si>
    <t>bj</t>
  </si>
  <si>
    <t>min aij</t>
  </si>
  <si>
    <t>max aij</t>
  </si>
  <si>
    <t>критерий Гурвица</t>
  </si>
  <si>
    <t>min rij</t>
  </si>
  <si>
    <t>max rij</t>
  </si>
  <si>
    <t>По Гурвицу</t>
  </si>
  <si>
    <t>4) Решить в смешанных стратегиях (сведением к задаче линейного программирования).</t>
  </si>
  <si>
    <t>Математическая модель для игрока П:</t>
  </si>
  <si>
    <t>f(y) = y1 + y2 + y3 + y4 -&gt; max</t>
  </si>
  <si>
    <t>54*y1 + 36*y2 + 18*y3 + 0*y4 &lt;= 1</t>
  </si>
  <si>
    <t>40*y1 + 54*y2 + 36*y3 + 18*y4 &lt;= 1</t>
  </si>
  <si>
    <t>26*y1 + 40*y2 + 54*y3 + 36*y4 &lt;= 1</t>
  </si>
  <si>
    <t>12*y1 + 26*y2 + 40*y3 + 54*y4 &lt;= 1</t>
  </si>
  <si>
    <t>Математическая модель для игрока А:</t>
  </si>
  <si>
    <t>z(x) = x1 + x2 + x3 + x4 -&gt; min</t>
  </si>
  <si>
    <t>Преобразованная платежная матрица</t>
  </si>
  <si>
    <t>54*x1 + 40*x2 + 26*x3 + 12*x4 &gt;= 1</t>
  </si>
  <si>
    <t>36*x1 + 54*x2 + 40*x3 + 26*x4 &gt;= 1</t>
  </si>
  <si>
    <t>18*x1 + 36*x2 + 54*x3 + 40*x4 &gt;= 1</t>
  </si>
  <si>
    <t>0*x1 + 18*x2 + 36*x3 + 54*x4 &gt;= 1</t>
  </si>
  <si>
    <t>Зн. Y:</t>
  </si>
  <si>
    <t>Microsoft Excel 16.0 Отчет о результатах</t>
  </si>
  <si>
    <t>Лист: [lab3.xlsx]Лист1</t>
  </si>
  <si>
    <t>Отчет создан: 27.10.2023 15:06:21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</si>
  <si>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</si>
  <si>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</si>
  <si>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</si>
  <si>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</si>
  <si>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2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</si>
  <si>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</si>
  <si>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</si>
  <si>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</si>
  <si>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</si>
  <si>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</si>
  <si>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</si>
  <si>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</si>
  <si>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</si>
  <si>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</si>
  <si>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</si>
  <si>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</si>
  <si>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</si>
  <si>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</si>
  <si>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</si>
  <si>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</si>
  <si>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$F$109</t>
  </si>
  <si>
    <t>Зн. Y: min rij</t>
  </si>
  <si>
    <t>$B$109</t>
  </si>
  <si>
    <t>Зн. Y: П1</t>
  </si>
  <si>
    <t>Продолжить</t>
  </si>
  <si>
    <t>$C$109</t>
  </si>
  <si>
    <t>Зн. Y: П2</t>
  </si>
  <si>
    <t>$D$109</t>
  </si>
  <si>
    <t>Зн. Y: П3</t>
  </si>
  <si>
    <t>$E$109</t>
  </si>
  <si>
    <t>Зн. Y: П4</t>
  </si>
  <si>
    <t>$F$104</t>
  </si>
  <si>
    <t>А1 min rij</t>
  </si>
  <si>
    <t>$F$104&lt;=1</t>
  </si>
  <si>
    <t>Привязка</t>
  </si>
  <si>
    <t>$F$105</t>
  </si>
  <si>
    <t>А2 min rij</t>
  </si>
  <si>
    <t>$F$105&lt;=1</t>
  </si>
  <si>
    <t>$F$106</t>
  </si>
  <si>
    <t>А3 min rij</t>
  </si>
  <si>
    <t>$F$106&lt;=1</t>
  </si>
  <si>
    <t>$F$107</t>
  </si>
  <si>
    <t>А4 min rij</t>
  </si>
  <si>
    <t>$F$107&lt;=1</t>
  </si>
  <si>
    <t>Microsoft Excel 16.0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</si>
  <si>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</si>
  <si>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</si>
  <si>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</si>
  <si>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</si>
  <si>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</si>
  <si>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</si>
  <si>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</si>
  <si>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</si>
  <si>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</si>
  <si>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</si>
  <si>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</si>
  <si>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</si>
  <si>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</si>
  <si>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</si>
  <si>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Отчет создан: 27.10.2023 15:06:22</t>
  </si>
  <si>
    <t>Переменная</t>
  </si>
  <si>
    <t>Нижний</t>
  </si>
  <si>
    <t>Предел</t>
  </si>
  <si>
    <t>Результат</t>
  </si>
  <si>
    <t>Верхний</t>
  </si>
  <si>
    <t>x = (0.0144, 0, 0, 0.0185)</t>
  </si>
  <si>
    <t>y = (0.0185, 0, 0, 0.0144)</t>
  </si>
  <si>
    <t xml:space="preserve">v = </t>
  </si>
  <si>
    <t>q1 =</t>
  </si>
  <si>
    <t>q2 =</t>
  </si>
  <si>
    <t>q3 =</t>
  </si>
  <si>
    <t>q4 =</t>
  </si>
  <si>
    <t>q = (0.5625, 0, 0, 0.4375)</t>
  </si>
  <si>
    <t>Зн. Х(из отчета):</t>
  </si>
  <si>
    <t xml:space="preserve">p1 = </t>
  </si>
  <si>
    <t xml:space="preserve">p2 = </t>
  </si>
  <si>
    <t xml:space="preserve">p3 = </t>
  </si>
  <si>
    <t xml:space="preserve">p4 = </t>
  </si>
  <si>
    <t>p = (0.4375, 0, 0, 0.5625)</t>
  </si>
  <si>
    <t>Критерий Сэвиджа - выбираем стратегию А2 (максимальный риск равен 36)</t>
  </si>
  <si>
    <t>Критерий Гурвица - стратегия А3 для платежной матрицы, А2 для матрицы рисков (возможный выигрыш равен 19.6, возможный риск равен 25.2)</t>
  </si>
  <si>
    <t xml:space="preserve">v' = </t>
  </si>
  <si>
    <t>Критерий Вальда - выбираем стратегию А3 (минимальный гарантированный выигрыш равен -28)</t>
  </si>
  <si>
    <r>
      <t>α</t>
    </r>
    <r>
      <rPr>
        <sz val="9.35"/>
        <color theme="1"/>
        <rFont val="Calibri"/>
        <family val="2"/>
      </rPr>
      <t xml:space="preserve"> = -28 </t>
    </r>
    <r>
      <rPr>
        <sz val="11"/>
        <color theme="1"/>
        <rFont val="Calibri"/>
        <family val="2"/>
        <charset val="204"/>
      </rPr>
      <t>(max min aij)</t>
    </r>
  </si>
  <si>
    <r>
      <t>β</t>
    </r>
    <r>
      <rPr>
        <sz val="9.35"/>
        <color theme="1"/>
        <rFont val="Calibri"/>
        <family val="2"/>
      </rPr>
      <t xml:space="preserve"> = 0 </t>
    </r>
    <r>
      <rPr>
        <sz val="11"/>
        <color theme="1"/>
        <rFont val="Calibri"/>
        <family val="2"/>
        <charset val="204"/>
      </rPr>
      <t>(min max aij)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</si>
</sst>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sz val="11"/>
      <color theme="1"/>
      <name val="Calibri"/>
      <family val="2"/>
      <charset val="204"/>
    </font>
    <font>
      <sz val="9.3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14" xfId="1" applyBorder="1"/>
    <xf numFmtId="0" fontId="2" fillId="2" borderId="1" xfId="1" applyBorder="1"/>
    <xf numFmtId="0" fontId="2" fillId="2" borderId="2" xfId="1" applyBorder="1"/>
    <xf numFmtId="0" fontId="3" fillId="0" borderId="0" xfId="0" applyFont="1" applyAlignment="1">
      <alignment vertical="center"/>
    </xf>
    <xf numFmtId="0" fontId="2" fillId="2" borderId="8" xfId="1" applyBorder="1"/>
    <xf numFmtId="0" fontId="2" fillId="2" borderId="7" xfId="1" applyBorder="1"/>
    <xf numFmtId="0" fontId="2" fillId="2" borderId="0" xfId="1"/>
    <xf numFmtId="0" fontId="4" fillId="0" borderId="0" xfId="0" applyFont="1"/>
    <xf numFmtId="0" fontId="0" fillId="0" borderId="19" xfId="0" applyBorder="1"/>
    <xf numFmtId="0" fontId="5" fillId="0" borderId="18" xfId="0" applyFont="1" applyBorder="1" applyAlignment="1">
      <alignment horizontal="center"/>
    </xf>
    <xf numFmtId="0" fontId="0" fillId="0" borderId="20" xfId="0" applyBorder="1"/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3" borderId="0" xfId="2"/>
    <xf numFmtId="0" fontId="1" fillId="3" borderId="1" xfId="2" applyBorder="1"/>
    <xf numFmtId="0" fontId="1" fillId="3" borderId="12" xfId="2" applyBorder="1"/>
    <xf numFmtId="0" fontId="1" fillId="3" borderId="0" xfId="2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3">
    <cellStyle name="20% — акцент2" xfId="2" builtinId="34"/>
    <cellStyle name="40% — акцент2" xfId="1" builtinId="3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2</xdr:row>
      <xdr:rowOff>0</xdr:rowOff>
    </xdr:from>
    <xdr:to>
      <xdr:col>1</xdr:col>
      <xdr:colOff>84235</xdr:colOff>
      <xdr:row>14</xdr:row>
      <xdr:rowOff>129864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8D7250F-A612-D86A-A961-9C05ECA74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365760"/>
          <a:ext cx="495369" cy="2324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285790</xdr:colOff>
      <xdr:row>14</xdr:row>
      <xdr:rowOff>158443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7E6B5B3-9AEF-BF9C-F666-819B24F3F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760"/>
          <a:ext cx="285790" cy="2353003"/>
        </a:xfrm>
        <a:prstGeom prst="rect">
          <a:avLst/>
        </a:prstGeom>
      </xdr:spPr>
    </xdr:pic>
    <xdr:clientData/>
  </xdr:twoCellAnchor>
  <xdr:twoCellAnchor editAs="oneCell">
    <xdr:from>
      <xdr:col>6</xdr:col>
      <xdr:colOff>389352</xdr:colOff>
      <xdr:row>101</xdr:row>
      <xdr:rowOff>12731</xdr:rowOff>
    </xdr:from>
    <xdr:to>
      <xdr:col>8</xdr:col>
      <xdr:colOff>8351</xdr:colOff>
      <xdr:row>109</xdr:row>
      <xdr:rowOff>46847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A71A78D-BC6C-8C61-2263-FBE13D73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09705" y="18139366"/>
          <a:ext cx="1044387" cy="1468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A45A-DA15-48B0-881C-25C10D33D5D8}">
  <dimension ref="A1:G32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11.109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23" t="s">
        <v>53</v>
      </c>
    </row>
    <row r="2" spans="1:5" x14ac:dyDescent="0.3">
      <c r="A2" s="23" t="s">
        <v>54</v>
      </c>
    </row>
    <row r="3" spans="1:5" x14ac:dyDescent="0.3">
      <c r="A3" s="23" t="s">
        <v>55</v>
      </c>
    </row>
    <row r="4" spans="1:5" x14ac:dyDescent="0.3">
      <c r="A4" s="23" t="s">
        <v>56</v>
      </c>
    </row>
    <row r="5" spans="1:5" x14ac:dyDescent="0.3">
      <c r="A5" s="23" t="s">
        <v>57</v>
      </c>
    </row>
    <row r="6" spans="1:5" x14ac:dyDescent="0.3">
      <c r="A6" s="23"/>
      <c r="B6" t="s">
        <v>58</v>
      </c>
    </row>
    <row r="7" spans="1:5" x14ac:dyDescent="0.3">
      <c r="A7" s="23"/>
      <c r="B7" t="s">
        <v>59</v>
      </c>
    </row>
    <row r="8" spans="1:5" x14ac:dyDescent="0.3">
      <c r="A8" s="23"/>
      <c r="B8" t="s">
        <v>60</v>
      </c>
    </row>
    <row r="9" spans="1:5" x14ac:dyDescent="0.3">
      <c r="A9" s="23" t="s">
        <v>61</v>
      </c>
    </row>
    <row r="10" spans="1:5" x14ac:dyDescent="0.3">
      <c r="B10" t="s">
        <v>62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25" t="s">
        <v>65</v>
      </c>
      <c r="C15" s="25" t="s">
        <v>66</v>
      </c>
      <c r="D15" s="25" t="s">
        <v>67</v>
      </c>
      <c r="E15" s="25" t="s">
        <v>68</v>
      </c>
    </row>
    <row r="16" spans="1:5" ht="15" thickBot="1" x14ac:dyDescent="0.35">
      <c r="B16" s="24" t="s">
        <v>76</v>
      </c>
      <c r="C16" s="24" t="s">
        <v>77</v>
      </c>
      <c r="D16" s="24">
        <v>0</v>
      </c>
      <c r="E16" s="24">
        <v>3.2921810699588473E-2</v>
      </c>
    </row>
    <row r="19" spans="1:7" ht="15" thickBot="1" x14ac:dyDescent="0.35">
      <c r="A19" t="s">
        <v>69</v>
      </c>
    </row>
    <row r="20" spans="1:7" ht="15" thickBot="1" x14ac:dyDescent="0.35">
      <c r="B20" s="25" t="s">
        <v>65</v>
      </c>
      <c r="C20" s="25" t="s">
        <v>66</v>
      </c>
      <c r="D20" s="25" t="s">
        <v>67</v>
      </c>
      <c r="E20" s="25" t="s">
        <v>68</v>
      </c>
      <c r="F20" s="25" t="s">
        <v>70</v>
      </c>
    </row>
    <row r="21" spans="1:7" x14ac:dyDescent="0.3">
      <c r="B21" s="26" t="s">
        <v>78</v>
      </c>
      <c r="C21" s="26" t="s">
        <v>79</v>
      </c>
      <c r="D21" s="26">
        <v>0</v>
      </c>
      <c r="E21" s="26">
        <v>1.8518518518518517E-2</v>
      </c>
      <c r="F21" s="26" t="s">
        <v>80</v>
      </c>
    </row>
    <row r="22" spans="1:7" x14ac:dyDescent="0.3">
      <c r="B22" s="26" t="s">
        <v>81</v>
      </c>
      <c r="C22" s="26" t="s">
        <v>82</v>
      </c>
      <c r="D22" s="26">
        <v>0</v>
      </c>
      <c r="E22" s="26">
        <v>0</v>
      </c>
      <c r="F22" s="26" t="s">
        <v>80</v>
      </c>
    </row>
    <row r="23" spans="1:7" x14ac:dyDescent="0.3">
      <c r="B23" s="26" t="s">
        <v>83</v>
      </c>
      <c r="C23" s="26" t="s">
        <v>84</v>
      </c>
      <c r="D23" s="26">
        <v>0</v>
      </c>
      <c r="E23" s="26">
        <v>0</v>
      </c>
      <c r="F23" s="26" t="s">
        <v>80</v>
      </c>
    </row>
    <row r="24" spans="1:7" ht="15" thickBot="1" x14ac:dyDescent="0.35">
      <c r="B24" s="24" t="s">
        <v>85</v>
      </c>
      <c r="C24" s="24" t="s">
        <v>86</v>
      </c>
      <c r="D24" s="24">
        <v>0</v>
      </c>
      <c r="E24" s="24">
        <v>1.4403292181069957E-2</v>
      </c>
      <c r="F24" s="24" t="s">
        <v>80</v>
      </c>
    </row>
    <row r="27" spans="1:7" ht="15" thickBot="1" x14ac:dyDescent="0.35">
      <c r="A27" t="s">
        <v>71</v>
      </c>
    </row>
    <row r="28" spans="1:7" ht="15" thickBot="1" x14ac:dyDescent="0.35">
      <c r="B28" s="25" t="s">
        <v>65</v>
      </c>
      <c r="C28" s="25" t="s">
        <v>66</v>
      </c>
      <c r="D28" s="25" t="s">
        <v>72</v>
      </c>
      <c r="E28" s="25" t="s">
        <v>73</v>
      </c>
      <c r="F28" s="25" t="s">
        <v>74</v>
      </c>
      <c r="G28" s="25" t="s">
        <v>75</v>
      </c>
    </row>
    <row r="29" spans="1:7" x14ac:dyDescent="0.3">
      <c r="B29" s="26" t="s">
        <v>87</v>
      </c>
      <c r="C29" s="26" t="s">
        <v>88</v>
      </c>
      <c r="D29" s="26">
        <v>1</v>
      </c>
      <c r="E29" s="26" t="s">
        <v>89</v>
      </c>
      <c r="F29" s="26" t="s">
        <v>90</v>
      </c>
      <c r="G29" s="26">
        <v>0</v>
      </c>
    </row>
    <row r="30" spans="1:7" x14ac:dyDescent="0.3">
      <c r="B30" s="26" t="s">
        <v>91</v>
      </c>
      <c r="C30" s="26" t="s">
        <v>92</v>
      </c>
      <c r="D30" s="26">
        <v>1</v>
      </c>
      <c r="E30" s="26" t="s">
        <v>93</v>
      </c>
      <c r="F30" s="26" t="s">
        <v>90</v>
      </c>
      <c r="G30" s="26">
        <v>0</v>
      </c>
    </row>
    <row r="31" spans="1:7" x14ac:dyDescent="0.3">
      <c r="B31" s="26" t="s">
        <v>94</v>
      </c>
      <c r="C31" s="26" t="s">
        <v>95</v>
      </c>
      <c r="D31" s="26">
        <v>1</v>
      </c>
      <c r="E31" s="26" t="s">
        <v>96</v>
      </c>
      <c r="F31" s="26" t="s">
        <v>90</v>
      </c>
      <c r="G31" s="26">
        <v>0</v>
      </c>
    </row>
    <row r="32" spans="1:7" ht="15" thickBot="1" x14ac:dyDescent="0.35">
      <c r="B32" s="24" t="s">
        <v>97</v>
      </c>
      <c r="C32" s="24" t="s">
        <v>98</v>
      </c>
      <c r="D32" s="24">
        <v>0.99999999999999989</v>
      </c>
      <c r="E32" s="24" t="s">
        <v>99</v>
      </c>
      <c r="F32" s="24" t="s">
        <v>90</v>
      </c>
      <c r="G32" s="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1F97-9EA3-404C-9433-15559D705D82}">
  <dimension ref="A1:H20"/>
  <sheetViews>
    <sheetView showGridLines="0" workbookViewId="0"/>
  </sheetViews>
  <sheetFormatPr defaultRowHeight="14.4" x14ac:dyDescent="0.3"/>
  <cols>
    <col min="1" max="1" width="2.33203125" customWidth="1"/>
    <col min="2" max="2" width="7.21875" bestFit="1" customWidth="1"/>
    <col min="3" max="3" width="8.5546875" bestFit="1" customWidth="1"/>
    <col min="4" max="4" width="14.6640625" bestFit="1" customWidth="1"/>
    <col min="5" max="5" width="12" bestFit="1" customWidth="1"/>
    <col min="6" max="6" width="16.5546875" bestFit="1" customWidth="1"/>
    <col min="7" max="7" width="12" bestFit="1" customWidth="1"/>
    <col min="8" max="8" width="12.44140625" bestFit="1" customWidth="1"/>
  </cols>
  <sheetData>
    <row r="1" spans="1:8" x14ac:dyDescent="0.3">
      <c r="A1" s="23" t="s">
        <v>100</v>
      </c>
    </row>
    <row r="2" spans="1:8" x14ac:dyDescent="0.3">
      <c r="A2" s="23" t="s">
        <v>54</v>
      </c>
    </row>
    <row r="3" spans="1:8" x14ac:dyDescent="0.3">
      <c r="A3" s="23" t="s">
        <v>55</v>
      </c>
    </row>
    <row r="6" spans="1:8" ht="15" thickBot="1" x14ac:dyDescent="0.35">
      <c r="A6" t="s">
        <v>69</v>
      </c>
    </row>
    <row r="7" spans="1:8" x14ac:dyDescent="0.3">
      <c r="B7" s="27"/>
      <c r="C7" s="27"/>
      <c r="D7" s="27" t="s">
        <v>101</v>
      </c>
      <c r="E7" s="27" t="s">
        <v>103</v>
      </c>
      <c r="F7" s="27" t="s">
        <v>105</v>
      </c>
      <c r="G7" s="27" t="s">
        <v>107</v>
      </c>
      <c r="H7" s="27" t="s">
        <v>107</v>
      </c>
    </row>
    <row r="8" spans="1:8" ht="15" thickBot="1" x14ac:dyDescent="0.35">
      <c r="B8" s="28" t="s">
        <v>65</v>
      </c>
      <c r="C8" s="28" t="s">
        <v>66</v>
      </c>
      <c r="D8" s="28" t="s">
        <v>102</v>
      </c>
      <c r="E8" s="28" t="s">
        <v>104</v>
      </c>
      <c r="F8" s="28" t="s">
        <v>106</v>
      </c>
      <c r="G8" s="28" t="s">
        <v>108</v>
      </c>
      <c r="H8" s="28" t="s">
        <v>109</v>
      </c>
    </row>
    <row r="9" spans="1:8" x14ac:dyDescent="0.3">
      <c r="B9" s="26" t="s">
        <v>78</v>
      </c>
      <c r="C9" s="26" t="s">
        <v>79</v>
      </c>
      <c r="D9" s="26">
        <v>1.8518518518518517E-2</v>
      </c>
      <c r="E9" s="26">
        <v>0</v>
      </c>
      <c r="F9" s="26">
        <v>1</v>
      </c>
      <c r="G9" s="26">
        <v>1E+30</v>
      </c>
      <c r="H9" s="26">
        <v>0</v>
      </c>
    </row>
    <row r="10" spans="1:8" x14ac:dyDescent="0.3">
      <c r="B10" s="26" t="s">
        <v>81</v>
      </c>
      <c r="C10" s="26" t="s">
        <v>82</v>
      </c>
      <c r="D10" s="26">
        <v>0</v>
      </c>
      <c r="E10" s="26">
        <v>0</v>
      </c>
      <c r="F10" s="26">
        <v>1</v>
      </c>
      <c r="G10" s="26">
        <v>0</v>
      </c>
      <c r="H10" s="26">
        <v>1E+30</v>
      </c>
    </row>
    <row r="11" spans="1:8" x14ac:dyDescent="0.3">
      <c r="B11" s="26" t="s">
        <v>83</v>
      </c>
      <c r="C11" s="26" t="s">
        <v>84</v>
      </c>
      <c r="D11" s="26">
        <v>0</v>
      </c>
      <c r="E11" s="26">
        <v>0</v>
      </c>
      <c r="F11" s="26">
        <v>1</v>
      </c>
      <c r="G11" s="26">
        <v>0</v>
      </c>
      <c r="H11" s="26">
        <v>1E+30</v>
      </c>
    </row>
    <row r="12" spans="1:8" ht="15" thickBot="1" x14ac:dyDescent="0.35">
      <c r="B12" s="24" t="s">
        <v>85</v>
      </c>
      <c r="C12" s="24" t="s">
        <v>86</v>
      </c>
      <c r="D12" s="24">
        <v>1.4403292181069957E-2</v>
      </c>
      <c r="E12" s="24">
        <v>0</v>
      </c>
      <c r="F12" s="24">
        <v>1</v>
      </c>
      <c r="G12" s="24">
        <v>3.5000000000000004</v>
      </c>
      <c r="H12" s="24">
        <v>0</v>
      </c>
    </row>
    <row r="14" spans="1:8" ht="15" thickBot="1" x14ac:dyDescent="0.35">
      <c r="A14" t="s">
        <v>71</v>
      </c>
    </row>
    <row r="15" spans="1:8" x14ac:dyDescent="0.3">
      <c r="B15" s="27"/>
      <c r="C15" s="27"/>
      <c r="D15" s="27" t="s">
        <v>101</v>
      </c>
      <c r="E15" s="27" t="s">
        <v>110</v>
      </c>
      <c r="F15" s="27" t="s">
        <v>112</v>
      </c>
      <c r="G15" s="27" t="s">
        <v>107</v>
      </c>
      <c r="H15" s="27" t="s">
        <v>107</v>
      </c>
    </row>
    <row r="16" spans="1:8" ht="15" thickBot="1" x14ac:dyDescent="0.35">
      <c r="B16" s="28" t="s">
        <v>65</v>
      </c>
      <c r="C16" s="28" t="s">
        <v>66</v>
      </c>
      <c r="D16" s="28" t="s">
        <v>102</v>
      </c>
      <c r="E16" s="28" t="s">
        <v>111</v>
      </c>
      <c r="F16" s="28" t="s">
        <v>113</v>
      </c>
      <c r="G16" s="28" t="s">
        <v>108</v>
      </c>
      <c r="H16" s="28" t="s">
        <v>109</v>
      </c>
    </row>
    <row r="17" spans="2:8" x14ac:dyDescent="0.3">
      <c r="B17" s="26" t="s">
        <v>87</v>
      </c>
      <c r="C17" s="26" t="s">
        <v>88</v>
      </c>
      <c r="D17" s="26">
        <v>1</v>
      </c>
      <c r="E17" s="26">
        <v>1.4403292181069959E-2</v>
      </c>
      <c r="F17" s="26">
        <v>1</v>
      </c>
      <c r="G17" s="26">
        <v>8.3266726846886741E-17</v>
      </c>
      <c r="H17" s="26">
        <v>1</v>
      </c>
    </row>
    <row r="18" spans="2:8" x14ac:dyDescent="0.3">
      <c r="B18" s="26" t="s">
        <v>91</v>
      </c>
      <c r="C18" s="26" t="s">
        <v>92</v>
      </c>
      <c r="D18" s="26">
        <v>1</v>
      </c>
      <c r="E18" s="26">
        <v>0</v>
      </c>
      <c r="F18" s="26">
        <v>1</v>
      </c>
      <c r="G18" s="26">
        <v>1E+30</v>
      </c>
      <c r="H18" s="26">
        <v>5.5511151231257827E-17</v>
      </c>
    </row>
    <row r="19" spans="2:8" x14ac:dyDescent="0.3">
      <c r="B19" s="26" t="s">
        <v>94</v>
      </c>
      <c r="C19" s="26" t="s">
        <v>95</v>
      </c>
      <c r="D19" s="26">
        <v>1</v>
      </c>
      <c r="E19" s="26">
        <v>0</v>
      </c>
      <c r="F19" s="26">
        <v>1</v>
      </c>
      <c r="G19" s="26">
        <v>1E+30</v>
      </c>
      <c r="H19" s="26">
        <v>1.1102230246251565E-16</v>
      </c>
    </row>
    <row r="20" spans="2:8" ht="15" thickBot="1" x14ac:dyDescent="0.35">
      <c r="B20" s="24" t="s">
        <v>97</v>
      </c>
      <c r="C20" s="24" t="s">
        <v>98</v>
      </c>
      <c r="D20" s="24">
        <v>0.99999999999999989</v>
      </c>
      <c r="E20" s="24">
        <v>1.8518518518518517E-2</v>
      </c>
      <c r="F20" s="24">
        <v>1</v>
      </c>
      <c r="G20" s="24">
        <v>1.6653345369377348E-16</v>
      </c>
      <c r="H20" s="24">
        <v>0.77777777777777779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DC27-DC57-4EDD-A9EE-298F748FA8B3}">
  <dimension ref="A1:J16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7.21875" bestFit="1" customWidth="1"/>
    <col min="3" max="3" width="12" bestFit="1" customWidth="1"/>
    <col min="4" max="4" width="9.33203125" bestFit="1" customWidth="1"/>
    <col min="5" max="5" width="2.33203125" customWidth="1"/>
    <col min="6" max="6" width="8.109375" bestFit="1" customWidth="1"/>
    <col min="7" max="7" width="16.5546875" bestFit="1" customWidth="1"/>
    <col min="8" max="8" width="2.33203125" customWidth="1"/>
    <col min="9" max="9" width="8.44140625" bestFit="1" customWidth="1"/>
    <col min="10" max="10" width="16.5546875" bestFit="1" customWidth="1"/>
  </cols>
  <sheetData>
    <row r="1" spans="1:10" x14ac:dyDescent="0.3">
      <c r="A1" s="23" t="s">
        <v>114</v>
      </c>
    </row>
    <row r="2" spans="1:10" x14ac:dyDescent="0.3">
      <c r="A2" s="23" t="s">
        <v>54</v>
      </c>
    </row>
    <row r="3" spans="1:10" x14ac:dyDescent="0.3">
      <c r="A3" s="23" t="s">
        <v>115</v>
      </c>
    </row>
    <row r="5" spans="1:10" ht="15" thickBot="1" x14ac:dyDescent="0.35"/>
    <row r="6" spans="1:10" x14ac:dyDescent="0.3">
      <c r="B6" s="27"/>
      <c r="C6" s="27" t="s">
        <v>105</v>
      </c>
      <c r="D6" s="27"/>
    </row>
    <row r="7" spans="1:10" ht="15" thickBot="1" x14ac:dyDescent="0.35">
      <c r="B7" s="28" t="s">
        <v>65</v>
      </c>
      <c r="C7" s="28" t="s">
        <v>66</v>
      </c>
      <c r="D7" s="28" t="s">
        <v>102</v>
      </c>
    </row>
    <row r="8" spans="1:10" ht="15" thickBot="1" x14ac:dyDescent="0.35">
      <c r="B8" s="24" t="s">
        <v>76</v>
      </c>
      <c r="C8" s="24" t="s">
        <v>77</v>
      </c>
      <c r="D8" s="24">
        <v>3.2921810699588473E-2</v>
      </c>
    </row>
    <row r="10" spans="1:10" ht="15" thickBot="1" x14ac:dyDescent="0.35"/>
    <row r="11" spans="1:10" x14ac:dyDescent="0.3">
      <c r="B11" s="27"/>
      <c r="C11" s="27" t="s">
        <v>116</v>
      </c>
      <c r="D11" s="27"/>
      <c r="F11" s="27" t="s">
        <v>117</v>
      </c>
      <c r="G11" s="27" t="s">
        <v>105</v>
      </c>
      <c r="I11" s="27" t="s">
        <v>120</v>
      </c>
      <c r="J11" s="27" t="s">
        <v>105</v>
      </c>
    </row>
    <row r="12" spans="1:10" ht="15" thickBot="1" x14ac:dyDescent="0.35">
      <c r="B12" s="28" t="s">
        <v>65</v>
      </c>
      <c r="C12" s="28" t="s">
        <v>66</v>
      </c>
      <c r="D12" s="28" t="s">
        <v>102</v>
      </c>
      <c r="F12" s="28" t="s">
        <v>118</v>
      </c>
      <c r="G12" s="28" t="s">
        <v>119</v>
      </c>
      <c r="I12" s="28" t="s">
        <v>118</v>
      </c>
      <c r="J12" s="28" t="s">
        <v>119</v>
      </c>
    </row>
    <row r="13" spans="1:10" x14ac:dyDescent="0.3">
      <c r="B13" s="26" t="s">
        <v>78</v>
      </c>
      <c r="C13" s="26" t="s">
        <v>79</v>
      </c>
      <c r="D13" s="26">
        <v>1.8518518518518517E-2</v>
      </c>
      <c r="F13" s="26">
        <v>0</v>
      </c>
      <c r="G13" s="26">
        <v>1.4403292181069957E-2</v>
      </c>
      <c r="I13" s="26">
        <v>1.8518518518518517E-2</v>
      </c>
      <c r="J13" s="26">
        <v>3.2921810699588473E-2</v>
      </c>
    </row>
    <row r="14" spans="1:10" x14ac:dyDescent="0.3">
      <c r="B14" s="26" t="s">
        <v>81</v>
      </c>
      <c r="C14" s="26" t="s">
        <v>82</v>
      </c>
      <c r="D14" s="26">
        <v>0</v>
      </c>
      <c r="F14" s="26">
        <v>0</v>
      </c>
      <c r="G14" s="26">
        <v>3.2921810699588473E-2</v>
      </c>
      <c r="I14" s="26">
        <v>0</v>
      </c>
      <c r="J14" s="26">
        <v>3.2921810699588473E-2</v>
      </c>
    </row>
    <row r="15" spans="1:10" x14ac:dyDescent="0.3">
      <c r="B15" s="26" t="s">
        <v>83</v>
      </c>
      <c r="C15" s="26" t="s">
        <v>84</v>
      </c>
      <c r="D15" s="26">
        <v>0</v>
      </c>
      <c r="F15" s="26">
        <v>0</v>
      </c>
      <c r="G15" s="26">
        <v>3.2921810699588473E-2</v>
      </c>
      <c r="I15" s="26">
        <v>0</v>
      </c>
      <c r="J15" s="26">
        <v>3.2921810699588473E-2</v>
      </c>
    </row>
    <row r="16" spans="1:10" ht="15" thickBot="1" x14ac:dyDescent="0.35">
      <c r="B16" s="24" t="s">
        <v>85</v>
      </c>
      <c r="C16" s="24" t="s">
        <v>86</v>
      </c>
      <c r="D16" s="24">
        <v>1.4403292181069957E-2</v>
      </c>
      <c r="F16" s="24">
        <v>0</v>
      </c>
      <c r="G16" s="24">
        <v>1.8518518518518517E-2</v>
      </c>
      <c r="I16" s="24">
        <v>1.4403292181069957E-2</v>
      </c>
      <c r="J16" s="24">
        <v>3.2921810699588473E-2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topLeftCell="A94" zoomScale="85" zoomScaleNormal="85" workbookViewId="0">
      <selection activeCell="L113" sqref="L113"/>
    </sheetView>
  </sheetViews>
  <sheetFormatPr defaultRowHeight="14.4" x14ac:dyDescent="0.3"/>
  <cols>
    <col min="1" max="1" width="9.77734375" customWidth="1"/>
    <col min="2" max="2" width="8.6640625" customWidth="1"/>
    <col min="3" max="4" width="8.44140625" customWidth="1"/>
    <col min="5" max="5" width="8.77734375" customWidth="1"/>
    <col min="6" max="6" width="10" customWidth="1"/>
    <col min="7" max="7" width="10.109375" customWidth="1"/>
    <col min="8" max="8" width="10.77734375" customWidth="1"/>
    <col min="9" max="9" width="9.44140625" customWidth="1"/>
    <col min="10" max="10" width="4.5546875" customWidth="1"/>
    <col min="11" max="12" width="9.44140625" customWidth="1"/>
    <col min="13" max="13" width="4.88671875" customWidth="1"/>
  </cols>
  <sheetData>
    <row r="1" spans="1:1" x14ac:dyDescent="0.3">
      <c r="A1" t="s">
        <v>0</v>
      </c>
    </row>
    <row r="17" spans="1:8" ht="14.4" customHeight="1" x14ac:dyDescent="0.3">
      <c r="A17" s="37" t="s">
        <v>1</v>
      </c>
      <c r="B17" s="37"/>
      <c r="C17" s="37"/>
      <c r="D17" s="37"/>
      <c r="E17" s="37"/>
      <c r="F17" s="37"/>
      <c r="G17" s="37"/>
      <c r="H17" s="37"/>
    </row>
    <row r="18" spans="1:8" x14ac:dyDescent="0.3">
      <c r="A18" s="37"/>
      <c r="B18" s="37"/>
      <c r="C18" s="37"/>
      <c r="D18" s="37"/>
      <c r="E18" s="37"/>
      <c r="F18" s="37"/>
      <c r="G18" s="37"/>
      <c r="H18" s="37"/>
    </row>
    <row r="20" spans="1:8" x14ac:dyDescent="0.3">
      <c r="A20" t="s">
        <v>2</v>
      </c>
      <c r="F20" t="s">
        <v>8</v>
      </c>
    </row>
    <row r="21" spans="1:8" x14ac:dyDescent="0.3">
      <c r="A21" t="s">
        <v>3</v>
      </c>
      <c r="B21" t="s">
        <v>4</v>
      </c>
      <c r="F21" t="s">
        <v>3</v>
      </c>
      <c r="G21" t="s">
        <v>9</v>
      </c>
    </row>
    <row r="22" spans="1:8" x14ac:dyDescent="0.3">
      <c r="B22" t="s">
        <v>5</v>
      </c>
      <c r="G22" t="s">
        <v>10</v>
      </c>
    </row>
    <row r="23" spans="1:8" x14ac:dyDescent="0.3">
      <c r="B23" t="s">
        <v>6</v>
      </c>
      <c r="G23" t="s">
        <v>11</v>
      </c>
    </row>
    <row r="24" spans="1:8" x14ac:dyDescent="0.3">
      <c r="B24" t="s">
        <v>7</v>
      </c>
      <c r="G24" t="s">
        <v>12</v>
      </c>
    </row>
    <row r="26" spans="1:8" x14ac:dyDescent="0.3">
      <c r="A26" t="s">
        <v>13</v>
      </c>
    </row>
    <row r="28" spans="1:8" x14ac:dyDescent="0.3">
      <c r="C28" s="1" t="s">
        <v>14</v>
      </c>
      <c r="D28" s="1" t="s">
        <v>15</v>
      </c>
      <c r="E28" s="1" t="s">
        <v>16</v>
      </c>
      <c r="F28" s="1" t="s">
        <v>17</v>
      </c>
    </row>
    <row r="29" spans="1:8" x14ac:dyDescent="0.3">
      <c r="C29" s="3">
        <v>13</v>
      </c>
      <c r="D29" s="3">
        <v>15</v>
      </c>
      <c r="E29" s="3">
        <v>17</v>
      </c>
      <c r="F29" s="3">
        <v>19</v>
      </c>
    </row>
    <row r="30" spans="1:8" x14ac:dyDescent="0.3">
      <c r="A30" s="1" t="s">
        <v>18</v>
      </c>
      <c r="B30" s="2">
        <v>13</v>
      </c>
      <c r="C30" s="4">
        <v>0</v>
      </c>
      <c r="D30" s="5">
        <f xml:space="preserve"> -1*(D29-$B30) *9</f>
        <v>-18</v>
      </c>
      <c r="E30" s="5">
        <f t="shared" ref="E30:F30" si="0" xml:space="preserve"> -1*(E29-$B30) *9</f>
        <v>-36</v>
      </c>
      <c r="F30" s="6">
        <f t="shared" si="0"/>
        <v>-54</v>
      </c>
    </row>
    <row r="31" spans="1:8" x14ac:dyDescent="0.3">
      <c r="A31" s="1" t="s">
        <v>19</v>
      </c>
      <c r="B31" s="2">
        <v>15</v>
      </c>
      <c r="C31" s="7">
        <f xml:space="preserve"> -1*($B31-C$29)*7</f>
        <v>-14</v>
      </c>
      <c r="D31">
        <v>0</v>
      </c>
      <c r="E31">
        <f xml:space="preserve"> -1*(E$29-$B31) *9</f>
        <v>-18</v>
      </c>
      <c r="F31" s="8">
        <f xml:space="preserve"> -1*(F$29-$B31) *9</f>
        <v>-36</v>
      </c>
    </row>
    <row r="32" spans="1:8" x14ac:dyDescent="0.3">
      <c r="A32" s="1" t="s">
        <v>20</v>
      </c>
      <c r="B32" s="2">
        <v>17</v>
      </c>
      <c r="C32" s="7">
        <f t="shared" ref="C32:E33" si="1" xml:space="preserve"> -1*($B32-C$29)*7</f>
        <v>-28</v>
      </c>
      <c r="D32">
        <f t="shared" si="1"/>
        <v>-14</v>
      </c>
      <c r="E32">
        <v>0</v>
      </c>
      <c r="F32" s="8">
        <f xml:space="preserve"> -1*(F$29-$B32) *9</f>
        <v>-18</v>
      </c>
    </row>
    <row r="33" spans="1:10" x14ac:dyDescent="0.3">
      <c r="A33" s="1" t="s">
        <v>21</v>
      </c>
      <c r="B33" s="2">
        <v>19</v>
      </c>
      <c r="C33" s="9">
        <f t="shared" si="1"/>
        <v>-42</v>
      </c>
      <c r="D33" s="10">
        <f t="shared" si="1"/>
        <v>-28</v>
      </c>
      <c r="E33" s="10">
        <f t="shared" si="1"/>
        <v>-14</v>
      </c>
      <c r="F33" s="11">
        <v>0</v>
      </c>
    </row>
    <row r="36" spans="1:10" ht="14.4" customHeight="1" x14ac:dyDescent="0.3">
      <c r="A36" s="37" t="s">
        <v>22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9" spans="1:10" x14ac:dyDescent="0.3">
      <c r="A39" t="s">
        <v>23</v>
      </c>
    </row>
    <row r="41" spans="1:10" x14ac:dyDescent="0.3">
      <c r="A41" s="35" t="s">
        <v>25</v>
      </c>
      <c r="B41" s="35"/>
      <c r="C41" s="35"/>
      <c r="D41" s="35"/>
      <c r="E41" s="35"/>
    </row>
    <row r="42" spans="1:10" x14ac:dyDescent="0.3">
      <c r="B42" s="1" t="s">
        <v>14</v>
      </c>
      <c r="C42" s="1" t="s">
        <v>15</v>
      </c>
      <c r="D42" s="1" t="s">
        <v>16</v>
      </c>
      <c r="E42" s="1" t="s">
        <v>17</v>
      </c>
      <c r="F42" s="1" t="s">
        <v>26</v>
      </c>
    </row>
    <row r="43" spans="1:10" x14ac:dyDescent="0.3">
      <c r="A43" s="1" t="s">
        <v>18</v>
      </c>
      <c r="B43" s="4">
        <v>0</v>
      </c>
      <c r="C43" s="5">
        <v>-18</v>
      </c>
      <c r="D43" s="5">
        <v>-36</v>
      </c>
      <c r="E43" s="6">
        <v>-54</v>
      </c>
      <c r="F43" s="14">
        <f>SUMPRODUCT(B43:E43,B$47:E$47)</f>
        <v>-29.7</v>
      </c>
    </row>
    <row r="44" spans="1:10" x14ac:dyDescent="0.3">
      <c r="A44" s="1" t="s">
        <v>19</v>
      </c>
      <c r="B44" s="7">
        <v>-14</v>
      </c>
      <c r="C44">
        <v>0</v>
      </c>
      <c r="D44">
        <v>-18</v>
      </c>
      <c r="E44" s="8">
        <v>-36</v>
      </c>
      <c r="F44" s="14">
        <f t="shared" ref="F44:F46" si="2">SUMPRODUCT(B44:E44,B$47:E$47)</f>
        <v>-14.9</v>
      </c>
    </row>
    <row r="45" spans="1:10" x14ac:dyDescent="0.3">
      <c r="A45" s="17" t="s">
        <v>20</v>
      </c>
      <c r="B45" s="7">
        <v>-28</v>
      </c>
      <c r="C45">
        <v>-14</v>
      </c>
      <c r="D45">
        <v>0</v>
      </c>
      <c r="E45" s="8">
        <v>-18</v>
      </c>
      <c r="F45" s="16">
        <f t="shared" si="2"/>
        <v>-11.299999999999999</v>
      </c>
    </row>
    <row r="46" spans="1:10" x14ac:dyDescent="0.3">
      <c r="A46" s="1" t="s">
        <v>21</v>
      </c>
      <c r="B46" s="9">
        <v>-42</v>
      </c>
      <c r="C46" s="10">
        <v>-28</v>
      </c>
      <c r="D46" s="10">
        <v>-14</v>
      </c>
      <c r="E46" s="11">
        <v>0</v>
      </c>
      <c r="F46" s="13">
        <f t="shared" si="2"/>
        <v>-18.899999999999999</v>
      </c>
    </row>
    <row r="47" spans="1:10" x14ac:dyDescent="0.3">
      <c r="A47" s="13" t="s">
        <v>24</v>
      </c>
      <c r="B47" s="10">
        <v>0.1</v>
      </c>
      <c r="C47" s="10">
        <v>0.35</v>
      </c>
      <c r="D47" s="10">
        <v>0.35</v>
      </c>
      <c r="E47" s="11">
        <v>0.2</v>
      </c>
    </row>
    <row r="50" spans="1:6" x14ac:dyDescent="0.3">
      <c r="A50" s="35" t="s">
        <v>27</v>
      </c>
      <c r="B50" s="35"/>
      <c r="C50" s="35"/>
      <c r="D50" s="35"/>
      <c r="E50" s="35"/>
    </row>
    <row r="51" spans="1:6" x14ac:dyDescent="0.3">
      <c r="B51" s="3" t="s">
        <v>14</v>
      </c>
      <c r="C51" s="3" t="s">
        <v>15</v>
      </c>
      <c r="D51" s="3" t="s">
        <v>16</v>
      </c>
      <c r="E51" s="3" t="s">
        <v>17</v>
      </c>
      <c r="F51" s="1" t="s">
        <v>28</v>
      </c>
    </row>
    <row r="52" spans="1:6" x14ac:dyDescent="0.3">
      <c r="A52" s="2" t="s">
        <v>18</v>
      </c>
      <c r="B52" s="4">
        <f xml:space="preserve"> MAX(B$43:B$46) - B43</f>
        <v>0</v>
      </c>
      <c r="C52" s="5">
        <f xml:space="preserve"> MAX(C$43:C$46) - C43</f>
        <v>18</v>
      </c>
      <c r="D52" s="5">
        <f xml:space="preserve"> MAX(D$43:D$46) - D43</f>
        <v>36</v>
      </c>
      <c r="E52" s="6">
        <f xml:space="preserve"> MAX(E$43:E$46) - E43</f>
        <v>54</v>
      </c>
      <c r="F52" s="14">
        <f xml:space="preserve"> SUMPRODUCT(B52:E52,B$56:E$56)</f>
        <v>29.7</v>
      </c>
    </row>
    <row r="53" spans="1:6" x14ac:dyDescent="0.3">
      <c r="A53" s="2" t="s">
        <v>19</v>
      </c>
      <c r="B53" s="7">
        <f t="shared" ref="B53:E55" si="3" xml:space="preserve"> MAX(B$43:B$46) - B44</f>
        <v>14</v>
      </c>
      <c r="C53">
        <f t="shared" si="3"/>
        <v>0</v>
      </c>
      <c r="D53">
        <f t="shared" si="3"/>
        <v>18</v>
      </c>
      <c r="E53" s="8">
        <f t="shared" si="3"/>
        <v>36</v>
      </c>
      <c r="F53" s="14">
        <f t="shared" ref="F53:F55" si="4" xml:space="preserve"> SUMPRODUCT(B53:E53,B$56:E$56)</f>
        <v>14.9</v>
      </c>
    </row>
    <row r="54" spans="1:6" x14ac:dyDescent="0.3">
      <c r="A54" s="18" t="s">
        <v>20</v>
      </c>
      <c r="B54" s="7">
        <f t="shared" si="3"/>
        <v>28</v>
      </c>
      <c r="C54">
        <f t="shared" si="3"/>
        <v>14</v>
      </c>
      <c r="D54">
        <f t="shared" si="3"/>
        <v>0</v>
      </c>
      <c r="E54" s="8">
        <f t="shared" si="3"/>
        <v>18</v>
      </c>
      <c r="F54" s="16">
        <f t="shared" si="4"/>
        <v>11.299999999999999</v>
      </c>
    </row>
    <row r="55" spans="1:6" x14ac:dyDescent="0.3">
      <c r="A55" s="2" t="s">
        <v>21</v>
      </c>
      <c r="B55" s="7">
        <f t="shared" si="3"/>
        <v>42</v>
      </c>
      <c r="C55">
        <f t="shared" si="3"/>
        <v>28</v>
      </c>
      <c r="D55">
        <f t="shared" si="3"/>
        <v>14</v>
      </c>
      <c r="E55" s="8">
        <f t="shared" si="3"/>
        <v>0</v>
      </c>
      <c r="F55" s="13">
        <f t="shared" si="4"/>
        <v>18.899999999999999</v>
      </c>
    </row>
    <row r="56" spans="1:6" x14ac:dyDescent="0.3">
      <c r="A56" s="9" t="s">
        <v>24</v>
      </c>
      <c r="B56" s="2">
        <v>0.1</v>
      </c>
      <c r="C56" s="15">
        <v>0.35</v>
      </c>
      <c r="D56" s="15">
        <v>0.35</v>
      </c>
      <c r="E56" s="12">
        <v>0.2</v>
      </c>
    </row>
    <row r="58" spans="1:6" x14ac:dyDescent="0.3">
      <c r="A58" t="s">
        <v>29</v>
      </c>
    </row>
    <row r="60" spans="1:6" x14ac:dyDescent="0.3">
      <c r="A60" s="35" t="s">
        <v>25</v>
      </c>
      <c r="B60" s="35"/>
      <c r="C60" s="35"/>
      <c r="D60" s="35"/>
      <c r="E60" s="35"/>
    </row>
    <row r="61" spans="1:6" x14ac:dyDescent="0.3">
      <c r="B61" s="1" t="s">
        <v>14</v>
      </c>
      <c r="C61" s="1" t="s">
        <v>15</v>
      </c>
      <c r="D61" s="1" t="s">
        <v>16</v>
      </c>
      <c r="E61" s="1" t="s">
        <v>17</v>
      </c>
      <c r="F61" s="1" t="s">
        <v>26</v>
      </c>
    </row>
    <row r="62" spans="1:6" x14ac:dyDescent="0.3">
      <c r="A62" s="1" t="s">
        <v>18</v>
      </c>
      <c r="B62" s="4">
        <v>0</v>
      </c>
      <c r="C62" s="5">
        <v>-18</v>
      </c>
      <c r="D62" s="5">
        <v>-36</v>
      </c>
      <c r="E62" s="6">
        <v>-54</v>
      </c>
      <c r="F62" s="3">
        <f>SUMPRODUCT(B62:E62,B$66:E$66)</f>
        <v>-27</v>
      </c>
    </row>
    <row r="63" spans="1:6" x14ac:dyDescent="0.3">
      <c r="A63" s="1" t="s">
        <v>19</v>
      </c>
      <c r="B63" s="7">
        <v>-14</v>
      </c>
      <c r="C63">
        <v>0</v>
      </c>
      <c r="D63">
        <v>-18</v>
      </c>
      <c r="E63" s="8">
        <v>-36</v>
      </c>
      <c r="F63" s="14">
        <f t="shared" ref="F63:F65" si="5">SUMPRODUCT(B63:E63,B$66:E$66)</f>
        <v>-17</v>
      </c>
    </row>
    <row r="64" spans="1:6" x14ac:dyDescent="0.3">
      <c r="A64" s="17" t="s">
        <v>20</v>
      </c>
      <c r="B64" s="7">
        <v>-28</v>
      </c>
      <c r="C64">
        <v>-14</v>
      </c>
      <c r="D64">
        <v>0</v>
      </c>
      <c r="E64" s="8">
        <v>-18</v>
      </c>
      <c r="F64" s="16">
        <f t="shared" si="5"/>
        <v>-15</v>
      </c>
    </row>
    <row r="65" spans="1:12" x14ac:dyDescent="0.3">
      <c r="A65" s="1" t="s">
        <v>21</v>
      </c>
      <c r="B65" s="9">
        <v>-42</v>
      </c>
      <c r="C65" s="10">
        <v>-28</v>
      </c>
      <c r="D65" s="10">
        <v>-14</v>
      </c>
      <c r="E65" s="11">
        <v>0</v>
      </c>
      <c r="F65" s="13">
        <f t="shared" si="5"/>
        <v>-21</v>
      </c>
    </row>
    <row r="66" spans="1:12" x14ac:dyDescent="0.3">
      <c r="A66" s="13" t="s">
        <v>24</v>
      </c>
      <c r="B66" s="2">
        <f>1/4</f>
        <v>0.25</v>
      </c>
      <c r="C66" s="15">
        <f t="shared" ref="C66:E66" si="6">1/4</f>
        <v>0.25</v>
      </c>
      <c r="D66" s="15">
        <f t="shared" si="6"/>
        <v>0.25</v>
      </c>
      <c r="E66" s="12">
        <f t="shared" si="6"/>
        <v>0.25</v>
      </c>
    </row>
    <row r="69" spans="1:12" x14ac:dyDescent="0.3">
      <c r="A69" s="35" t="s">
        <v>27</v>
      </c>
      <c r="B69" s="35"/>
      <c r="C69" s="35"/>
      <c r="D69" s="35"/>
      <c r="E69" s="35"/>
    </row>
    <row r="70" spans="1:12" x14ac:dyDescent="0.3">
      <c r="B70" s="3" t="s">
        <v>14</v>
      </c>
      <c r="C70" s="3" t="s">
        <v>15</v>
      </c>
      <c r="D70" s="3" t="s">
        <v>16</v>
      </c>
      <c r="E70" s="3" t="s">
        <v>17</v>
      </c>
      <c r="F70" s="1" t="s">
        <v>28</v>
      </c>
    </row>
    <row r="71" spans="1:12" x14ac:dyDescent="0.3">
      <c r="A71" s="2" t="s">
        <v>18</v>
      </c>
      <c r="B71" s="4">
        <f t="shared" ref="B71:C71" si="7" xml:space="preserve"> MAX(B$62:B$65) - B62</f>
        <v>0</v>
      </c>
      <c r="C71" s="5">
        <f t="shared" si="7"/>
        <v>18</v>
      </c>
      <c r="D71" s="5">
        <f xml:space="preserve"> MAX(D$62:D$65) - D62</f>
        <v>36</v>
      </c>
      <c r="E71" s="6">
        <f xml:space="preserve"> MAX(E$62:E$65) - E62</f>
        <v>54</v>
      </c>
      <c r="F71" s="3">
        <f xml:space="preserve"> SUMPRODUCT(B71:E71,B$75:E$75)</f>
        <v>27</v>
      </c>
    </row>
    <row r="72" spans="1:12" x14ac:dyDescent="0.3">
      <c r="A72" s="2" t="s">
        <v>19</v>
      </c>
      <c r="B72" s="7">
        <f t="shared" ref="B72" si="8" xml:space="preserve"> MAX(B$62:B$65) - B63</f>
        <v>14</v>
      </c>
      <c r="C72">
        <f t="shared" ref="C72" si="9" xml:space="preserve"> MAX(C$62:C$65) - C63</f>
        <v>0</v>
      </c>
      <c r="D72">
        <f t="shared" ref="D72:D74" si="10" xml:space="preserve"> MAX(D$62:D$65) - D63</f>
        <v>18</v>
      </c>
      <c r="E72" s="8">
        <f t="shared" ref="E72:E74" si="11" xml:space="preserve"> MAX(E$62:E$65) - E63</f>
        <v>36</v>
      </c>
      <c r="F72" s="14">
        <f t="shared" ref="F72:F74" si="12" xml:space="preserve"> SUMPRODUCT(B72:E72,B$75:E$75)</f>
        <v>17</v>
      </c>
    </row>
    <row r="73" spans="1:12" x14ac:dyDescent="0.3">
      <c r="A73" s="18" t="s">
        <v>20</v>
      </c>
      <c r="B73" s="7">
        <f t="shared" ref="B73" si="13" xml:space="preserve"> MAX(B$62:B$65) - B64</f>
        <v>28</v>
      </c>
      <c r="C73">
        <f t="shared" ref="C73" si="14" xml:space="preserve"> MAX(C$62:C$65) - C64</f>
        <v>14</v>
      </c>
      <c r="D73">
        <f t="shared" si="10"/>
        <v>0</v>
      </c>
      <c r="E73" s="8">
        <f t="shared" si="11"/>
        <v>18</v>
      </c>
      <c r="F73" s="16">
        <f xml:space="preserve"> SUMPRODUCT(B73:E73,B$75:E$75)</f>
        <v>15</v>
      </c>
    </row>
    <row r="74" spans="1:12" x14ac:dyDescent="0.3">
      <c r="A74" s="2" t="s">
        <v>21</v>
      </c>
      <c r="B74" s="7">
        <f t="shared" ref="B74" si="15" xml:space="preserve"> MAX(B$62:B$65) - B65</f>
        <v>42</v>
      </c>
      <c r="C74">
        <f t="shared" ref="C74" si="16" xml:space="preserve"> MAX(C$62:C$65) - C65</f>
        <v>28</v>
      </c>
      <c r="D74">
        <f t="shared" si="10"/>
        <v>14</v>
      </c>
      <c r="E74" s="8">
        <f t="shared" si="11"/>
        <v>0</v>
      </c>
      <c r="F74" s="13">
        <f t="shared" si="12"/>
        <v>21</v>
      </c>
    </row>
    <row r="75" spans="1:12" x14ac:dyDescent="0.3">
      <c r="A75" s="9" t="s">
        <v>24</v>
      </c>
      <c r="B75" s="2">
        <f>1/4</f>
        <v>0.25</v>
      </c>
      <c r="C75" s="15">
        <f t="shared" ref="C75:E75" si="17">1/4</f>
        <v>0.25</v>
      </c>
      <c r="D75" s="15">
        <f t="shared" si="17"/>
        <v>0.25</v>
      </c>
      <c r="E75" s="12">
        <f t="shared" si="17"/>
        <v>0.25</v>
      </c>
    </row>
    <row r="77" spans="1:12" ht="15.6" x14ac:dyDescent="0.3">
      <c r="A77" s="19"/>
    </row>
    <row r="78" spans="1:12" x14ac:dyDescent="0.3">
      <c r="A78" t="s">
        <v>30</v>
      </c>
    </row>
    <row r="79" spans="1:12" x14ac:dyDescent="0.3">
      <c r="K79">
        <v>0.7</v>
      </c>
      <c r="L79" t="s">
        <v>34</v>
      </c>
    </row>
    <row r="80" spans="1:12" x14ac:dyDescent="0.3">
      <c r="A80" s="35" t="s">
        <v>25</v>
      </c>
      <c r="B80" s="35"/>
      <c r="C80" s="35"/>
      <c r="D80" s="35"/>
      <c r="E80" s="35"/>
    </row>
    <row r="81" spans="1:17" ht="14.4" customHeight="1" x14ac:dyDescent="0.3">
      <c r="B81" s="1" t="s">
        <v>14</v>
      </c>
      <c r="C81" s="1" t="s">
        <v>15</v>
      </c>
      <c r="D81" s="1" t="s">
        <v>16</v>
      </c>
      <c r="E81" s="1" t="s">
        <v>17</v>
      </c>
      <c r="F81" s="1" t="s">
        <v>32</v>
      </c>
      <c r="G81" s="1" t="s">
        <v>33</v>
      </c>
      <c r="H81" s="1" t="s">
        <v>37</v>
      </c>
      <c r="K81" s="36" t="s">
        <v>138</v>
      </c>
      <c r="L81" s="36"/>
      <c r="M81" s="36"/>
      <c r="N81" s="36"/>
      <c r="O81" s="36"/>
      <c r="P81" s="36"/>
      <c r="Q81" s="36"/>
    </row>
    <row r="82" spans="1:17" x14ac:dyDescent="0.3">
      <c r="A82" s="1" t="s">
        <v>18</v>
      </c>
      <c r="B82" s="4">
        <v>0</v>
      </c>
      <c r="C82" s="5">
        <v>-18</v>
      </c>
      <c r="D82" s="5">
        <v>-36</v>
      </c>
      <c r="E82" s="6">
        <v>-54</v>
      </c>
      <c r="F82" s="7">
        <f xml:space="preserve"> MIN(B82:E82)</f>
        <v>-54</v>
      </c>
      <c r="G82">
        <f xml:space="preserve"> MAX(B82:E82)</f>
        <v>0</v>
      </c>
      <c r="H82" s="8">
        <f>$K$79*F82 + (1 - $K$79)*G82</f>
        <v>-37.799999999999997</v>
      </c>
      <c r="K82" s="36"/>
      <c r="L82" s="36"/>
      <c r="M82" s="36"/>
      <c r="N82" s="36"/>
      <c r="O82" s="36"/>
      <c r="P82" s="36"/>
      <c r="Q82" s="36"/>
    </row>
    <row r="83" spans="1:17" x14ac:dyDescent="0.3">
      <c r="A83" s="1" t="s">
        <v>19</v>
      </c>
      <c r="B83" s="7">
        <v>-14</v>
      </c>
      <c r="C83">
        <v>0</v>
      </c>
      <c r="D83">
        <v>-18</v>
      </c>
      <c r="E83" s="8">
        <v>-36</v>
      </c>
      <c r="F83" s="7">
        <f t="shared" ref="F83:F85" si="18" xml:space="preserve"> MIN(B83:E83)</f>
        <v>-36</v>
      </c>
      <c r="G83">
        <f t="shared" ref="G83:G85" si="19" xml:space="preserve"> MAX(B83:E83)</f>
        <v>0</v>
      </c>
      <c r="H83" s="8">
        <f t="shared" ref="H83" si="20">$K$79*F83 + (1 - $K$79)*G83</f>
        <v>-25.2</v>
      </c>
    </row>
    <row r="84" spans="1:17" x14ac:dyDescent="0.3">
      <c r="A84" s="17" t="s">
        <v>20</v>
      </c>
      <c r="B84" s="7">
        <v>-28</v>
      </c>
      <c r="C84">
        <v>-14</v>
      </c>
      <c r="D84">
        <v>0</v>
      </c>
      <c r="E84" s="8">
        <v>-18</v>
      </c>
      <c r="F84" s="21">
        <f t="shared" si="18"/>
        <v>-28</v>
      </c>
      <c r="G84">
        <f t="shared" si="19"/>
        <v>0</v>
      </c>
      <c r="H84" s="20">
        <f>$K$79*F84 + (1 - $K$79)*G84</f>
        <v>-19.599999999999998</v>
      </c>
      <c r="K84" s="36" t="s">
        <v>135</v>
      </c>
      <c r="L84" s="36"/>
      <c r="M84" s="36"/>
      <c r="N84" s="36"/>
      <c r="O84" s="36"/>
      <c r="P84" s="36"/>
    </row>
    <row r="85" spans="1:17" x14ac:dyDescent="0.3">
      <c r="A85" s="1" t="s">
        <v>21</v>
      </c>
      <c r="B85" s="9">
        <v>-42</v>
      </c>
      <c r="C85" s="10">
        <v>-28</v>
      </c>
      <c r="D85" s="10">
        <v>-14</v>
      </c>
      <c r="E85" s="11">
        <v>0</v>
      </c>
      <c r="F85" s="9">
        <f t="shared" si="18"/>
        <v>-42</v>
      </c>
      <c r="G85" s="10">
        <f t="shared" si="19"/>
        <v>0</v>
      </c>
      <c r="H85" s="11">
        <f>$K$79*F85 + (1 - $K$79)*G85</f>
        <v>-29.4</v>
      </c>
      <c r="K85" s="36"/>
      <c r="L85" s="36"/>
      <c r="M85" s="36"/>
      <c r="N85" s="36"/>
      <c r="O85" s="36"/>
      <c r="P85" s="36"/>
    </row>
    <row r="86" spans="1:17" x14ac:dyDescent="0.3">
      <c r="A86" s="8" t="s">
        <v>31</v>
      </c>
      <c r="B86">
        <f xml:space="preserve"> MAX(B82:B85)</f>
        <v>0</v>
      </c>
      <c r="C86">
        <f t="shared" ref="C86:E86" si="21" xml:space="preserve"> MAX(C82:C85)</f>
        <v>0</v>
      </c>
      <c r="D86">
        <f t="shared" si="21"/>
        <v>0</v>
      </c>
      <c r="E86">
        <f t="shared" si="21"/>
        <v>0</v>
      </c>
    </row>
    <row r="87" spans="1:17" ht="14.4" customHeight="1" x14ac:dyDescent="0.3">
      <c r="K87" s="36" t="s">
        <v>136</v>
      </c>
      <c r="L87" s="36"/>
      <c r="M87" s="36"/>
      <c r="N87" s="36"/>
      <c r="O87" s="36"/>
      <c r="P87" s="36"/>
    </row>
    <row r="88" spans="1:17" x14ac:dyDescent="0.3">
      <c r="K88" s="36"/>
      <c r="L88" s="36"/>
      <c r="M88" s="36"/>
      <c r="N88" s="36"/>
      <c r="O88" s="36"/>
      <c r="P88" s="36"/>
    </row>
    <row r="89" spans="1:17" x14ac:dyDescent="0.3">
      <c r="A89" s="35" t="s">
        <v>27</v>
      </c>
      <c r="B89" s="35"/>
      <c r="C89" s="35"/>
      <c r="D89" s="35"/>
      <c r="E89" s="35"/>
      <c r="K89" s="36"/>
      <c r="L89" s="36"/>
      <c r="M89" s="36"/>
      <c r="N89" s="36"/>
      <c r="O89" s="36"/>
      <c r="P89" s="36"/>
    </row>
    <row r="90" spans="1:17" x14ac:dyDescent="0.3">
      <c r="B90" s="3" t="s">
        <v>14</v>
      </c>
      <c r="C90" s="3" t="s">
        <v>15</v>
      </c>
      <c r="D90" s="3" t="s">
        <v>16</v>
      </c>
      <c r="E90" s="3" t="s">
        <v>17</v>
      </c>
      <c r="F90" s="3" t="s">
        <v>35</v>
      </c>
      <c r="G90" s="3" t="s">
        <v>36</v>
      </c>
      <c r="H90" s="3" t="s">
        <v>37</v>
      </c>
    </row>
    <row r="91" spans="1:17" x14ac:dyDescent="0.3">
      <c r="A91" s="2" t="s">
        <v>18</v>
      </c>
      <c r="B91" s="4">
        <f t="shared" ref="B91:E94" si="22" xml:space="preserve"> MAX(B$62:B$65) - B82</f>
        <v>0</v>
      </c>
      <c r="C91" s="5">
        <f t="shared" si="22"/>
        <v>18</v>
      </c>
      <c r="D91" s="5">
        <f xml:space="preserve"> MAX(D$62:D$65) - D82</f>
        <v>36</v>
      </c>
      <c r="E91" s="5">
        <f xml:space="preserve"> MAX(E$62:E$65) - E82</f>
        <v>54</v>
      </c>
      <c r="F91" s="4">
        <f>MIN(B91:E91)</f>
        <v>0</v>
      </c>
      <c r="G91" s="5">
        <f>MAX(B91:E92)</f>
        <v>54</v>
      </c>
      <c r="H91" s="6">
        <f>K$79*G91 + (1 -K$79)*F91</f>
        <v>37.799999999999997</v>
      </c>
    </row>
    <row r="92" spans="1:17" x14ac:dyDescent="0.3">
      <c r="A92" s="18" t="s">
        <v>19</v>
      </c>
      <c r="B92" s="7">
        <f t="shared" si="22"/>
        <v>14</v>
      </c>
      <c r="C92">
        <f t="shared" si="22"/>
        <v>0</v>
      </c>
      <c r="D92">
        <f t="shared" si="22"/>
        <v>18</v>
      </c>
      <c r="E92">
        <f t="shared" si="22"/>
        <v>36</v>
      </c>
      <c r="F92" s="7">
        <f t="shared" ref="F92:F94" si="23">MIN(B92:E92)</f>
        <v>0</v>
      </c>
      <c r="G92" s="22">
        <f t="shared" ref="G92:G94" si="24">MAX(B92:E93)</f>
        <v>36</v>
      </c>
      <c r="H92" s="20">
        <f t="shared" ref="H92:H94" si="25">K$79*G92 + (1 -K$79)*F92</f>
        <v>25.2</v>
      </c>
    </row>
    <row r="93" spans="1:17" x14ac:dyDescent="0.3">
      <c r="A93" t="s">
        <v>20</v>
      </c>
      <c r="B93" s="7">
        <f t="shared" si="22"/>
        <v>28</v>
      </c>
      <c r="C93">
        <f t="shared" si="22"/>
        <v>14</v>
      </c>
      <c r="D93">
        <f t="shared" si="22"/>
        <v>0</v>
      </c>
      <c r="E93">
        <f t="shared" si="22"/>
        <v>18</v>
      </c>
      <c r="F93" s="7">
        <f t="shared" si="23"/>
        <v>0</v>
      </c>
      <c r="G93">
        <f t="shared" si="24"/>
        <v>42</v>
      </c>
      <c r="H93" s="8">
        <f>K$79*G93 + (1 -K$79)*F93</f>
        <v>29.4</v>
      </c>
    </row>
    <row r="94" spans="1:17" x14ac:dyDescent="0.3">
      <c r="A94" s="2" t="s">
        <v>21</v>
      </c>
      <c r="B94" s="9">
        <f t="shared" si="22"/>
        <v>42</v>
      </c>
      <c r="C94" s="10">
        <f t="shared" si="22"/>
        <v>28</v>
      </c>
      <c r="D94" s="10">
        <f t="shared" si="22"/>
        <v>14</v>
      </c>
      <c r="E94" s="10">
        <f t="shared" si="22"/>
        <v>0</v>
      </c>
      <c r="F94" s="9">
        <f t="shared" si="23"/>
        <v>0</v>
      </c>
      <c r="G94" s="10">
        <f t="shared" si="24"/>
        <v>54</v>
      </c>
      <c r="H94" s="11">
        <f t="shared" si="25"/>
        <v>37.799999999999997</v>
      </c>
    </row>
    <row r="95" spans="1:17" x14ac:dyDescent="0.3">
      <c r="A95" s="8" t="s">
        <v>31</v>
      </c>
      <c r="B95" s="7">
        <f xml:space="preserve"> MAX(B91:B94)</f>
        <v>42</v>
      </c>
      <c r="C95" s="7">
        <f t="shared" ref="C95:E95" si="26" xml:space="preserve"> MAX(C91:C94)</f>
        <v>28</v>
      </c>
      <c r="D95" s="7">
        <f t="shared" si="26"/>
        <v>36</v>
      </c>
      <c r="E95" s="7">
        <f t="shared" si="26"/>
        <v>54</v>
      </c>
    </row>
    <row r="97" spans="1:15" x14ac:dyDescent="0.3">
      <c r="A97" s="34" t="s">
        <v>139</v>
      </c>
    </row>
    <row r="98" spans="1:15" x14ac:dyDescent="0.3">
      <c r="A98" s="34" t="s">
        <v>140</v>
      </c>
    </row>
    <row r="100" spans="1:15" x14ac:dyDescent="0.3">
      <c r="A100" t="s">
        <v>38</v>
      </c>
    </row>
    <row r="102" spans="1:15" x14ac:dyDescent="0.3">
      <c r="A102" s="35" t="s">
        <v>47</v>
      </c>
      <c r="B102" s="35"/>
      <c r="C102" s="35"/>
      <c r="D102" s="35"/>
      <c r="E102" s="35"/>
      <c r="H102" s="29"/>
      <c r="I102" s="29"/>
      <c r="J102" s="29" t="s">
        <v>137</v>
      </c>
      <c r="K102" s="29">
        <f>1/F109</f>
        <v>30.374999999999979</v>
      </c>
      <c r="L102" s="29"/>
      <c r="M102" s="30" t="s">
        <v>123</v>
      </c>
      <c r="N102" s="30">
        <f>K102-54</f>
        <v>-23.625000000000021</v>
      </c>
    </row>
    <row r="103" spans="1:15" x14ac:dyDescent="0.3">
      <c r="B103" s="3" t="s">
        <v>14</v>
      </c>
      <c r="C103" s="3" t="s">
        <v>15</v>
      </c>
      <c r="D103" s="3" t="s">
        <v>16</v>
      </c>
      <c r="E103" s="3" t="s">
        <v>17</v>
      </c>
      <c r="J103" t="s">
        <v>124</v>
      </c>
      <c r="K103">
        <f>K102*B109</f>
        <v>0.562499999999999</v>
      </c>
      <c r="M103" t="s">
        <v>130</v>
      </c>
      <c r="N103">
        <f>K102*B110</f>
        <v>0.43750000000000094</v>
      </c>
    </row>
    <row r="104" spans="1:15" x14ac:dyDescent="0.3">
      <c r="A104" s="2" t="s">
        <v>18</v>
      </c>
      <c r="B104" s="4">
        <v>54</v>
      </c>
      <c r="C104" s="5">
        <v>36</v>
      </c>
      <c r="D104" s="5">
        <v>18</v>
      </c>
      <c r="E104" s="6">
        <v>0</v>
      </c>
      <c r="F104">
        <f>SUMPRODUCT(B104:E104,B$109:E$109)</f>
        <v>0.999999999999999</v>
      </c>
      <c r="J104" t="s">
        <v>125</v>
      </c>
      <c r="K104">
        <f>K102*C109</f>
        <v>0</v>
      </c>
      <c r="M104" t="s">
        <v>131</v>
      </c>
      <c r="N104">
        <f>K102*C110</f>
        <v>0</v>
      </c>
    </row>
    <row r="105" spans="1:15" x14ac:dyDescent="0.3">
      <c r="A105" s="2" t="s">
        <v>19</v>
      </c>
      <c r="B105" s="7">
        <v>40</v>
      </c>
      <c r="C105">
        <v>54</v>
      </c>
      <c r="D105">
        <v>36</v>
      </c>
      <c r="E105" s="8">
        <v>18</v>
      </c>
      <c r="F105">
        <f>SUMPRODUCT(B105:E105,B$109:E$109)</f>
        <v>1</v>
      </c>
      <c r="J105" t="s">
        <v>126</v>
      </c>
      <c r="K105">
        <f>K102*D109</f>
        <v>0</v>
      </c>
      <c r="M105" t="s">
        <v>132</v>
      </c>
      <c r="N105">
        <f>K102*D110</f>
        <v>0</v>
      </c>
    </row>
    <row r="106" spans="1:15" x14ac:dyDescent="0.3">
      <c r="A106" t="s">
        <v>20</v>
      </c>
      <c r="B106" s="7">
        <v>26</v>
      </c>
      <c r="C106">
        <v>40</v>
      </c>
      <c r="D106">
        <v>54</v>
      </c>
      <c r="E106" s="8">
        <v>36</v>
      </c>
      <c r="F106">
        <f>SUMPRODUCT(B106:E106,B$109:E$109)</f>
        <v>1.0000000000000011</v>
      </c>
      <c r="J106" t="s">
        <v>127</v>
      </c>
      <c r="K106">
        <f>K102*E109</f>
        <v>0.43750000000000094</v>
      </c>
      <c r="M106" t="s">
        <v>133</v>
      </c>
      <c r="N106">
        <f>K102*E110</f>
        <v>0.562499999999999</v>
      </c>
    </row>
    <row r="107" spans="1:15" x14ac:dyDescent="0.3">
      <c r="A107" s="2" t="s">
        <v>21</v>
      </c>
      <c r="B107" s="9">
        <v>12</v>
      </c>
      <c r="C107" s="10">
        <v>26</v>
      </c>
      <c r="D107" s="10">
        <v>40</v>
      </c>
      <c r="E107" s="11">
        <v>54</v>
      </c>
      <c r="F107">
        <f t="shared" ref="F107" si="27">SUMPRODUCT(B107:E107,B$109:E$109)</f>
        <v>1.000000000000002</v>
      </c>
      <c r="J107" s="33" t="s">
        <v>128</v>
      </c>
      <c r="K107" s="33"/>
      <c r="L107" s="33"/>
      <c r="M107" s="33" t="s">
        <v>134</v>
      </c>
      <c r="N107" s="33"/>
      <c r="O107" s="30"/>
    </row>
    <row r="109" spans="1:15" x14ac:dyDescent="0.3">
      <c r="A109" s="1" t="s">
        <v>52</v>
      </c>
      <c r="B109" s="15">
        <v>1.85185185185185E-2</v>
      </c>
      <c r="C109" s="15">
        <v>0</v>
      </c>
      <c r="D109" s="15">
        <v>0</v>
      </c>
      <c r="E109" s="15">
        <v>1.4403292181070001E-2</v>
      </c>
      <c r="F109" s="31">
        <f>SUM(B109:E109)</f>
        <v>3.2921810699588501E-2</v>
      </c>
    </row>
    <row r="110" spans="1:15" x14ac:dyDescent="0.3">
      <c r="A110" s="2" t="s">
        <v>129</v>
      </c>
      <c r="B110" s="2">
        <v>1.4403292181070001E-2</v>
      </c>
      <c r="C110" s="15">
        <v>0</v>
      </c>
      <c r="D110" s="15">
        <v>0</v>
      </c>
      <c r="E110" s="12">
        <v>1.85185185185185E-2</v>
      </c>
      <c r="F110" s="32">
        <f>SUM(B110:E110)</f>
        <v>3.2921810699588501E-2</v>
      </c>
    </row>
    <row r="112" spans="1:15" x14ac:dyDescent="0.3">
      <c r="A112" s="30" t="s">
        <v>122</v>
      </c>
      <c r="B112" s="30"/>
      <c r="C112" s="30"/>
    </row>
    <row r="113" spans="1:6" x14ac:dyDescent="0.3">
      <c r="A113" s="30" t="s">
        <v>121</v>
      </c>
      <c r="B113" s="30"/>
      <c r="C113" s="30"/>
    </row>
    <row r="115" spans="1:6" x14ac:dyDescent="0.3">
      <c r="A115" t="s">
        <v>39</v>
      </c>
      <c r="F115" t="s">
        <v>45</v>
      </c>
    </row>
    <row r="117" spans="1:6" x14ac:dyDescent="0.3">
      <c r="A117" t="s">
        <v>40</v>
      </c>
      <c r="F117" t="s">
        <v>46</v>
      </c>
    </row>
    <row r="119" spans="1:6" x14ac:dyDescent="0.3">
      <c r="A119" t="s">
        <v>41</v>
      </c>
      <c r="F119" t="s">
        <v>48</v>
      </c>
    </row>
    <row r="120" spans="1:6" x14ac:dyDescent="0.3">
      <c r="A120" t="s">
        <v>42</v>
      </c>
      <c r="F120" t="s">
        <v>49</v>
      </c>
    </row>
    <row r="121" spans="1:6" x14ac:dyDescent="0.3">
      <c r="A121" t="s">
        <v>43</v>
      </c>
      <c r="F121" t="s">
        <v>50</v>
      </c>
    </row>
    <row r="122" spans="1:6" x14ac:dyDescent="0.3">
      <c r="A122" t="s">
        <v>44</v>
      </c>
      <c r="F122" t="s">
        <v>51</v>
      </c>
    </row>
  </sheetData>
  <mergeCells count="12">
    <mergeCell ref="K84:P85"/>
    <mergeCell ref="K87:P89"/>
    <mergeCell ref="K81:Q82"/>
    <mergeCell ref="A17:H18"/>
    <mergeCell ref="A36:J37"/>
    <mergeCell ref="A41:E41"/>
    <mergeCell ref="A102:E102"/>
    <mergeCell ref="A50:E50"/>
    <mergeCell ref="A60:E60"/>
    <mergeCell ref="A69:E69"/>
    <mergeCell ref="A80:E80"/>
    <mergeCell ref="A89:E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Отчет о результатах 1</vt:lpstr>
      <vt:lpstr>Отчет об устойчивости 1</vt:lpstr>
      <vt:lpstr>Отчет о пределах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Виктория Лозюк</cp:lastModifiedBy>
  <dcterms:created xsi:type="dcterms:W3CDTF">2015-06-05T18:19:34Z</dcterms:created>
  <dcterms:modified xsi:type="dcterms:W3CDTF">2023-11-03T18:38:46Z</dcterms:modified>
</cp:coreProperties>
</file>