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5 semester\MathProg\lab 8\"/>
    </mc:Choice>
  </mc:AlternateContent>
  <xr:revisionPtr revIDLastSave="0" documentId="13_ncr:1_{D0AF9EB6-75B9-49FE-A57E-F3C9AF5814B0}" xr6:coauthVersionLast="47" xr6:coauthVersionMax="47" xr10:uidLastSave="{00000000-0000-0000-0000-000000000000}"/>
  <bookViews>
    <workbookView xWindow="1520" yWindow="1520" windowWidth="19200" windowHeight="1117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D33" i="1"/>
  <c r="B33" i="1"/>
  <c r="F32" i="1"/>
  <c r="B31" i="1"/>
  <c r="D30" i="1"/>
  <c r="C29" i="1"/>
  <c r="P24" i="1"/>
  <c r="P23" i="1"/>
  <c r="C33" i="1" s="1"/>
  <c r="P22" i="1"/>
  <c r="C32" i="1" s="1"/>
  <c r="P21" i="1"/>
  <c r="E33" i="1" s="1"/>
  <c r="P20" i="1"/>
  <c r="E32" i="1" s="1"/>
  <c r="P19" i="1"/>
  <c r="E31" i="1" s="1"/>
  <c r="J13" i="1"/>
  <c r="J11" i="1"/>
  <c r="J10" i="1"/>
  <c r="I11" i="1" s="1"/>
  <c r="J9" i="1"/>
  <c r="I10" i="1" s="1"/>
  <c r="J7" i="1"/>
  <c r="J12" i="1" s="1"/>
  <c r="I13" i="1" s="1"/>
  <c r="I7" i="1"/>
  <c r="H7" i="1"/>
  <c r="G7" i="1"/>
  <c r="F7" i="1"/>
  <c r="E7" i="1"/>
  <c r="E8" i="1" s="1"/>
  <c r="D7" i="1"/>
  <c r="D8" i="1" s="1"/>
  <c r="C7" i="1"/>
  <c r="B7" i="1"/>
  <c r="B30" i="1" l="1"/>
  <c r="D31" i="1"/>
  <c r="F33" i="1"/>
  <c r="B29" i="1"/>
  <c r="C30" i="1"/>
  <c r="I30" i="1" s="1"/>
  <c r="I12" i="1"/>
  <c r="H11" i="1"/>
  <c r="G12" i="1" s="1"/>
  <c r="F13" i="1" s="1"/>
  <c r="E14" i="1" s="1"/>
  <c r="C8" i="1"/>
  <c r="B9" i="1" s="1"/>
  <c r="H13" i="1"/>
  <c r="G14" i="1" s="1"/>
  <c r="F8" i="1"/>
  <c r="E9" i="1"/>
  <c r="D10" i="1" s="1"/>
  <c r="C11" i="1" s="1"/>
  <c r="B12" i="1" s="1"/>
  <c r="D9" i="1"/>
  <c r="C10" i="1" s="1"/>
  <c r="B11" i="1" s="1"/>
  <c r="C9" i="1"/>
  <c r="B10" i="1" s="1"/>
  <c r="G8" i="1"/>
  <c r="F9" i="1" s="1"/>
  <c r="E10" i="1" s="1"/>
  <c r="D11" i="1" s="1"/>
  <c r="C12" i="1" s="1"/>
  <c r="B13" i="1" s="1"/>
  <c r="H8" i="1"/>
  <c r="G9" i="1" s="1"/>
  <c r="E11" i="1" s="1"/>
  <c r="D12" i="1" s="1"/>
  <c r="C13" i="1" s="1"/>
  <c r="B14" i="1" s="1"/>
  <c r="I8" i="1"/>
  <c r="H9" i="1" s="1"/>
  <c r="G10" i="1" s="1"/>
  <c r="F11" i="1" s="1"/>
  <c r="E12" i="1" s="1"/>
  <c r="D13" i="1" s="1"/>
  <c r="C14" i="1" s="1"/>
  <c r="B32" i="1"/>
  <c r="J8" i="1"/>
  <c r="I9" i="1" s="1"/>
  <c r="H10" i="1" s="1"/>
  <c r="G11" i="1" s="1"/>
  <c r="F12" i="1" s="1"/>
  <c r="E13" i="1" s="1"/>
  <c r="D14" i="1" s="1"/>
  <c r="B28" i="1"/>
  <c r="D32" i="1"/>
  <c r="G33" i="1"/>
  <c r="B8" i="1"/>
  <c r="H14" i="1"/>
  <c r="H12" i="1"/>
  <c r="G13" i="1" s="1"/>
  <c r="F14" i="1" s="1"/>
  <c r="J14" i="1"/>
  <c r="C31" i="1"/>
  <c r="I14" i="1"/>
  <c r="I33" i="1" l="1"/>
  <c r="H30" i="1"/>
  <c r="D41" i="1" s="1"/>
  <c r="I31" i="1"/>
  <c r="H31" i="1"/>
  <c r="C41" i="1" s="1"/>
  <c r="H29" i="1"/>
  <c r="I29" i="1"/>
  <c r="C40" i="1"/>
  <c r="E42" i="1"/>
  <c r="B39" i="1"/>
  <c r="I32" i="1"/>
  <c r="H32" i="1"/>
  <c r="H33" i="1"/>
  <c r="B42" i="1" s="1"/>
  <c r="I28" i="1"/>
  <c r="H28" i="1"/>
  <c r="D42" i="1" l="1"/>
  <c r="B40" i="1"/>
  <c r="D40" i="1"/>
  <c r="E41" i="1"/>
  <c r="F42" i="1"/>
  <c r="C39" i="1"/>
  <c r="B38" i="1"/>
  <c r="F41" i="1"/>
  <c r="G42" i="1"/>
  <c r="B37" i="1"/>
  <c r="E40" i="1"/>
  <c r="I40" i="1" s="1"/>
  <c r="C38" i="1"/>
  <c r="D39" i="1"/>
  <c r="B41" i="1"/>
  <c r="C42" i="1"/>
  <c r="I39" i="1" l="1"/>
  <c r="H39" i="1"/>
  <c r="E51" i="1" s="1"/>
  <c r="H42" i="1"/>
  <c r="B51" i="1" s="1"/>
  <c r="I42" i="1"/>
  <c r="I41" i="1"/>
  <c r="H41" i="1"/>
  <c r="H38" i="1"/>
  <c r="I38" i="1"/>
  <c r="I37" i="1"/>
  <c r="H37" i="1"/>
  <c r="H40" i="1"/>
  <c r="C49" i="1" l="1"/>
  <c r="D50" i="1"/>
  <c r="B48" i="1"/>
  <c r="D51" i="1"/>
  <c r="C50" i="1"/>
  <c r="B49" i="1"/>
  <c r="F51" i="1"/>
  <c r="C48" i="1"/>
  <c r="B47" i="1"/>
  <c r="E50" i="1"/>
  <c r="D49" i="1"/>
  <c r="G51" i="1"/>
  <c r="D48" i="1"/>
  <c r="C47" i="1"/>
  <c r="F50" i="1"/>
  <c r="B46" i="1"/>
  <c r="E49" i="1"/>
  <c r="C51" i="1"/>
  <c r="B50" i="1"/>
  <c r="H48" i="1" l="1"/>
  <c r="I48" i="1"/>
  <c r="I50" i="1"/>
  <c r="H50" i="1"/>
  <c r="I46" i="1"/>
  <c r="H46" i="1"/>
  <c r="I51" i="1"/>
  <c r="H51" i="1"/>
  <c r="I47" i="1"/>
  <c r="H47" i="1"/>
  <c r="I49" i="1"/>
  <c r="H49" i="1"/>
</calcChain>
</file>

<file path=xl/sharedStrings.xml><?xml version="1.0" encoding="utf-8"?>
<sst xmlns="http://schemas.openxmlformats.org/spreadsheetml/2006/main" count="48" uniqueCount="33">
  <si>
    <t>задание 1</t>
  </si>
  <si>
    <t>N</t>
  </si>
  <si>
    <t>f(t)</t>
  </si>
  <si>
    <t>задание 2</t>
  </si>
  <si>
    <t xml:space="preserve">Инвестиции,  </t>
  </si>
  <si>
    <t>Прирост выпуска продукции, млн. руб.</t>
  </si>
  <si>
    <t>Инвестиции</t>
  </si>
  <si>
    <t>B1(c)</t>
  </si>
  <si>
    <t>x1</t>
  </si>
  <si>
    <t>млн.руб.</t>
  </si>
  <si>
    <t>П1</t>
  </si>
  <si>
    <t>П2</t>
  </si>
  <si>
    <t>П3</t>
  </si>
  <si>
    <t>П4</t>
  </si>
  <si>
    <t>прирост 
выпуска продукции</t>
  </si>
  <si>
    <t>c\x</t>
  </si>
  <si>
    <t>B2(c)</t>
  </si>
  <si>
    <t>x2*(c)</t>
  </si>
  <si>
    <t>c</t>
  </si>
  <si>
    <t>x1*(c)</t>
  </si>
  <si>
    <t>B3(c)</t>
  </si>
  <si>
    <t>x3*(c)</t>
  </si>
  <si>
    <t>B4(c)</t>
  </si>
  <si>
    <t>x4*(c)</t>
  </si>
  <si>
    <t>t</t>
  </si>
  <si>
    <t>f1(t)</t>
  </si>
  <si>
    <t>f2(t)</t>
  </si>
  <si>
    <t>f3(t)</t>
  </si>
  <si>
    <t>f4(t)</t>
  </si>
  <si>
    <t>f5(t)</t>
  </si>
  <si>
    <t>f6(t)</t>
  </si>
  <si>
    <t>f7(t)</t>
  </si>
  <si>
    <t xml:space="preserve"> f8(t)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</si>
</sst>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rgb="FF203764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203764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4" fillId="6" borderId="6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zoomScale="115" workbookViewId="0">
      <selection activeCell="O6" sqref="O6"/>
    </sheetView>
  </sheetViews>
  <sheetFormatPr defaultColWidth="5.7265625" defaultRowHeight="14.5"/>
  <cols>
    <col min="1" max="1" width="5.7265625" customWidth="1"/>
  </cols>
  <sheetData>
    <row r="1" spans="1:21" s="59" customFormat="1">
      <c r="A1" s="59" t="s">
        <v>0</v>
      </c>
    </row>
    <row r="3" spans="1:21">
      <c r="A3" s="30" t="s">
        <v>1</v>
      </c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</row>
    <row r="4" spans="1:21">
      <c r="A4" s="32" t="s">
        <v>2</v>
      </c>
      <c r="B4" s="2">
        <v>14</v>
      </c>
      <c r="C4" s="2">
        <v>12</v>
      </c>
      <c r="D4" s="2">
        <v>10</v>
      </c>
      <c r="E4" s="2">
        <v>8</v>
      </c>
      <c r="F4" s="2">
        <v>6</v>
      </c>
      <c r="G4" s="2">
        <v>4</v>
      </c>
      <c r="H4" s="2">
        <v>1</v>
      </c>
      <c r="I4" s="2">
        <v>0</v>
      </c>
      <c r="J4" s="2">
        <v>0</v>
      </c>
    </row>
    <row r="5" spans="1:21">
      <c r="N5" s="21"/>
      <c r="O5" s="21"/>
      <c r="P5" s="21"/>
      <c r="Q5" s="21"/>
      <c r="R5" s="21"/>
      <c r="S5" s="21"/>
      <c r="T5" s="21"/>
      <c r="U5" s="21"/>
    </row>
    <row r="6" spans="1:21">
      <c r="A6" s="33" t="s">
        <v>24</v>
      </c>
      <c r="B6" s="30">
        <v>0</v>
      </c>
      <c r="C6" s="31">
        <v>1</v>
      </c>
      <c r="D6" s="31">
        <v>2</v>
      </c>
      <c r="E6" s="31">
        <v>3</v>
      </c>
      <c r="F6" s="31">
        <v>4</v>
      </c>
      <c r="G6" s="31">
        <v>5</v>
      </c>
      <c r="H6" s="31">
        <v>6</v>
      </c>
      <c r="I6" s="31">
        <v>7</v>
      </c>
      <c r="J6" s="31">
        <v>8</v>
      </c>
      <c r="L6" s="37" t="s">
        <v>2</v>
      </c>
      <c r="M6" s="37" t="s">
        <v>1</v>
      </c>
      <c r="N6" s="21"/>
      <c r="O6" s="21"/>
      <c r="P6" s="21"/>
      <c r="Q6" s="21"/>
      <c r="R6" s="21"/>
      <c r="S6" s="21"/>
      <c r="T6" s="21"/>
      <c r="U6" s="21"/>
    </row>
    <row r="7" spans="1:21">
      <c r="A7" s="34" t="s">
        <v>25</v>
      </c>
      <c r="B7" s="3">
        <f>B4</f>
        <v>14</v>
      </c>
      <c r="C7" s="3">
        <f>C4</f>
        <v>12</v>
      </c>
      <c r="D7" s="4">
        <f t="shared" ref="D7:J7" si="0">D4</f>
        <v>10</v>
      </c>
      <c r="E7" s="14">
        <f t="shared" si="0"/>
        <v>8</v>
      </c>
      <c r="F7" s="3">
        <f t="shared" si="0"/>
        <v>6</v>
      </c>
      <c r="G7" s="3">
        <f t="shared" si="0"/>
        <v>4</v>
      </c>
      <c r="H7" s="3">
        <f t="shared" si="0"/>
        <v>1</v>
      </c>
      <c r="I7" s="3">
        <f t="shared" si="0"/>
        <v>0</v>
      </c>
      <c r="J7" s="3">
        <f t="shared" si="0"/>
        <v>0</v>
      </c>
      <c r="L7" s="17">
        <v>14</v>
      </c>
      <c r="M7" s="22">
        <v>0</v>
      </c>
    </row>
    <row r="8" spans="1:21">
      <c r="A8" s="35" t="s">
        <v>26</v>
      </c>
      <c r="B8" s="3">
        <f>MAX(SUM($L$8:$L8),SUM(B$7,C7))</f>
        <v>26</v>
      </c>
      <c r="C8" s="4">
        <f>MAX(SUM($L$8:$L8),SUM(C$7,D7))</f>
        <v>22</v>
      </c>
      <c r="D8" s="14">
        <f>MAX(SUM($L$8:$L8),SUM(D$7,E7))</f>
        <v>18</v>
      </c>
      <c r="E8" s="3">
        <f>MAX(SUM($L$8:$L8),SUM(E$7,F7))</f>
        <v>14</v>
      </c>
      <c r="F8" s="3">
        <f>MAX(SUM($L$8:$L8),SUM(F$7,G7))</f>
        <v>12</v>
      </c>
      <c r="G8" s="36">
        <f>MAX(SUM($L$8:$L8),SUM(G$7,H7))</f>
        <v>12</v>
      </c>
      <c r="H8" s="13">
        <f>MAX(SUM($L$8:$L8),SUM(H$7,I7))</f>
        <v>12</v>
      </c>
      <c r="I8" s="13">
        <f>MAX(SUM($L$8:$L8),SUM(I$7,J7))</f>
        <v>12</v>
      </c>
      <c r="J8" s="13">
        <f>MAX(SUM($L$8:$L8),SUM(J$7,K7))</f>
        <v>12</v>
      </c>
      <c r="L8" s="18">
        <v>12</v>
      </c>
      <c r="M8" s="13">
        <v>1</v>
      </c>
    </row>
    <row r="9" spans="1:21">
      <c r="A9" s="35" t="s">
        <v>27</v>
      </c>
      <c r="B9" s="4">
        <f>MAX(SUM($L$8:$L9),SUM(B$7,C8))</f>
        <v>36</v>
      </c>
      <c r="C9" s="14">
        <f>MAX(SUM($L$8:$L9),SUM(C$7,D8))</f>
        <v>30</v>
      </c>
      <c r="D9" s="3">
        <f>MAX(SUM($L$8:$L9),SUM(D$7,E8))</f>
        <v>24</v>
      </c>
      <c r="E9" s="3">
        <f>MAX(SUM($L$8:$L9),SUM(E$7,F8))</f>
        <v>22</v>
      </c>
      <c r="F9" s="36">
        <f>MAX(SUM($L$8:$L9),SUM(F$7,G8))</f>
        <v>22</v>
      </c>
      <c r="G9" s="13">
        <f>MAX(SUM($L$8:$L9),SUM(G$7,H8))</f>
        <v>22</v>
      </c>
      <c r="H9" s="13">
        <f>MAX(SUM($L$8:$L9),SUM(H$7,I8))</f>
        <v>22</v>
      </c>
      <c r="I9" s="13">
        <f>MAX(SUM($L$8:$L9),SUM(I$7,J8))</f>
        <v>22</v>
      </c>
      <c r="J9" s="13">
        <f>MAX(SUM($L$8:$L9),SUM(J$7,K8))</f>
        <v>22</v>
      </c>
      <c r="L9" s="18">
        <v>10</v>
      </c>
      <c r="M9" s="22">
        <v>2</v>
      </c>
    </row>
    <row r="10" spans="1:21">
      <c r="A10" s="35" t="s">
        <v>28</v>
      </c>
      <c r="B10" s="14">
        <f>MAX(SUM($L$8:$L10),SUM(B$7,C9))</f>
        <v>44</v>
      </c>
      <c r="C10" s="3">
        <f>MAX(SUM($L$8:$L10),SUM(C$7,D9))</f>
        <v>36</v>
      </c>
      <c r="D10" s="3">
        <f>MAX(SUM($L$8:$L10),SUM(D$7,E9))</f>
        <v>32</v>
      </c>
      <c r="E10" s="3">
        <f>MAX(SUM($L$8:$L10),SUM(E$7,F9))</f>
        <v>30</v>
      </c>
      <c r="F10" s="4">
        <f>MAX(SUM($L$8:$L10),SUM(F$7,G9))</f>
        <v>30</v>
      </c>
      <c r="G10" s="13">
        <f>MAX(SUM($L$8:$L10),SUM(G$7,H9))</f>
        <v>30</v>
      </c>
      <c r="H10" s="13">
        <f>MAX(SUM($L$8:$L10),SUM(H$7,I9))</f>
        <v>30</v>
      </c>
      <c r="I10" s="13">
        <f>MAX(SUM($L$8:$L10),SUM(I$7,J9))</f>
        <v>30</v>
      </c>
      <c r="J10" s="13">
        <f>MAX(SUM($L$8:$L10),SUM(J$7,K9))</f>
        <v>30</v>
      </c>
      <c r="L10" s="18">
        <v>8</v>
      </c>
      <c r="M10" s="22">
        <v>3</v>
      </c>
    </row>
    <row r="11" spans="1:21">
      <c r="A11" s="35" t="s">
        <v>29</v>
      </c>
      <c r="B11" s="3">
        <f>MAX(SUM($L$8:$L11),SUM(B$7,C10))</f>
        <v>50</v>
      </c>
      <c r="C11" s="3">
        <f>MAX(SUM($L$8:$L11),SUM(C$7,D10))</f>
        <v>44</v>
      </c>
      <c r="D11" s="3">
        <f>MAX(SUM($L$8:$L11),SUM(D$7,E10))</f>
        <v>40</v>
      </c>
      <c r="E11" s="4">
        <f>MAX(SUM($L$8:$L11),SUM(E$7,F10))</f>
        <v>38</v>
      </c>
      <c r="F11" s="3">
        <f>MAX(SUM($L$8:$L11),SUM(F$7,G10))</f>
        <v>36</v>
      </c>
      <c r="G11" s="36">
        <f>MAX(SUM($L$8:$L11),SUM(G$7,H10))</f>
        <v>36</v>
      </c>
      <c r="H11" s="13">
        <f>MAX(SUM($L$8:$L11),SUM(H$7,I10))</f>
        <v>36</v>
      </c>
      <c r="I11" s="13">
        <f>MAX(SUM($L$8:$L11),SUM(I$7,J10))</f>
        <v>36</v>
      </c>
      <c r="J11" s="13">
        <f>MAX(SUM($L$8:$L11),SUM(J$7,K10))</f>
        <v>36</v>
      </c>
      <c r="L11" s="18">
        <v>6</v>
      </c>
      <c r="M11" s="13">
        <v>4</v>
      </c>
    </row>
    <row r="12" spans="1:21">
      <c r="A12" s="35" t="s">
        <v>30</v>
      </c>
      <c r="B12" s="3">
        <f>MAX(SUM($L$8:$L12),SUM(B$7,C11))</f>
        <v>58</v>
      </c>
      <c r="C12" s="3">
        <f>MAX(SUM($L$8:$L12),SUM(C$7,D11))</f>
        <v>52</v>
      </c>
      <c r="D12" s="4">
        <f>MAX(SUM($L$8:$L12),SUM(D$7,E11))</f>
        <v>48</v>
      </c>
      <c r="E12" s="3">
        <f>MAX(SUM($L$8:$L12),SUM(E$7,F11))</f>
        <v>44</v>
      </c>
      <c r="F12" s="3">
        <f>MAX(SUM($L$8:$L12),SUM(F$7,G11))</f>
        <v>42</v>
      </c>
      <c r="G12" s="14">
        <f>MAX(SUM($L$8:$L12),SUM(G$7,H11))</f>
        <v>40</v>
      </c>
      <c r="H12" s="36">
        <f>MAX(SUM($L$8:$L12),SUM(H$7,I11))</f>
        <v>40</v>
      </c>
      <c r="I12" s="13">
        <f>MAX(SUM($L$8:$L12),SUM(I$7,J11))</f>
        <v>40</v>
      </c>
      <c r="J12" s="13">
        <f>MAX(SUM($L$8:$L12),SUM(J$7,K11))</f>
        <v>40</v>
      </c>
      <c r="L12" s="18">
        <v>4</v>
      </c>
      <c r="M12" s="22">
        <v>5</v>
      </c>
    </row>
    <row r="13" spans="1:21">
      <c r="A13" s="35" t="s">
        <v>31</v>
      </c>
      <c r="B13" s="3">
        <f>MAX(SUM($L$8:$L13),SUM(B$7,C12))</f>
        <v>66</v>
      </c>
      <c r="C13" s="4">
        <f>MAX(SUM($L$8:$L13),SUM(C$7,D12))</f>
        <v>60</v>
      </c>
      <c r="D13" s="3">
        <f>MAX(SUM($L$8:$L13),SUM(D$7,E12))</f>
        <v>54</v>
      </c>
      <c r="E13" s="3">
        <f>MAX(SUM($L$8:$L13),SUM(E$7,F12))</f>
        <v>50</v>
      </c>
      <c r="F13" s="3">
        <f>MAX(SUM($L$8:$L13),SUM(F$7,G12))</f>
        <v>46</v>
      </c>
      <c r="G13" s="3">
        <f>MAX(SUM($L$8:$L13),SUM(G$7,H12))</f>
        <v>44</v>
      </c>
      <c r="H13" s="3">
        <f>MAX(SUM($L$8:$L13),SUM(H$7,I12))</f>
        <v>41</v>
      </c>
      <c r="I13" s="36">
        <f>MAX(SUM($L$8:$L13),SUM(I$7,J12))</f>
        <v>41</v>
      </c>
      <c r="J13" s="13">
        <f>MAX(SUM($L$8:$L13),SUM(J$7,K12))</f>
        <v>41</v>
      </c>
      <c r="L13" s="18">
        <v>1</v>
      </c>
      <c r="M13" s="22">
        <v>6</v>
      </c>
    </row>
    <row r="14" spans="1:21">
      <c r="A14" s="35" t="s">
        <v>32</v>
      </c>
      <c r="B14" s="4">
        <f>MAX(SUM($L$8:$L14),SUM(B$7,C13))</f>
        <v>74</v>
      </c>
      <c r="C14" s="3">
        <f>MAX(SUM($L$8:$L14),SUM(C$7,D13))</f>
        <v>66</v>
      </c>
      <c r="D14" s="3">
        <f>MAX(SUM($L$8:$L14),SUM(D$7,E13))</f>
        <v>60</v>
      </c>
      <c r="E14" s="3">
        <f>MAX(SUM($L$8:$L14),SUM(E$7,F13))</f>
        <v>54</v>
      </c>
      <c r="F14" s="3">
        <f>MAX(SUM($L$8:$L14),SUM(F$7,G13))</f>
        <v>50</v>
      </c>
      <c r="G14" s="3">
        <f>MAX(SUM($L$8:$L14),SUM(G$7,H13))</f>
        <v>45</v>
      </c>
      <c r="H14" s="3">
        <f>MAX(SUM($L$8:$L14),SUM(H$7,I13))</f>
        <v>42</v>
      </c>
      <c r="I14" s="14">
        <f>MAX(SUM($L$8:$L14),SUM(I$7,J13))</f>
        <v>41</v>
      </c>
      <c r="J14" s="36">
        <f>MAX(SUM($L$8:$L14),SUM(J$7,K13))</f>
        <v>41</v>
      </c>
      <c r="L14" s="18">
        <v>0</v>
      </c>
      <c r="M14" s="13">
        <v>7</v>
      </c>
    </row>
    <row r="16" spans="1:21" s="59" customFormat="1">
      <c r="A16" s="59" t="s">
        <v>3</v>
      </c>
    </row>
    <row r="18" spans="1:17" ht="43.5">
      <c r="A18" s="38" t="s">
        <v>4</v>
      </c>
      <c r="B18" s="60" t="s">
        <v>5</v>
      </c>
      <c r="C18" s="61"/>
      <c r="D18" s="61"/>
      <c r="E18" s="62"/>
      <c r="G18" s="63" t="s">
        <v>6</v>
      </c>
      <c r="H18" s="63"/>
      <c r="I18" s="57">
        <v>0</v>
      </c>
      <c r="J18" s="58">
        <v>50</v>
      </c>
      <c r="K18" s="58">
        <v>100</v>
      </c>
      <c r="L18" s="58">
        <v>150</v>
      </c>
      <c r="M18" s="58">
        <v>200</v>
      </c>
      <c r="N18" s="58">
        <v>250</v>
      </c>
      <c r="P18" s="30" t="s">
        <v>7</v>
      </c>
      <c r="Q18" s="31" t="s">
        <v>8</v>
      </c>
    </row>
    <row r="19" spans="1:17" ht="16" customHeight="1">
      <c r="A19" s="39" t="s">
        <v>9</v>
      </c>
      <c r="B19" s="5" t="s">
        <v>10</v>
      </c>
      <c r="C19" s="6" t="s">
        <v>11</v>
      </c>
      <c r="D19" s="6" t="s">
        <v>12</v>
      </c>
      <c r="E19" s="15" t="s">
        <v>13</v>
      </c>
      <c r="G19" s="64" t="s">
        <v>14</v>
      </c>
      <c r="H19" s="56" t="s">
        <v>10</v>
      </c>
      <c r="I19" s="19">
        <v>0</v>
      </c>
      <c r="J19" s="20">
        <v>11</v>
      </c>
      <c r="K19" s="20">
        <v>16</v>
      </c>
      <c r="L19" s="20">
        <v>23</v>
      </c>
      <c r="M19" s="20">
        <v>32</v>
      </c>
      <c r="N19" s="20">
        <v>38</v>
      </c>
      <c r="P19" s="23">
        <f t="shared" ref="P19:P24" si="1">B20</f>
        <v>0</v>
      </c>
      <c r="Q19" s="29">
        <v>0</v>
      </c>
    </row>
    <row r="20" spans="1:17">
      <c r="A20" s="7">
        <v>0</v>
      </c>
      <c r="B20" s="7">
        <v>0</v>
      </c>
      <c r="C20" s="7">
        <v>0</v>
      </c>
      <c r="D20" s="7">
        <v>0</v>
      </c>
      <c r="E20" s="7">
        <v>0</v>
      </c>
      <c r="G20" s="63"/>
      <c r="H20" s="56" t="s">
        <v>11</v>
      </c>
      <c r="I20" s="19">
        <v>0</v>
      </c>
      <c r="J20" s="20">
        <v>12</v>
      </c>
      <c r="K20" s="20">
        <v>15</v>
      </c>
      <c r="L20" s="20">
        <v>24</v>
      </c>
      <c r="M20" s="20">
        <v>31</v>
      </c>
      <c r="N20" s="20">
        <v>39</v>
      </c>
      <c r="P20" s="23">
        <f t="shared" si="1"/>
        <v>11</v>
      </c>
      <c r="Q20" s="29">
        <v>50</v>
      </c>
    </row>
    <row r="21" spans="1:17">
      <c r="A21" s="7">
        <v>50</v>
      </c>
      <c r="B21" s="7">
        <v>11</v>
      </c>
      <c r="C21" s="7">
        <v>12</v>
      </c>
      <c r="D21" s="7">
        <v>10</v>
      </c>
      <c r="E21" s="7">
        <v>11</v>
      </c>
      <c r="G21" s="63"/>
      <c r="H21" s="56" t="s">
        <v>12</v>
      </c>
      <c r="I21" s="19">
        <v>0</v>
      </c>
      <c r="J21" s="20">
        <v>10</v>
      </c>
      <c r="K21" s="20">
        <v>17</v>
      </c>
      <c r="L21" s="20">
        <v>22</v>
      </c>
      <c r="M21" s="20">
        <v>32</v>
      </c>
      <c r="N21" s="20">
        <v>40</v>
      </c>
      <c r="P21" s="23">
        <f t="shared" si="1"/>
        <v>16</v>
      </c>
      <c r="Q21" s="29">
        <v>100</v>
      </c>
    </row>
    <row r="22" spans="1:17">
      <c r="A22" s="7">
        <v>100</v>
      </c>
      <c r="B22" s="8">
        <v>16</v>
      </c>
      <c r="C22" s="8">
        <v>15</v>
      </c>
      <c r="D22" s="8">
        <v>17</v>
      </c>
      <c r="E22" s="7">
        <v>14</v>
      </c>
      <c r="G22" s="63"/>
      <c r="H22" s="56" t="s">
        <v>13</v>
      </c>
      <c r="I22" s="19">
        <v>0</v>
      </c>
      <c r="J22" s="20">
        <v>11</v>
      </c>
      <c r="K22" s="20">
        <v>14</v>
      </c>
      <c r="L22" s="20">
        <v>25</v>
      </c>
      <c r="M22" s="20">
        <v>30</v>
      </c>
      <c r="N22" s="20">
        <v>38</v>
      </c>
      <c r="P22" s="23">
        <f t="shared" si="1"/>
        <v>23</v>
      </c>
      <c r="Q22" s="29">
        <v>150</v>
      </c>
    </row>
    <row r="23" spans="1:17">
      <c r="A23" s="9">
        <v>150</v>
      </c>
      <c r="B23" s="8">
        <v>23</v>
      </c>
      <c r="C23" s="8">
        <v>24</v>
      </c>
      <c r="D23" s="8">
        <v>22</v>
      </c>
      <c r="E23" s="7">
        <v>25</v>
      </c>
      <c r="P23" s="23">
        <f t="shared" si="1"/>
        <v>32</v>
      </c>
      <c r="Q23" s="29">
        <v>200</v>
      </c>
    </row>
    <row r="24" spans="1:17">
      <c r="A24" s="9">
        <v>200</v>
      </c>
      <c r="B24" s="8">
        <v>32</v>
      </c>
      <c r="C24" s="8">
        <v>31</v>
      </c>
      <c r="D24" s="8">
        <v>32</v>
      </c>
      <c r="E24" s="7">
        <v>30</v>
      </c>
      <c r="P24" s="23">
        <f t="shared" si="1"/>
        <v>38</v>
      </c>
      <c r="Q24" s="29">
        <v>250</v>
      </c>
    </row>
    <row r="25" spans="1:17">
      <c r="A25" s="9">
        <v>250</v>
      </c>
      <c r="B25" s="8">
        <v>38</v>
      </c>
      <c r="C25" s="8">
        <v>39</v>
      </c>
      <c r="D25" s="8">
        <v>40</v>
      </c>
      <c r="E25" s="7">
        <v>38</v>
      </c>
    </row>
    <row r="27" spans="1:17">
      <c r="A27" s="54" t="s">
        <v>15</v>
      </c>
      <c r="B27" s="31">
        <v>0</v>
      </c>
      <c r="C27" s="31">
        <v>50</v>
      </c>
      <c r="D27" s="31">
        <v>100</v>
      </c>
      <c r="E27" s="31">
        <v>150</v>
      </c>
      <c r="F27" s="31">
        <v>200</v>
      </c>
      <c r="G27" s="50">
        <v>250</v>
      </c>
      <c r="H27" s="31" t="s">
        <v>16</v>
      </c>
      <c r="I27" s="31" t="s">
        <v>17</v>
      </c>
      <c r="K27" s="54" t="s">
        <v>18</v>
      </c>
      <c r="L27" s="31">
        <v>0</v>
      </c>
      <c r="M27" s="31">
        <v>50</v>
      </c>
      <c r="N27" s="31">
        <v>100</v>
      </c>
      <c r="O27" s="31">
        <v>150</v>
      </c>
      <c r="P27" s="31">
        <v>200</v>
      </c>
      <c r="Q27" s="31">
        <v>250</v>
      </c>
    </row>
    <row r="28" spans="1:17">
      <c r="A28" s="51">
        <v>0</v>
      </c>
      <c r="B28" s="10">
        <f t="shared" ref="B28:B33" si="2">SUM($P19,I$20)</f>
        <v>0</v>
      </c>
      <c r="C28" s="11"/>
      <c r="D28" s="11"/>
      <c r="E28" s="11"/>
      <c r="F28" s="7"/>
      <c r="G28" s="16"/>
      <c r="H28" s="7">
        <f>MAX(B28:G28)</f>
        <v>0</v>
      </c>
      <c r="I28" s="7">
        <f>INDEX($B$27:$G$27,MATCH(MAX(B28:G28),B28:G28,0))</f>
        <v>0</v>
      </c>
      <c r="K28" s="55" t="s">
        <v>7</v>
      </c>
      <c r="L28" s="43">
        <v>0</v>
      </c>
      <c r="M28" s="47">
        <v>11</v>
      </c>
      <c r="N28" s="43">
        <v>16</v>
      </c>
      <c r="O28" s="43">
        <v>23</v>
      </c>
      <c r="P28" s="43">
        <v>32</v>
      </c>
      <c r="Q28" s="43">
        <v>38</v>
      </c>
    </row>
    <row r="29" spans="1:17">
      <c r="A29" s="51">
        <v>50</v>
      </c>
      <c r="B29" s="12">
        <f t="shared" si="2"/>
        <v>11</v>
      </c>
      <c r="C29" s="10">
        <f>SUM($P19,J$20)</f>
        <v>12</v>
      </c>
      <c r="D29" s="11"/>
      <c r="E29" s="11"/>
      <c r="F29" s="7"/>
      <c r="G29" s="16"/>
      <c r="H29" s="7">
        <f>MAX(B29:G29)</f>
        <v>12</v>
      </c>
      <c r="I29" s="7">
        <f>INDEX($B$27:$G$27,MATCH(MAX(B29:G29),B29:G29,0))</f>
        <v>50</v>
      </c>
      <c r="K29" s="53" t="s">
        <v>19</v>
      </c>
      <c r="L29" s="24">
        <v>0</v>
      </c>
      <c r="M29" s="49">
        <v>50</v>
      </c>
      <c r="N29" s="24">
        <v>100</v>
      </c>
      <c r="O29" s="26">
        <v>150</v>
      </c>
      <c r="P29" s="28">
        <v>200</v>
      </c>
      <c r="Q29" s="13">
        <v>250</v>
      </c>
    </row>
    <row r="30" spans="1:17">
      <c r="A30" s="51">
        <v>100</v>
      </c>
      <c r="B30" s="12">
        <f t="shared" si="2"/>
        <v>16</v>
      </c>
      <c r="C30" s="10">
        <f>SUM($P20,J$20)</f>
        <v>23</v>
      </c>
      <c r="D30" s="12">
        <f>SUM($P19,K$20)</f>
        <v>15</v>
      </c>
      <c r="E30" s="11"/>
      <c r="F30" s="7"/>
      <c r="G30" s="16"/>
      <c r="H30" s="7">
        <f>MAX(B30:G30)</f>
        <v>23</v>
      </c>
      <c r="I30" s="7">
        <f>INDEX($B$27:$G$27,MATCH(MAX(B30:G30),B30:G30,0))</f>
        <v>50</v>
      </c>
      <c r="K30" s="52" t="s">
        <v>16</v>
      </c>
      <c r="L30" s="43">
        <v>0</v>
      </c>
      <c r="M30" s="25">
        <v>12</v>
      </c>
      <c r="N30" s="47">
        <v>23</v>
      </c>
      <c r="O30" s="25">
        <v>28</v>
      </c>
      <c r="P30" s="27">
        <v>35</v>
      </c>
      <c r="Q30" s="42">
        <v>44</v>
      </c>
    </row>
    <row r="31" spans="1:17">
      <c r="A31" s="51">
        <v>150</v>
      </c>
      <c r="B31" s="12">
        <f t="shared" si="2"/>
        <v>23</v>
      </c>
      <c r="C31" s="10">
        <f>SUM($P21,J$20)</f>
        <v>28</v>
      </c>
      <c r="D31" s="12">
        <f>SUM($P20,K$20)</f>
        <v>26</v>
      </c>
      <c r="E31" s="12">
        <f>SUM($P19,L$20)</f>
        <v>24</v>
      </c>
      <c r="F31" s="7"/>
      <c r="G31" s="16"/>
      <c r="H31" s="7">
        <f>MAX(B31:G31)</f>
        <v>28</v>
      </c>
      <c r="I31" s="7">
        <f>INDEX($B$27:$G$27,MATCH(MAX(B31:G31),B31:G31,0))</f>
        <v>50</v>
      </c>
      <c r="K31" s="53" t="s">
        <v>17</v>
      </c>
      <c r="L31" s="24">
        <v>0</v>
      </c>
      <c r="M31" s="26">
        <v>50</v>
      </c>
      <c r="N31" s="48">
        <v>50</v>
      </c>
      <c r="O31" s="26">
        <v>50</v>
      </c>
      <c r="P31" s="28">
        <v>150</v>
      </c>
      <c r="Q31" s="13">
        <v>50</v>
      </c>
    </row>
    <row r="32" spans="1:17">
      <c r="A32" s="51">
        <v>200</v>
      </c>
      <c r="B32" s="12">
        <f t="shared" si="2"/>
        <v>32</v>
      </c>
      <c r="C32" s="40">
        <f>SUM($P22,J$20)</f>
        <v>35</v>
      </c>
      <c r="D32" s="12">
        <f>SUM($P21,K$20)</f>
        <v>31</v>
      </c>
      <c r="E32" s="41">
        <f>SUM($P20,L$20)</f>
        <v>35</v>
      </c>
      <c r="F32" s="12">
        <f>SUM($P19,M$20)</f>
        <v>31</v>
      </c>
      <c r="G32" s="16"/>
      <c r="H32" s="7">
        <f t="shared" ref="H32:H42" si="3">MAX(B32:G32)</f>
        <v>35</v>
      </c>
      <c r="I32" s="7">
        <f t="shared" ref="I32:I42" si="4">INDEX($B$27:$G$27,MATCH(MAX(B32:G32),B32:G32,0))</f>
        <v>50</v>
      </c>
      <c r="K32" s="52" t="s">
        <v>20</v>
      </c>
      <c r="L32" s="43">
        <v>0</v>
      </c>
      <c r="M32" s="25">
        <v>12</v>
      </c>
      <c r="N32" s="43">
        <v>23</v>
      </c>
      <c r="O32" s="25">
        <v>33</v>
      </c>
      <c r="P32" s="45">
        <v>40</v>
      </c>
      <c r="Q32" s="42">
        <v>45</v>
      </c>
    </row>
    <row r="33" spans="1:17">
      <c r="A33" s="32">
        <v>250</v>
      </c>
      <c r="B33" s="12">
        <f t="shared" si="2"/>
        <v>38</v>
      </c>
      <c r="C33" s="10">
        <f>SUM($P23,J$20)</f>
        <v>44</v>
      </c>
      <c r="D33" s="12">
        <f>SUM($P22,K$20)</f>
        <v>38</v>
      </c>
      <c r="E33" s="12">
        <f>SUM($P21,L$20)</f>
        <v>40</v>
      </c>
      <c r="F33" s="12">
        <f>SUM($P20,M$20)</f>
        <v>42</v>
      </c>
      <c r="G33" s="12">
        <f>SUM($P19,N$20)</f>
        <v>39</v>
      </c>
      <c r="H33" s="7">
        <f t="shared" si="3"/>
        <v>44</v>
      </c>
      <c r="I33" s="7">
        <f t="shared" si="4"/>
        <v>50</v>
      </c>
      <c r="K33" s="53" t="s">
        <v>21</v>
      </c>
      <c r="L33" s="24">
        <v>0</v>
      </c>
      <c r="M33" s="26">
        <v>0</v>
      </c>
      <c r="N33" s="24">
        <v>0</v>
      </c>
      <c r="O33" s="26">
        <v>50</v>
      </c>
      <c r="P33" s="46">
        <v>100</v>
      </c>
      <c r="Q33" s="13">
        <v>50</v>
      </c>
    </row>
    <row r="34" spans="1:17">
      <c r="K34" s="52" t="s">
        <v>22</v>
      </c>
      <c r="L34" s="43">
        <v>0</v>
      </c>
      <c r="M34" s="25">
        <v>12</v>
      </c>
      <c r="N34" s="43">
        <v>23</v>
      </c>
      <c r="O34" s="25">
        <v>34</v>
      </c>
      <c r="P34" s="27">
        <v>44</v>
      </c>
      <c r="Q34" s="44">
        <v>54</v>
      </c>
    </row>
    <row r="35" spans="1:17">
      <c r="K35" s="53" t="s">
        <v>23</v>
      </c>
      <c r="L35" s="24">
        <v>0</v>
      </c>
      <c r="M35" s="26">
        <v>0</v>
      </c>
      <c r="N35" s="24">
        <v>0</v>
      </c>
      <c r="O35" s="26">
        <v>50</v>
      </c>
      <c r="P35" s="28">
        <v>50</v>
      </c>
      <c r="Q35" s="14">
        <v>50</v>
      </c>
    </row>
    <row r="36" spans="1:17">
      <c r="A36" s="54" t="s">
        <v>15</v>
      </c>
      <c r="B36" s="31">
        <v>0</v>
      </c>
      <c r="C36" s="31">
        <v>50</v>
      </c>
      <c r="D36" s="31">
        <v>100</v>
      </c>
      <c r="E36" s="31">
        <v>150</v>
      </c>
      <c r="F36" s="31">
        <v>200</v>
      </c>
      <c r="G36" s="50">
        <v>250</v>
      </c>
      <c r="H36" s="31" t="s">
        <v>20</v>
      </c>
      <c r="I36" s="31" t="s">
        <v>21</v>
      </c>
    </row>
    <row r="37" spans="1:17">
      <c r="A37" s="51">
        <v>0</v>
      </c>
      <c r="B37" s="10">
        <f t="shared" ref="B37:B42" si="5">SUM($H28,I$21)</f>
        <v>0</v>
      </c>
      <c r="C37" s="11"/>
      <c r="D37" s="11"/>
      <c r="E37" s="11"/>
      <c r="F37" s="7"/>
      <c r="G37" s="16"/>
      <c r="H37" s="7">
        <f t="shared" si="3"/>
        <v>0</v>
      </c>
      <c r="I37" s="7">
        <f t="shared" si="4"/>
        <v>0</v>
      </c>
    </row>
    <row r="38" spans="1:17">
      <c r="A38" s="51">
        <v>50</v>
      </c>
      <c r="B38" s="10">
        <f t="shared" si="5"/>
        <v>12</v>
      </c>
      <c r="C38" s="12">
        <f>SUM($H28,J$21)</f>
        <v>10</v>
      </c>
      <c r="D38" s="11"/>
      <c r="E38" s="11"/>
      <c r="F38" s="7"/>
      <c r="G38" s="16"/>
      <c r="H38" s="7">
        <f t="shared" si="3"/>
        <v>12</v>
      </c>
      <c r="I38" s="7">
        <f t="shared" si="4"/>
        <v>0</v>
      </c>
    </row>
    <row r="39" spans="1:17">
      <c r="A39" s="51">
        <v>100</v>
      </c>
      <c r="B39" s="10">
        <f t="shared" si="5"/>
        <v>23</v>
      </c>
      <c r="C39" s="12">
        <f>SUM($H29,J$21)</f>
        <v>22</v>
      </c>
      <c r="D39" s="12">
        <f>SUM($H28,K$21)</f>
        <v>17</v>
      </c>
      <c r="E39" s="11"/>
      <c r="F39" s="7"/>
      <c r="G39" s="16"/>
      <c r="H39" s="7">
        <f t="shared" si="3"/>
        <v>23</v>
      </c>
      <c r="I39" s="7">
        <f t="shared" si="4"/>
        <v>0</v>
      </c>
    </row>
    <row r="40" spans="1:17">
      <c r="A40" s="51">
        <v>150</v>
      </c>
      <c r="B40" s="12">
        <f t="shared" si="5"/>
        <v>28</v>
      </c>
      <c r="C40" s="10">
        <f>SUM($H30,J$21)</f>
        <v>33</v>
      </c>
      <c r="D40" s="12">
        <f>SUM($H29,K$21)</f>
        <v>29</v>
      </c>
      <c r="E40" s="12">
        <f>SUM($H28,L$21)</f>
        <v>22</v>
      </c>
      <c r="F40" s="7"/>
      <c r="G40" s="16"/>
      <c r="H40" s="7">
        <f t="shared" si="3"/>
        <v>33</v>
      </c>
      <c r="I40" s="7">
        <f t="shared" si="4"/>
        <v>50</v>
      </c>
    </row>
    <row r="41" spans="1:17">
      <c r="A41" s="51">
        <v>200</v>
      </c>
      <c r="B41" s="12">
        <f t="shared" si="5"/>
        <v>35</v>
      </c>
      <c r="C41" s="41">
        <f>SUM($H31,J$21)</f>
        <v>38</v>
      </c>
      <c r="D41" s="40">
        <f>SUM($H30,K$21)</f>
        <v>40</v>
      </c>
      <c r="E41" s="12">
        <f>SUM($H29,L$21)</f>
        <v>34</v>
      </c>
      <c r="F41" s="12">
        <f>SUM($H28,M$21)</f>
        <v>32</v>
      </c>
      <c r="G41" s="16"/>
      <c r="H41" s="7">
        <f t="shared" si="3"/>
        <v>40</v>
      </c>
      <c r="I41" s="7">
        <f t="shared" si="4"/>
        <v>100</v>
      </c>
    </row>
    <row r="42" spans="1:17">
      <c r="A42" s="32">
        <v>250</v>
      </c>
      <c r="B42" s="12">
        <f t="shared" si="5"/>
        <v>44</v>
      </c>
      <c r="C42" s="10">
        <f>SUM($H32,J$21)</f>
        <v>45</v>
      </c>
      <c r="D42" s="12">
        <f>SUM($H31,K$21)</f>
        <v>45</v>
      </c>
      <c r="E42" s="12">
        <f>SUM($H30,L$21)</f>
        <v>45</v>
      </c>
      <c r="F42" s="12">
        <f>SUM($H29,M$21)</f>
        <v>44</v>
      </c>
      <c r="G42" s="12">
        <f>SUM($H28,N$21)</f>
        <v>40</v>
      </c>
      <c r="H42" s="7">
        <f t="shared" si="3"/>
        <v>45</v>
      </c>
      <c r="I42" s="7">
        <f t="shared" si="4"/>
        <v>50</v>
      </c>
    </row>
    <row r="45" spans="1:17">
      <c r="A45" s="54" t="s">
        <v>15</v>
      </c>
      <c r="B45" s="31">
        <v>0</v>
      </c>
      <c r="C45" s="31">
        <v>50</v>
      </c>
      <c r="D45" s="31">
        <v>100</v>
      </c>
      <c r="E45" s="31">
        <v>150</v>
      </c>
      <c r="F45" s="31">
        <v>200</v>
      </c>
      <c r="G45" s="50">
        <v>250</v>
      </c>
      <c r="H45" s="31" t="s">
        <v>22</v>
      </c>
      <c r="I45" s="31" t="s">
        <v>23</v>
      </c>
    </row>
    <row r="46" spans="1:17">
      <c r="A46" s="51">
        <v>0</v>
      </c>
      <c r="B46" s="10">
        <f t="shared" ref="B46:B51" si="6">SUM($H37,I$22)</f>
        <v>0</v>
      </c>
      <c r="C46" s="11"/>
      <c r="D46" s="11"/>
      <c r="E46" s="11"/>
      <c r="F46" s="7"/>
      <c r="G46" s="16"/>
      <c r="H46" s="7">
        <f t="shared" ref="H46:H51" si="7">MAX(B46:G46)</f>
        <v>0</v>
      </c>
      <c r="I46" s="7">
        <f t="shared" ref="I46:I51" si="8">INDEX($B$27:$G$27,MATCH(MAX(B46:G46),B46:G46,0))</f>
        <v>0</v>
      </c>
    </row>
    <row r="47" spans="1:17">
      <c r="A47" s="51">
        <v>50</v>
      </c>
      <c r="B47" s="10">
        <f t="shared" si="6"/>
        <v>12</v>
      </c>
      <c r="C47" s="12">
        <f>SUM($H37,J$22)</f>
        <v>11</v>
      </c>
      <c r="D47" s="11"/>
      <c r="E47" s="11"/>
      <c r="F47" s="7"/>
      <c r="G47" s="16"/>
      <c r="H47" s="7">
        <f t="shared" si="7"/>
        <v>12</v>
      </c>
      <c r="I47" s="7">
        <f t="shared" si="8"/>
        <v>0</v>
      </c>
    </row>
    <row r="48" spans="1:17">
      <c r="A48" s="51">
        <v>100</v>
      </c>
      <c r="B48" s="10">
        <f t="shared" si="6"/>
        <v>23</v>
      </c>
      <c r="C48" s="12">
        <f>SUM($H38,J$22)</f>
        <v>23</v>
      </c>
      <c r="D48" s="12">
        <f>SUM($H37,K$22)</f>
        <v>14</v>
      </c>
      <c r="E48" s="11"/>
      <c r="F48" s="7"/>
      <c r="G48" s="16"/>
      <c r="H48" s="7">
        <f t="shared" si="7"/>
        <v>23</v>
      </c>
      <c r="I48" s="7">
        <f t="shared" si="8"/>
        <v>0</v>
      </c>
    </row>
    <row r="49" spans="1:9">
      <c r="A49" s="51">
        <v>150</v>
      </c>
      <c r="B49" s="12">
        <f t="shared" si="6"/>
        <v>33</v>
      </c>
      <c r="C49" s="40">
        <f>SUM($H39,J$22)</f>
        <v>34</v>
      </c>
      <c r="D49" s="12">
        <f>SUM($H38,K$22)</f>
        <v>26</v>
      </c>
      <c r="E49" s="12">
        <f>SUM($H37,L$22)</f>
        <v>25</v>
      </c>
      <c r="F49" s="7"/>
      <c r="G49" s="16"/>
      <c r="H49" s="7">
        <f t="shared" si="7"/>
        <v>34</v>
      </c>
      <c r="I49" s="7">
        <f t="shared" si="8"/>
        <v>50</v>
      </c>
    </row>
    <row r="50" spans="1:9">
      <c r="A50" s="51">
        <v>200</v>
      </c>
      <c r="B50" s="12">
        <f t="shared" si="6"/>
        <v>40</v>
      </c>
      <c r="C50" s="10">
        <f>SUM($H40,J$22)</f>
        <v>44</v>
      </c>
      <c r="D50" s="12">
        <f>SUM($H39,K$22)</f>
        <v>37</v>
      </c>
      <c r="E50" s="12">
        <f>SUM($H38,L$22)</f>
        <v>37</v>
      </c>
      <c r="F50" s="12">
        <f>SUM($H37,M$22)</f>
        <v>30</v>
      </c>
      <c r="G50" s="16"/>
      <c r="H50" s="7">
        <f t="shared" si="7"/>
        <v>44</v>
      </c>
      <c r="I50" s="7">
        <f t="shared" si="8"/>
        <v>50</v>
      </c>
    </row>
    <row r="51" spans="1:9">
      <c r="A51" s="32">
        <v>250</v>
      </c>
      <c r="B51" s="12">
        <f t="shared" si="6"/>
        <v>45</v>
      </c>
      <c r="C51" s="40">
        <f>SUM($H41,J$22)</f>
        <v>51</v>
      </c>
      <c r="D51" s="12">
        <f>SUM($H40,K$22)</f>
        <v>47</v>
      </c>
      <c r="E51" s="12">
        <f>SUM($H39,L$22)</f>
        <v>48</v>
      </c>
      <c r="F51" s="12">
        <f>SUM($H38,M$22)</f>
        <v>42</v>
      </c>
      <c r="G51" s="12">
        <f>SUM($H37,N$22)</f>
        <v>38</v>
      </c>
      <c r="H51" s="7">
        <f t="shared" si="7"/>
        <v>51</v>
      </c>
      <c r="I51" s="7">
        <f t="shared" si="8"/>
        <v>50</v>
      </c>
    </row>
  </sheetData>
  <mergeCells count="5">
    <mergeCell ref="A1:XFD1"/>
    <mergeCell ref="A16:XFD16"/>
    <mergeCell ref="B18:E18"/>
    <mergeCell ref="G18:H18"/>
    <mergeCell ref="G19:G2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Саша Бражалович</cp:lastModifiedBy>
  <dcterms:created xsi:type="dcterms:W3CDTF">2025-09-17T04:20:00Z</dcterms:created>
  <dcterms:modified xsi:type="dcterms:W3CDTF">2025-09-22T15:54:24Z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