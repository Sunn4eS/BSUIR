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5\"/>
    </mc:Choice>
  </mc:AlternateContent>
  <xr:revisionPtr revIDLastSave="0" documentId="13_ncr:1_{EA5DD746-D1D1-4E90-BE6A-1372E5AB30FA}" xr6:coauthVersionLast="47" xr6:coauthVersionMax="47" xr10:uidLastSave="{00000000-0000-0000-0000-000000000000}"/>
  <bookViews>
    <workbookView xWindow="13580" yWindow="2810" windowWidth="9790" windowHeight="11170" firstSheet="1" activeTab="2" xr2:uid="{00000000-000D-0000-FFFF-FFFF00000000}"/>
  </bookViews>
  <sheets>
    <sheet name="Отчет об устойчивости 1" sheetId="10" r:id="rId1"/>
    <sheet name="Отчет об устойчивости 2" sheetId="12" r:id="rId2"/>
    <sheet name="Лист2" sheetId="7" r:id="rId3"/>
  </sheets>
  <definedNames>
    <definedName name="solver_adj" localSheetId="2" hidden="1">Лист2!$B$32:$D$32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Лист2!$F$29:$F$31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Лист2!$B$33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hs1" localSheetId="2" hidden="1">Лист2!$H$29:$H$31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7" l="1"/>
  <c r="O24" i="7" l="1"/>
  <c r="O25" i="7"/>
  <c r="O23" i="7"/>
  <c r="G25" i="7"/>
  <c r="G24" i="7"/>
  <c r="G23" i="7"/>
  <c r="E11" i="7"/>
  <c r="N24" i="7"/>
  <c r="N25" i="7"/>
  <c r="N23" i="7"/>
  <c r="M24" i="7"/>
  <c r="M25" i="7"/>
  <c r="M23" i="7"/>
  <c r="D26" i="7"/>
  <c r="C26" i="7"/>
  <c r="B26" i="7"/>
  <c r="F25" i="7"/>
  <c r="E25" i="7"/>
  <c r="F24" i="7"/>
  <c r="E24" i="7"/>
  <c r="F23" i="7"/>
  <c r="E23" i="7"/>
  <c r="K18" i="7"/>
  <c r="K19" i="7"/>
  <c r="K17" i="7"/>
  <c r="K11" i="7"/>
  <c r="K12" i="7"/>
  <c r="K10" i="7"/>
  <c r="E17" i="7"/>
  <c r="E18" i="7"/>
  <c r="E19" i="7"/>
  <c r="B35" i="7"/>
  <c r="B33" i="7"/>
  <c r="B36" i="7" s="1"/>
  <c r="F30" i="7"/>
  <c r="F31" i="7"/>
  <c r="F29" i="7"/>
  <c r="E3" i="7"/>
  <c r="E4" i="7"/>
  <c r="E2" i="7"/>
  <c r="C5" i="7"/>
  <c r="D5" i="7"/>
  <c r="B5" i="7"/>
  <c r="E12" i="7" l="1"/>
  <c r="D6" i="7"/>
  <c r="D37" i="7"/>
  <c r="B37" i="7"/>
  <c r="C38" i="7"/>
  <c r="D38" i="7"/>
  <c r="B38" i="7"/>
  <c r="C37" i="7"/>
  <c r="F4" i="7"/>
</calcChain>
</file>

<file path=xl/sharedStrings.xml><?xml version="1.0" encoding="utf-8"?>
<sst xmlns="http://schemas.openxmlformats.org/spreadsheetml/2006/main" count="163" uniqueCount="65">
  <si>
    <t>П1</t>
  </si>
  <si>
    <t>П2</t>
  </si>
  <si>
    <t>П3</t>
  </si>
  <si>
    <t>А1</t>
  </si>
  <si>
    <t>А2</t>
  </si>
  <si>
    <t>А3</t>
  </si>
  <si>
    <t>min(Ai)</t>
  </si>
  <si>
    <t>max(Пi)</t>
  </si>
  <si>
    <t>max(min(Ai))</t>
  </si>
  <si>
    <t>min(max(Пi))</t>
  </si>
  <si>
    <t>y*</t>
  </si>
  <si>
    <t>f(y)</t>
  </si>
  <si>
    <t>x*</t>
  </si>
  <si>
    <t>f(x)</t>
  </si>
  <si>
    <t>&lt;=</t>
  </si>
  <si>
    <t>Microsoft Excel 16.0 Отчет об устойчивости</t>
  </si>
  <si>
    <t>Ячейки переменных</t>
  </si>
  <si>
    <t>Ячейка</t>
  </si>
  <si>
    <t>Имя</t>
  </si>
  <si>
    <t>Окончательное</t>
  </si>
  <si>
    <t>Значение</t>
  </si>
  <si>
    <t>Приведенн.</t>
  </si>
  <si>
    <t>Ограничения</t>
  </si>
  <si>
    <t>y* П1</t>
  </si>
  <si>
    <t>y* П2</t>
  </si>
  <si>
    <t>y* П3</t>
  </si>
  <si>
    <t>Целевая функция</t>
  </si>
  <si>
    <t>Стоимость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</si>
  <si>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</si>
  <si>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</si>
  <si>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</si>
  <si>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</si>
  <si>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</si>
  <si>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</si>
  <si>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</si>
  <si>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</si>
  <si>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q*</t>
  </si>
  <si>
    <t>p*</t>
  </si>
  <si>
    <t>Критерий Байеса</t>
  </si>
  <si>
    <t>qj</t>
  </si>
  <si>
    <t>SUM(aij * qj)</t>
  </si>
  <si>
    <t>Критерий Лапласа</t>
  </si>
  <si>
    <t>Риски</t>
  </si>
  <si>
    <t>min(j)aij</t>
  </si>
  <si>
    <t>max(j)aij</t>
  </si>
  <si>
    <t>A1</t>
  </si>
  <si>
    <t>A2</t>
  </si>
  <si>
    <t>A3</t>
  </si>
  <si>
    <t>max(i)aij</t>
  </si>
  <si>
    <t>min(j)rij</t>
  </si>
  <si>
    <t>max(j)rij</t>
  </si>
  <si>
    <t>$B$32</t>
  </si>
  <si>
    <t>$C$32</t>
  </si>
  <si>
    <t>$D$32</t>
  </si>
  <si>
    <t>$F$29</t>
  </si>
  <si>
    <t>А1 max(j)aij</t>
  </si>
  <si>
    <t>$F$30</t>
  </si>
  <si>
    <t>А2 max(j)aij</t>
  </si>
  <si>
    <t>$F$31</t>
  </si>
  <si>
    <t>А3 max(j)aij</t>
  </si>
  <si>
    <t>Лист: [ЛР5 В3 Бражалович 351004.xlsx]Лист2</t>
  </si>
  <si>
    <t>Отчет создан: 17.11.2025 4:11:21</t>
  </si>
  <si>
    <t>По Гурвицу (L = 0.5)</t>
  </si>
  <si>
    <t>Отчет создан: 19.11.2025 15:52:42</t>
  </si>
  <si>
    <t>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</si>
</sst>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0" xfId="0" applyBorder="1"/>
    <xf numFmtId="0" fontId="0" fillId="0" borderId="0" xfId="0" applyFill="1" applyBorder="1"/>
    <xf numFmtId="0" fontId="0" fillId="0" borderId="6" xfId="0" applyBorder="1"/>
    <xf numFmtId="0" fontId="0" fillId="0" borderId="1" xfId="0" applyFill="1" applyBorder="1" applyAlignment="1"/>
    <xf numFmtId="0" fontId="0" fillId="0" borderId="1" xfId="0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330201</xdr:colOff>
      <xdr:row>2</xdr:row>
      <xdr:rowOff>74559</xdr:rowOff>
    </xdr:from>
    <xdr:to>
      <xdr:col>14</xdr:col>
      <xdr:colOff>762001</xdr:colOff>
      <xdr:row>17</xdr:row>
      <xdr:rowOff>414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80641A7-26BF-4192-9A91-609FA9FF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4301" y="442859"/>
          <a:ext cx="431800" cy="2685384"/>
        </a:xfrm>
        <a:prstGeom prst="rect">
          <a:avLst/>
        </a:prstGeom>
      </xdr:spPr>
    </xdr:pic>
    <xdr:clientData/>
  </xdr:twoCellAnchor>
  <xdr:twoCellAnchor editAs="oneCell">
    <xdr:from>
      <xdr:col>14</xdr:col>
      <xdr:colOff>83078</xdr:colOff>
      <xdr:row>2</xdr:row>
      <xdr:rowOff>50800</xdr:rowOff>
    </xdr:from>
    <xdr:to>
      <xdr:col>14</xdr:col>
      <xdr:colOff>338066</xdr:colOff>
      <xdr:row>17</xdr:row>
      <xdr:rowOff>6350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0E75DFC-CDBC-4BE9-B19C-5879C6FB5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7178" y="419100"/>
          <a:ext cx="254988" cy="2717800"/>
        </a:xfrm>
        <a:prstGeom prst="rect">
          <a:avLst/>
        </a:prstGeom>
      </xdr:spPr>
    </xdr:pic>
    <xdr:clientData/>
  </xdr:twoCellAnchor>
  <xdr:twoCellAnchor editAs="oneCell">
    <xdr:from>
      <xdr:col>9</xdr:col>
      <xdr:colOff>41217</xdr:colOff>
      <xdr:row>27</xdr:row>
      <xdr:rowOff>87386</xdr:rowOff>
    </xdr:from>
    <xdr:to>
      <xdr:col>18</xdr:col>
      <xdr:colOff>52401</xdr:colOff>
      <xdr:row>41</xdr:row>
      <xdr:rowOff>93383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1A6D5D2-1FCF-43E9-BB28-D2A52F886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9978" y="5120780"/>
          <a:ext cx="6396139" cy="2637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ACE3-C2FE-407B-8260-C1C7E4D65320}">
  <dimension ref="A1:H18"/>
  <sheetViews>
    <sheetView showGridLines="0" workbookViewId="0"/>
  </sheetViews>
  <sheetFormatPr defaultRowHeight="14.5" x14ac:dyDescent="0.35"/>
  <cols>
    <col min="1" max="1" width="2.1796875" customWidth="1"/>
    <col min="2" max="2" width="7.08984375" bestFit="1" customWidth="1"/>
    <col min="3" max="3" width="10.6328125" bestFit="1" customWidth="1"/>
    <col min="4" max="4" width="14.54296875" bestFit="1" customWidth="1"/>
    <col min="5" max="5" width="12.453125" bestFit="1" customWidth="1"/>
    <col min="6" max="6" width="16.26953125" bestFit="1" customWidth="1"/>
    <col min="7" max="7" width="11.81640625" bestFit="1" customWidth="1"/>
    <col min="8" max="8" width="12.1796875" bestFit="1" customWidth="1"/>
  </cols>
  <sheetData>
    <row r="1" spans="1:8" x14ac:dyDescent="0.35">
      <c r="A1" s="3" t="s">
        <v>15</v>
      </c>
    </row>
    <row r="2" spans="1:8" x14ac:dyDescent="0.35">
      <c r="A2" s="3" t="s">
        <v>60</v>
      </c>
    </row>
    <row r="3" spans="1:8" x14ac:dyDescent="0.35">
      <c r="A3" s="3" t="s">
        <v>61</v>
      </c>
    </row>
    <row r="6" spans="1:8" ht="15" thickBot="1" x14ac:dyDescent="0.4">
      <c r="A6" t="s">
        <v>16</v>
      </c>
    </row>
    <row r="7" spans="1:8" x14ac:dyDescent="0.35">
      <c r="B7" s="11"/>
      <c r="C7" s="11"/>
      <c r="D7" s="11" t="s">
        <v>19</v>
      </c>
      <c r="E7" s="11" t="s">
        <v>21</v>
      </c>
      <c r="F7" s="11" t="s">
        <v>26</v>
      </c>
      <c r="G7" s="11" t="s">
        <v>29</v>
      </c>
      <c r="H7" s="11" t="s">
        <v>29</v>
      </c>
    </row>
    <row r="8" spans="1:8" ht="15" thickBot="1" x14ac:dyDescent="0.4">
      <c r="B8" s="12" t="s">
        <v>17</v>
      </c>
      <c r="C8" s="12" t="s">
        <v>18</v>
      </c>
      <c r="D8" s="12" t="s">
        <v>20</v>
      </c>
      <c r="E8" s="12" t="s">
        <v>27</v>
      </c>
      <c r="F8" s="12" t="s">
        <v>28</v>
      </c>
      <c r="G8" s="12" t="s">
        <v>30</v>
      </c>
      <c r="H8" s="12" t="s">
        <v>31</v>
      </c>
    </row>
    <row r="9" spans="1:8" x14ac:dyDescent="0.35">
      <c r="B9" s="4" t="s">
        <v>51</v>
      </c>
      <c r="C9" s="4" t="s">
        <v>23</v>
      </c>
      <c r="D9" s="4">
        <v>0</v>
      </c>
      <c r="E9" s="4">
        <v>-0.33333333333333331</v>
      </c>
      <c r="F9" s="4">
        <v>1</v>
      </c>
      <c r="G9" s="4">
        <v>0.33333333333333331</v>
      </c>
      <c r="H9" s="4">
        <v>1E+30</v>
      </c>
    </row>
    <row r="10" spans="1:8" x14ac:dyDescent="0.35">
      <c r="B10" s="4" t="s">
        <v>52</v>
      </c>
      <c r="C10" s="4" t="s">
        <v>24</v>
      </c>
      <c r="D10" s="4">
        <v>7.1428571428571466E-2</v>
      </c>
      <c r="E10" s="4">
        <v>0</v>
      </c>
      <c r="F10" s="4">
        <v>1</v>
      </c>
      <c r="G10" s="4">
        <v>0.13333333333333333</v>
      </c>
      <c r="H10" s="4">
        <v>0.16666666666666669</v>
      </c>
    </row>
    <row r="11" spans="1:8" ht="15" thickBot="1" x14ac:dyDescent="0.4">
      <c r="B11" s="5" t="s">
        <v>53</v>
      </c>
      <c r="C11" s="5" t="s">
        <v>25</v>
      </c>
      <c r="D11" s="5">
        <v>2.3809523809523777E-2</v>
      </c>
      <c r="E11" s="5">
        <v>0</v>
      </c>
      <c r="F11" s="5">
        <v>1</v>
      </c>
      <c r="G11" s="5">
        <v>0.20000000000000004</v>
      </c>
      <c r="H11" s="5">
        <v>8.6956521739130432E-2</v>
      </c>
    </row>
    <row r="13" spans="1:8" ht="15" thickBot="1" x14ac:dyDescent="0.4">
      <c r="A13" t="s">
        <v>22</v>
      </c>
    </row>
    <row r="14" spans="1:8" x14ac:dyDescent="0.35">
      <c r="B14" s="11"/>
      <c r="C14" s="11"/>
      <c r="D14" s="11" t="s">
        <v>19</v>
      </c>
      <c r="E14" s="11" t="s">
        <v>32</v>
      </c>
      <c r="F14" s="11" t="s">
        <v>34</v>
      </c>
      <c r="G14" s="11" t="s">
        <v>29</v>
      </c>
      <c r="H14" s="11" t="s">
        <v>29</v>
      </c>
    </row>
    <row r="15" spans="1:8" ht="15" thickBot="1" x14ac:dyDescent="0.4">
      <c r="B15" s="12" t="s">
        <v>17</v>
      </c>
      <c r="C15" s="12" t="s">
        <v>18</v>
      </c>
      <c r="D15" s="12" t="s">
        <v>20</v>
      </c>
      <c r="E15" s="12" t="s">
        <v>33</v>
      </c>
      <c r="F15" s="12" t="s">
        <v>35</v>
      </c>
      <c r="G15" s="12" t="s">
        <v>30</v>
      </c>
      <c r="H15" s="12" t="s">
        <v>31</v>
      </c>
    </row>
    <row r="16" spans="1:8" x14ac:dyDescent="0.35">
      <c r="B16" s="4" t="s">
        <v>54</v>
      </c>
      <c r="C16" s="4" t="s">
        <v>55</v>
      </c>
      <c r="D16" s="4">
        <v>1.0000000000000002</v>
      </c>
      <c r="E16" s="4">
        <v>4.7619047619047623E-2</v>
      </c>
      <c r="F16" s="4">
        <v>1</v>
      </c>
      <c r="G16" s="4">
        <v>9.9999999999999867E-2</v>
      </c>
      <c r="H16" s="4">
        <v>3.1250000000000167E-2</v>
      </c>
    </row>
    <row r="17" spans="2:8" x14ac:dyDescent="0.35">
      <c r="B17" s="4" t="s">
        <v>56</v>
      </c>
      <c r="C17" s="4" t="s">
        <v>57</v>
      </c>
      <c r="D17" s="4">
        <v>0.95238095238095211</v>
      </c>
      <c r="E17" s="4">
        <v>0</v>
      </c>
      <c r="F17" s="4">
        <v>1</v>
      </c>
      <c r="G17" s="4">
        <v>1E+30</v>
      </c>
      <c r="H17" s="4">
        <v>4.7619047619047866E-2</v>
      </c>
    </row>
    <row r="18" spans="2:8" ht="15" thickBot="1" x14ac:dyDescent="0.4">
      <c r="B18" s="5" t="s">
        <v>58</v>
      </c>
      <c r="C18" s="5" t="s">
        <v>59</v>
      </c>
      <c r="D18" s="5">
        <v>1</v>
      </c>
      <c r="E18" s="5">
        <v>4.7619047619047616E-2</v>
      </c>
      <c r="F18" s="5">
        <v>1</v>
      </c>
      <c r="G18" s="5">
        <v>1.9230769230769332E-2</v>
      </c>
      <c r="H18" s="5">
        <v>9.0909090909090801E-2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EAA4-4C2E-49BB-93AA-FFA5B82B88DF}">
  <dimension ref="A1:H18"/>
  <sheetViews>
    <sheetView showGridLines="0" workbookViewId="0"/>
  </sheetViews>
  <sheetFormatPr defaultRowHeight="14.5" x14ac:dyDescent="0.35"/>
  <cols>
    <col min="1" max="1" width="2.1796875" customWidth="1"/>
    <col min="2" max="2" width="7.08984375" bestFit="1" customWidth="1"/>
    <col min="3" max="3" width="10.6328125" bestFit="1" customWidth="1"/>
    <col min="4" max="4" width="14.54296875" bestFit="1" customWidth="1"/>
    <col min="5" max="5" width="12.453125" bestFit="1" customWidth="1"/>
    <col min="6" max="6" width="16.26953125" bestFit="1" customWidth="1"/>
    <col min="7" max="7" width="11.81640625" bestFit="1" customWidth="1"/>
    <col min="8" max="8" width="12.1796875" bestFit="1" customWidth="1"/>
  </cols>
  <sheetData>
    <row r="1" spans="1:8" x14ac:dyDescent="0.35">
      <c r="A1" s="3" t="s">
        <v>15</v>
      </c>
    </row>
    <row r="2" spans="1:8" x14ac:dyDescent="0.35">
      <c r="A2" s="3" t="s">
        <v>60</v>
      </c>
    </row>
    <row r="3" spans="1:8" x14ac:dyDescent="0.35">
      <c r="A3" s="3" t="s">
        <v>63</v>
      </c>
    </row>
    <row r="6" spans="1:8" ht="15" thickBot="1" x14ac:dyDescent="0.4">
      <c r="A6" t="s">
        <v>16</v>
      </c>
    </row>
    <row r="7" spans="1:8" x14ac:dyDescent="0.35">
      <c r="B7" s="14"/>
      <c r="C7" s="14"/>
      <c r="D7" s="14" t="s">
        <v>19</v>
      </c>
      <c r="E7" s="14" t="s">
        <v>21</v>
      </c>
      <c r="F7" s="14" t="s">
        <v>26</v>
      </c>
      <c r="G7" s="14" t="s">
        <v>29</v>
      </c>
      <c r="H7" s="14" t="s">
        <v>29</v>
      </c>
    </row>
    <row r="8" spans="1:8" ht="15" thickBot="1" x14ac:dyDescent="0.4">
      <c r="B8" s="15" t="s">
        <v>17</v>
      </c>
      <c r="C8" s="15" t="s">
        <v>18</v>
      </c>
      <c r="D8" s="15" t="s">
        <v>20</v>
      </c>
      <c r="E8" s="15" t="s">
        <v>27</v>
      </c>
      <c r="F8" s="15" t="s">
        <v>28</v>
      </c>
      <c r="G8" s="15" t="s">
        <v>30</v>
      </c>
      <c r="H8" s="15" t="s">
        <v>31</v>
      </c>
    </row>
    <row r="9" spans="1:8" x14ac:dyDescent="0.35">
      <c r="B9" s="4" t="s">
        <v>51</v>
      </c>
      <c r="C9" s="4" t="s">
        <v>23</v>
      </c>
      <c r="D9" s="4">
        <v>0</v>
      </c>
      <c r="E9" s="4">
        <v>-0.31034482758620685</v>
      </c>
      <c r="F9" s="4">
        <v>1</v>
      </c>
      <c r="G9" s="4">
        <v>0.31034482758620685</v>
      </c>
      <c r="H9" s="4">
        <v>1E+30</v>
      </c>
    </row>
    <row r="10" spans="1:8" x14ac:dyDescent="0.35">
      <c r="B10" s="4" t="s">
        <v>52</v>
      </c>
      <c r="C10" s="4" t="s">
        <v>24</v>
      </c>
      <c r="D10" s="4">
        <v>6.0344827586206892E-2</v>
      </c>
      <c r="E10" s="4">
        <v>0</v>
      </c>
      <c r="F10" s="4">
        <v>1</v>
      </c>
      <c r="G10" s="4">
        <v>1.3333333333333333</v>
      </c>
      <c r="H10" s="4">
        <v>0.15384615384615388</v>
      </c>
    </row>
    <row r="11" spans="1:8" ht="15" thickBot="1" x14ac:dyDescent="0.4">
      <c r="B11" s="5" t="s">
        <v>53</v>
      </c>
      <c r="C11" s="5" t="s">
        <v>25</v>
      </c>
      <c r="D11" s="5">
        <v>2.5862068965517251E-2</v>
      </c>
      <c r="E11" s="5">
        <v>0</v>
      </c>
      <c r="F11" s="5">
        <v>1</v>
      </c>
      <c r="G11" s="5">
        <v>0.18181818181818185</v>
      </c>
      <c r="H11" s="5">
        <v>0.57142857142857129</v>
      </c>
    </row>
    <row r="13" spans="1:8" ht="15" thickBot="1" x14ac:dyDescent="0.4">
      <c r="A13" t="s">
        <v>22</v>
      </c>
    </row>
    <row r="14" spans="1:8" x14ac:dyDescent="0.35">
      <c r="B14" s="14"/>
      <c r="C14" s="14"/>
      <c r="D14" s="14" t="s">
        <v>19</v>
      </c>
      <c r="E14" s="14" t="s">
        <v>32</v>
      </c>
      <c r="F14" s="14" t="s">
        <v>34</v>
      </c>
      <c r="G14" s="14" t="s">
        <v>29</v>
      </c>
      <c r="H14" s="14" t="s">
        <v>29</v>
      </c>
    </row>
    <row r="15" spans="1:8" ht="15" thickBot="1" x14ac:dyDescent="0.4">
      <c r="B15" s="15" t="s">
        <v>17</v>
      </c>
      <c r="C15" s="15" t="s">
        <v>18</v>
      </c>
      <c r="D15" s="15" t="s">
        <v>20</v>
      </c>
      <c r="E15" s="15" t="s">
        <v>33</v>
      </c>
      <c r="F15" s="15" t="s">
        <v>35</v>
      </c>
      <c r="G15" s="15" t="s">
        <v>30</v>
      </c>
      <c r="H15" s="15" t="s">
        <v>31</v>
      </c>
    </row>
    <row r="16" spans="1:8" x14ac:dyDescent="0.35">
      <c r="B16" s="4" t="s">
        <v>54</v>
      </c>
      <c r="C16" s="4" t="s">
        <v>55</v>
      </c>
      <c r="D16" s="4">
        <v>1</v>
      </c>
      <c r="E16" s="4">
        <v>6.8965517241379309E-2</v>
      </c>
      <c r="F16" s="4">
        <v>1</v>
      </c>
      <c r="G16" s="4">
        <v>2.9411764705882314E-2</v>
      </c>
      <c r="H16" s="4">
        <v>0.21428571428571433</v>
      </c>
    </row>
    <row r="17" spans="2:8" x14ac:dyDescent="0.35">
      <c r="B17" s="4" t="s">
        <v>56</v>
      </c>
      <c r="C17" s="4" t="s">
        <v>57</v>
      </c>
      <c r="D17" s="4">
        <v>1</v>
      </c>
      <c r="E17" s="4">
        <v>1.7241379310344831E-2</v>
      </c>
      <c r="F17" s="4">
        <v>1</v>
      </c>
      <c r="G17" s="4">
        <v>4.3478260869565161E-2</v>
      </c>
      <c r="H17" s="4">
        <v>0.53846153846153844</v>
      </c>
    </row>
    <row r="18" spans="2:8" ht="15" thickBot="1" x14ac:dyDescent="0.4">
      <c r="B18" s="5" t="s">
        <v>58</v>
      </c>
      <c r="C18" s="5" t="s">
        <v>59</v>
      </c>
      <c r="D18" s="5">
        <v>0.98275862068965514</v>
      </c>
      <c r="E18" s="5">
        <v>0</v>
      </c>
      <c r="F18" s="5">
        <v>1</v>
      </c>
      <c r="G18" s="5">
        <v>1E+30</v>
      </c>
      <c r="H18" s="5">
        <v>1.7241379310344807E-2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6164-868D-4A3C-AB00-1CB2F6DA8A5A}">
  <dimension ref="A1:O38"/>
  <sheetViews>
    <sheetView tabSelected="1" topLeftCell="A20" zoomScale="115" zoomScaleNormal="115" workbookViewId="0">
      <selection activeCell="F40" sqref="F40"/>
    </sheetView>
  </sheetViews>
  <sheetFormatPr defaultRowHeight="14.5" x14ac:dyDescent="0.35"/>
  <cols>
    <col min="3" max="3" width="11.36328125" bestFit="1" customWidth="1"/>
    <col min="5" max="6" width="11.1796875" bestFit="1" customWidth="1"/>
    <col min="7" max="7" width="17.81640625" bestFit="1" customWidth="1"/>
    <col min="11" max="11" width="11.1796875" bestFit="1" customWidth="1"/>
    <col min="13" max="13" width="9.81640625" bestFit="1" customWidth="1"/>
    <col min="15" max="15" width="17.81640625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2" t="s">
        <v>6</v>
      </c>
    </row>
    <row r="2" spans="1:11" x14ac:dyDescent="0.35">
      <c r="A2" s="1" t="s">
        <v>3</v>
      </c>
      <c r="B2" s="1">
        <v>-7</v>
      </c>
      <c r="C2" s="1">
        <v>-11</v>
      </c>
      <c r="D2" s="1">
        <v>-9</v>
      </c>
      <c r="E2" s="1">
        <f>MIN(B2:D2)</f>
        <v>-11</v>
      </c>
    </row>
    <row r="3" spans="1:11" x14ac:dyDescent="0.35">
      <c r="A3" s="1" t="s">
        <v>4</v>
      </c>
      <c r="B3" s="1">
        <v>-6</v>
      </c>
      <c r="C3" s="1">
        <v>-8</v>
      </c>
      <c r="D3" s="1">
        <v>-16</v>
      </c>
      <c r="E3" s="1">
        <f t="shared" ref="E3:E4" si="0">MIN(B3:D3)</f>
        <v>-16</v>
      </c>
      <c r="F3" s="1" t="s">
        <v>8</v>
      </c>
    </row>
    <row r="4" spans="1:11" x14ac:dyDescent="0.35">
      <c r="A4" s="1" t="s">
        <v>5</v>
      </c>
      <c r="B4" s="1">
        <v>-21</v>
      </c>
      <c r="C4" s="1">
        <v>-10</v>
      </c>
      <c r="D4" s="1">
        <v>-12</v>
      </c>
      <c r="E4" s="1">
        <f t="shared" si="0"/>
        <v>-21</v>
      </c>
      <c r="F4" s="1">
        <f>MAX(E2:E4)</f>
        <v>-11</v>
      </c>
    </row>
    <row r="5" spans="1:11" x14ac:dyDescent="0.35">
      <c r="A5" s="2" t="s">
        <v>7</v>
      </c>
      <c r="B5" s="1">
        <f>MAX(B2:B4)</f>
        <v>-6</v>
      </c>
      <c r="C5" s="1">
        <f t="shared" ref="C5:D5" si="1">MAX(C2:C4)</f>
        <v>-8</v>
      </c>
      <c r="D5" s="1">
        <f t="shared" si="1"/>
        <v>-9</v>
      </c>
      <c r="E5" s="1"/>
    </row>
    <row r="6" spans="1:11" x14ac:dyDescent="0.35">
      <c r="C6" s="1" t="s">
        <v>9</v>
      </c>
      <c r="D6" s="1">
        <f>MIN(B5:D5)</f>
        <v>-9</v>
      </c>
    </row>
    <row r="8" spans="1:11" x14ac:dyDescent="0.35">
      <c r="A8" s="13" t="s">
        <v>38</v>
      </c>
      <c r="B8" s="13"/>
      <c r="G8" s="13" t="s">
        <v>42</v>
      </c>
      <c r="H8" s="13"/>
    </row>
    <row r="9" spans="1:11" x14ac:dyDescent="0.35">
      <c r="A9" s="1"/>
      <c r="B9" s="1" t="s">
        <v>0</v>
      </c>
      <c r="C9" s="1" t="s">
        <v>1</v>
      </c>
      <c r="D9" s="1" t="s">
        <v>2</v>
      </c>
      <c r="E9" s="2" t="s">
        <v>40</v>
      </c>
      <c r="G9" s="1"/>
      <c r="H9" s="1" t="s">
        <v>0</v>
      </c>
      <c r="I9" s="1" t="s">
        <v>1</v>
      </c>
      <c r="J9" s="1" t="s">
        <v>2</v>
      </c>
      <c r="K9" s="2" t="s">
        <v>40</v>
      </c>
    </row>
    <row r="10" spans="1:11" x14ac:dyDescent="0.35">
      <c r="A10" s="1" t="s">
        <v>3</v>
      </c>
      <c r="B10" s="1">
        <v>-7</v>
      </c>
      <c r="C10" s="1">
        <v>-11</v>
      </c>
      <c r="D10" s="1">
        <v>-9</v>
      </c>
      <c r="E10" s="1">
        <f>B10*$B$13+C10*$C$13+D10*$D$13</f>
        <v>-9.8999999999999986</v>
      </c>
      <c r="G10" s="1" t="s">
        <v>3</v>
      </c>
      <c r="H10" s="1">
        <v>1</v>
      </c>
      <c r="I10" s="1">
        <v>3</v>
      </c>
      <c r="J10" s="1">
        <v>0</v>
      </c>
      <c r="K10" s="1">
        <f>H10*$H$13+I10*$I$13+J10*$J$13</f>
        <v>1.9499999999999997</v>
      </c>
    </row>
    <row r="11" spans="1:11" x14ac:dyDescent="0.35">
      <c r="A11" s="1" t="s">
        <v>4</v>
      </c>
      <c r="B11" s="1">
        <v>-6</v>
      </c>
      <c r="C11" s="1">
        <v>-8</v>
      </c>
      <c r="D11" s="1">
        <v>-16</v>
      </c>
      <c r="E11" s="1">
        <f t="shared" ref="E11:E12" si="2">B11*$B$13+C11*$C$13+D11*$D$13</f>
        <v>-9.6999999999999993</v>
      </c>
      <c r="G11" s="1" t="s">
        <v>4</v>
      </c>
      <c r="H11" s="1">
        <v>0</v>
      </c>
      <c r="I11" s="1">
        <v>0</v>
      </c>
      <c r="J11" s="1">
        <v>7</v>
      </c>
      <c r="K11" s="1">
        <f t="shared" ref="K11:K12" si="3">H11*$H$13+I11*$I$13+J11*$J$13</f>
        <v>1.75</v>
      </c>
    </row>
    <row r="12" spans="1:11" x14ac:dyDescent="0.35">
      <c r="A12" s="1" t="s">
        <v>5</v>
      </c>
      <c r="B12" s="1">
        <v>-21</v>
      </c>
      <c r="C12" s="1">
        <v>-10</v>
      </c>
      <c r="D12" s="1">
        <v>-12</v>
      </c>
      <c r="E12" s="1">
        <f t="shared" si="2"/>
        <v>-12.15</v>
      </c>
      <c r="G12" s="1" t="s">
        <v>5</v>
      </c>
      <c r="H12" s="1">
        <v>15</v>
      </c>
      <c r="I12" s="1">
        <v>2</v>
      </c>
      <c r="J12" s="1">
        <v>3</v>
      </c>
      <c r="K12" s="1">
        <f t="shared" si="3"/>
        <v>4.2</v>
      </c>
    </row>
    <row r="13" spans="1:11" x14ac:dyDescent="0.35">
      <c r="A13" s="2" t="s">
        <v>39</v>
      </c>
      <c r="B13" s="1">
        <v>0.15</v>
      </c>
      <c r="C13" s="1">
        <v>0.6</v>
      </c>
      <c r="D13" s="2">
        <v>0.25</v>
      </c>
      <c r="E13" s="1"/>
      <c r="G13" s="2" t="s">
        <v>39</v>
      </c>
      <c r="H13" s="1">
        <v>0.15</v>
      </c>
      <c r="I13" s="1">
        <v>0.6</v>
      </c>
      <c r="J13" s="2">
        <v>0.25</v>
      </c>
      <c r="K13" s="1"/>
    </row>
    <row r="15" spans="1:11" x14ac:dyDescent="0.35">
      <c r="A15" s="13" t="s">
        <v>41</v>
      </c>
      <c r="B15" s="13"/>
      <c r="G15" s="13" t="s">
        <v>42</v>
      </c>
      <c r="H15" s="13"/>
    </row>
    <row r="16" spans="1:11" x14ac:dyDescent="0.35">
      <c r="A16" s="1"/>
      <c r="B16" s="1" t="s">
        <v>0</v>
      </c>
      <c r="C16" s="1" t="s">
        <v>1</v>
      </c>
      <c r="D16" s="1" t="s">
        <v>2</v>
      </c>
      <c r="E16" s="2" t="s">
        <v>40</v>
      </c>
      <c r="G16" s="1"/>
      <c r="H16" s="1" t="s">
        <v>0</v>
      </c>
      <c r="I16" s="1" t="s">
        <v>1</v>
      </c>
      <c r="J16" s="1" t="s">
        <v>2</v>
      </c>
      <c r="K16" s="2" t="s">
        <v>40</v>
      </c>
    </row>
    <row r="17" spans="1:15" x14ac:dyDescent="0.35">
      <c r="A17" s="1" t="s">
        <v>3</v>
      </c>
      <c r="B17" s="1">
        <v>-7</v>
      </c>
      <c r="C17" s="1">
        <v>-11</v>
      </c>
      <c r="D17" s="1">
        <v>-9</v>
      </c>
      <c r="E17" s="1">
        <f t="shared" ref="E17:E18" si="4">B17*$B$20+C17*$C$20+D17*$D$20</f>
        <v>-8.9990999999999985</v>
      </c>
      <c r="G17" s="1" t="s">
        <v>3</v>
      </c>
      <c r="H17" s="1">
        <v>1</v>
      </c>
      <c r="I17" s="1">
        <v>3</v>
      </c>
      <c r="J17" s="1">
        <v>0</v>
      </c>
      <c r="K17" s="1">
        <f>H17*$H$20+I17*$I$20+J17*$J$20</f>
        <v>1.3331999999999999</v>
      </c>
    </row>
    <row r="18" spans="1:15" x14ac:dyDescent="0.35">
      <c r="A18" s="1" t="s">
        <v>4</v>
      </c>
      <c r="B18" s="1">
        <v>-6</v>
      </c>
      <c r="C18" s="1">
        <v>-8</v>
      </c>
      <c r="D18" s="1">
        <v>-16</v>
      </c>
      <c r="E18" s="1">
        <f t="shared" si="4"/>
        <v>-9.9989999999999988</v>
      </c>
      <c r="G18" s="1" t="s">
        <v>4</v>
      </c>
      <c r="H18" s="1">
        <v>0</v>
      </c>
      <c r="I18" s="1">
        <v>0</v>
      </c>
      <c r="J18" s="1">
        <v>7</v>
      </c>
      <c r="K18" s="1">
        <f t="shared" ref="K18:K19" si="5">H18*$H$20+I18*$I$20+J18*$J$20</f>
        <v>2.3331</v>
      </c>
    </row>
    <row r="19" spans="1:15" x14ac:dyDescent="0.35">
      <c r="A19" s="1" t="s">
        <v>5</v>
      </c>
      <c r="B19" s="1">
        <v>-21</v>
      </c>
      <c r="C19" s="1">
        <v>-10</v>
      </c>
      <c r="D19" s="1">
        <v>-12</v>
      </c>
      <c r="E19" s="1">
        <f>B19*$B$20+C19*$C$20+D19*$D$20</f>
        <v>-14.331900000000001</v>
      </c>
      <c r="G19" s="1" t="s">
        <v>5</v>
      </c>
      <c r="H19" s="1">
        <v>15</v>
      </c>
      <c r="I19" s="1">
        <v>2</v>
      </c>
      <c r="J19" s="1">
        <v>3</v>
      </c>
      <c r="K19" s="1">
        <f t="shared" si="5"/>
        <v>6.6659999999999995</v>
      </c>
    </row>
    <row r="20" spans="1:15" x14ac:dyDescent="0.35">
      <c r="A20" s="2" t="s">
        <v>39</v>
      </c>
      <c r="B20" s="1">
        <v>0.33329999999999999</v>
      </c>
      <c r="C20" s="1">
        <v>0.33329999999999999</v>
      </c>
      <c r="D20" s="2">
        <v>0.33329999999999999</v>
      </c>
      <c r="E20" s="1"/>
      <c r="G20" s="2" t="s">
        <v>39</v>
      </c>
      <c r="H20" s="1">
        <v>0.33329999999999999</v>
      </c>
      <c r="I20" s="1">
        <v>0.33329999999999999</v>
      </c>
      <c r="J20" s="1">
        <v>0.33329999999999999</v>
      </c>
      <c r="K20" s="1"/>
    </row>
    <row r="21" spans="1:15" x14ac:dyDescent="0.35">
      <c r="A21" s="7"/>
      <c r="B21" s="6"/>
      <c r="C21" s="6"/>
      <c r="D21" s="7"/>
      <c r="E21" s="6"/>
      <c r="G21" s="7"/>
      <c r="H21" s="6"/>
      <c r="I21" s="6"/>
      <c r="J21" s="6"/>
      <c r="K21" s="6"/>
    </row>
    <row r="22" spans="1:15" x14ac:dyDescent="0.35">
      <c r="A22" s="1"/>
      <c r="B22" s="1" t="s">
        <v>0</v>
      </c>
      <c r="C22" s="1" t="s">
        <v>1</v>
      </c>
      <c r="D22" s="1" t="s">
        <v>2</v>
      </c>
      <c r="E22" s="1" t="s">
        <v>43</v>
      </c>
      <c r="F22" s="1" t="s">
        <v>44</v>
      </c>
      <c r="G22" s="2" t="s">
        <v>62</v>
      </c>
      <c r="I22" s="1"/>
      <c r="J22" s="1" t="s">
        <v>0</v>
      </c>
      <c r="K22" s="1" t="s">
        <v>1</v>
      </c>
      <c r="L22" s="1" t="s">
        <v>2</v>
      </c>
      <c r="M22" s="1" t="s">
        <v>49</v>
      </c>
      <c r="N22" s="1" t="s">
        <v>50</v>
      </c>
      <c r="O22" s="2" t="s">
        <v>62</v>
      </c>
    </row>
    <row r="23" spans="1:15" x14ac:dyDescent="0.35">
      <c r="A23" s="1" t="s">
        <v>45</v>
      </c>
      <c r="B23" s="1">
        <v>-7</v>
      </c>
      <c r="C23" s="1">
        <v>-11</v>
      </c>
      <c r="D23" s="1">
        <v>-9</v>
      </c>
      <c r="E23" s="1">
        <f>MIN(B23:D23)</f>
        <v>-11</v>
      </c>
      <c r="F23" s="1">
        <f>MAX(B23:D23)</f>
        <v>-7</v>
      </c>
      <c r="G23" s="1">
        <f xml:space="preserve"> E23 * 0.5 + (1 - 0.5) * F23</f>
        <v>-9</v>
      </c>
      <c r="I23" s="1" t="s">
        <v>45</v>
      </c>
      <c r="J23" s="1">
        <v>1</v>
      </c>
      <c r="K23" s="1">
        <v>3</v>
      </c>
      <c r="L23" s="1">
        <v>0</v>
      </c>
      <c r="M23" s="1">
        <f>MIN(J23:L23)</f>
        <v>0</v>
      </c>
      <c r="N23" s="1">
        <f>MAX(J23:L23)</f>
        <v>3</v>
      </c>
      <c r="O23" s="1">
        <f>0.5 * N23 + (1 - 0.5) * M23</f>
        <v>1.5</v>
      </c>
    </row>
    <row r="24" spans="1:15" x14ac:dyDescent="0.35">
      <c r="A24" s="1" t="s">
        <v>46</v>
      </c>
      <c r="B24" s="1">
        <v>-6</v>
      </c>
      <c r="C24" s="1">
        <v>-8</v>
      </c>
      <c r="D24" s="1">
        <v>-16</v>
      </c>
      <c r="E24" s="1">
        <f t="shared" ref="E24:E25" si="6">MIN(B24:D24)</f>
        <v>-16</v>
      </c>
      <c r="F24" s="1">
        <f t="shared" ref="F24:F25" si="7">MAX(B24:D24)</f>
        <v>-6</v>
      </c>
      <c r="G24" s="1">
        <f xml:space="preserve"> E24 * 0.5 + (1 - 0.5) * F24</f>
        <v>-11</v>
      </c>
      <c r="I24" s="1" t="s">
        <v>46</v>
      </c>
      <c r="J24" s="1">
        <v>0</v>
      </c>
      <c r="K24" s="1">
        <v>0</v>
      </c>
      <c r="L24" s="1">
        <v>7</v>
      </c>
      <c r="M24" s="1">
        <f t="shared" ref="M24:M25" si="8">MIN(J24:L24)</f>
        <v>0</v>
      </c>
      <c r="N24" s="1">
        <f t="shared" ref="N24:N25" si="9">MAX(J24:L24)</f>
        <v>7</v>
      </c>
      <c r="O24" s="1">
        <f t="shared" ref="O24:O25" si="10">0.5 * N24 + (1 - 0.5) * M24</f>
        <v>3.5</v>
      </c>
    </row>
    <row r="25" spans="1:15" x14ac:dyDescent="0.35">
      <c r="A25" s="1" t="s">
        <v>47</v>
      </c>
      <c r="B25" s="1">
        <v>-21</v>
      </c>
      <c r="C25" s="1">
        <v>-10</v>
      </c>
      <c r="D25" s="1">
        <v>-12</v>
      </c>
      <c r="E25" s="1">
        <f t="shared" si="6"/>
        <v>-21</v>
      </c>
      <c r="F25" s="1">
        <f t="shared" si="7"/>
        <v>-10</v>
      </c>
      <c r="G25" s="1">
        <f xml:space="preserve"> E25 * 0.5 + (1 - 0.5) * F25</f>
        <v>-15.5</v>
      </c>
      <c r="I25" s="1" t="s">
        <v>47</v>
      </c>
      <c r="J25" s="1">
        <v>15</v>
      </c>
      <c r="K25" s="1">
        <v>2</v>
      </c>
      <c r="L25" s="1">
        <v>3</v>
      </c>
      <c r="M25" s="1">
        <f t="shared" si="8"/>
        <v>2</v>
      </c>
      <c r="N25" s="1">
        <f t="shared" si="9"/>
        <v>15</v>
      </c>
      <c r="O25" s="1">
        <f t="shared" si="10"/>
        <v>8.5</v>
      </c>
    </row>
    <row r="26" spans="1:15" x14ac:dyDescent="0.35">
      <c r="A26" s="1" t="s">
        <v>48</v>
      </c>
      <c r="B26" s="1">
        <f>MAX(B23:B25)</f>
        <v>-6</v>
      </c>
      <c r="C26" s="1">
        <f t="shared" ref="C26:D26" si="11">MAX(C23:C25)</f>
        <v>-8</v>
      </c>
      <c r="D26" s="1">
        <f t="shared" si="11"/>
        <v>-9</v>
      </c>
      <c r="E26" s="1"/>
      <c r="F26" s="1"/>
      <c r="G26" s="1"/>
    </row>
    <row r="28" spans="1:15" x14ac:dyDescent="0.35">
      <c r="A28" s="1"/>
      <c r="B28" s="1" t="s">
        <v>0</v>
      </c>
      <c r="C28" s="1" t="s">
        <v>1</v>
      </c>
      <c r="D28" s="1" t="s">
        <v>2</v>
      </c>
    </row>
    <row r="29" spans="1:15" x14ac:dyDescent="0.35">
      <c r="A29" s="1" t="s">
        <v>3</v>
      </c>
      <c r="B29" s="1">
        <v>15</v>
      </c>
      <c r="C29" s="1">
        <v>11</v>
      </c>
      <c r="D29" s="1">
        <v>13</v>
      </c>
      <c r="F29" s="1">
        <f>B29*$B$32+C29*$C$32+D29*$D$32</f>
        <v>1.0000000000000009</v>
      </c>
      <c r="G29" s="10" t="s">
        <v>14</v>
      </c>
      <c r="H29" s="1">
        <v>1</v>
      </c>
    </row>
    <row r="30" spans="1:15" x14ac:dyDescent="0.35">
      <c r="A30" s="1" t="s">
        <v>4</v>
      </c>
      <c r="B30" s="1">
        <v>16</v>
      </c>
      <c r="C30" s="1">
        <v>14</v>
      </c>
      <c r="D30" s="1">
        <v>6</v>
      </c>
      <c r="F30" s="1">
        <f t="shared" ref="F30:F31" si="12">B30*$B$32+C30*$C$32+D30*$D$32</f>
        <v>1.0000000000000004</v>
      </c>
      <c r="G30" s="10" t="s">
        <v>14</v>
      </c>
      <c r="H30" s="1">
        <v>1</v>
      </c>
    </row>
    <row r="31" spans="1:15" x14ac:dyDescent="0.35">
      <c r="A31" s="1" t="s">
        <v>5</v>
      </c>
      <c r="B31" s="1">
        <v>1</v>
      </c>
      <c r="C31" s="1">
        <v>12</v>
      </c>
      <c r="D31" s="1">
        <v>10</v>
      </c>
      <c r="F31" s="1">
        <f t="shared" si="12"/>
        <v>0.98275862068965569</v>
      </c>
      <c r="G31" s="10" t="s">
        <v>14</v>
      </c>
      <c r="H31" s="1">
        <v>1</v>
      </c>
    </row>
    <row r="32" spans="1:15" x14ac:dyDescent="0.35">
      <c r="A32" s="2" t="s">
        <v>10</v>
      </c>
      <c r="B32" s="1">
        <v>0</v>
      </c>
      <c r="C32" s="1">
        <v>6.0344827586206899E-2</v>
      </c>
      <c r="D32" s="1">
        <v>2.58620689655173E-2</v>
      </c>
    </row>
    <row r="33" spans="1:4" x14ac:dyDescent="0.35">
      <c r="A33" s="2" t="s">
        <v>11</v>
      </c>
      <c r="B33" s="1">
        <f>SUM(B32:D32)</f>
        <v>8.6206896551724199E-2</v>
      </c>
      <c r="C33" s="1"/>
      <c r="D33" s="1"/>
    </row>
    <row r="34" spans="1:4" x14ac:dyDescent="0.35">
      <c r="A34" s="2" t="s">
        <v>12</v>
      </c>
      <c r="B34" s="1">
        <v>6.8900000000000003E-2</v>
      </c>
      <c r="C34" s="9">
        <v>1.72E-2</v>
      </c>
      <c r="D34" s="9">
        <v>0</v>
      </c>
    </row>
    <row r="35" spans="1:4" ht="16" customHeight="1" x14ac:dyDescent="0.35">
      <c r="A35" s="2" t="s">
        <v>13</v>
      </c>
      <c r="B35" s="1">
        <f>SUM(B34:D34)</f>
        <v>8.610000000000001E-2</v>
      </c>
      <c r="C35" s="8"/>
      <c r="D35" s="8"/>
    </row>
    <row r="36" spans="1:4" x14ac:dyDescent="0.35">
      <c r="A36" s="2" t="s">
        <v>64</v>
      </c>
      <c r="B36" s="1">
        <f>1/B33</f>
        <v>11.599999999999993</v>
      </c>
      <c r="C36" s="1"/>
      <c r="D36" s="1"/>
    </row>
    <row r="37" spans="1:4" x14ac:dyDescent="0.35">
      <c r="A37" s="2" t="s">
        <v>36</v>
      </c>
      <c r="B37" s="1">
        <f>$B$36*B32</f>
        <v>0</v>
      </c>
      <c r="C37" s="1">
        <f t="shared" ref="C37:D37" si="13">$B$36*C32</f>
        <v>0.69999999999999962</v>
      </c>
      <c r="D37" s="1">
        <f t="shared" si="13"/>
        <v>0.30000000000000049</v>
      </c>
    </row>
    <row r="38" spans="1:4" x14ac:dyDescent="0.35">
      <c r="A38" s="2" t="s">
        <v>37</v>
      </c>
      <c r="B38" s="1">
        <f>$B$36*B34</f>
        <v>0.79923999999999951</v>
      </c>
      <c r="C38" s="1">
        <f t="shared" ref="C38:D38" si="14">$B$36*C34</f>
        <v>0.19951999999999986</v>
      </c>
      <c r="D38" s="1">
        <f t="shared" si="14"/>
        <v>0</v>
      </c>
    </row>
  </sheetData>
  <mergeCells count="4">
    <mergeCell ref="A8:B8"/>
    <mergeCell ref="A15:B15"/>
    <mergeCell ref="G8:H8"/>
    <mergeCell ref="G15:H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 об устойчивости 1</vt:lpstr>
      <vt:lpstr>Отчет об устойчивости 2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Бражалович</dc:creator>
  <cp:lastModifiedBy>Саша Бражалович</cp:lastModifiedBy>
  <dcterms:created xsi:type="dcterms:W3CDTF">2015-06-05T18:19:34Z</dcterms:created>
  <dcterms:modified xsi:type="dcterms:W3CDTF">2025-11-19T13:11:17Z</dcterms:modified>
</cp:coreProperties>
</file>