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UIR\COURSE 3\МатПрог\"/>
    </mc:Choice>
  </mc:AlternateContent>
  <xr:revisionPtr revIDLastSave="0" documentId="13_ncr:1_{E077B43B-2E5B-41F7-9AFC-85C7E1129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1" sheetId="1" r:id="rId1"/>
    <sheet name="Задание 2" sheetId="7" r:id="rId2"/>
  </sheets>
  <definedNames>
    <definedName name="solver_adj" localSheetId="0" hidden="1">'Задание 1'!$H$498:$K$502</definedName>
    <definedName name="solver_adj" localSheetId="1" hidden="1">'Задание 2'!$B$42:$G$46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'Задание 1'!$G$498:$G$502</definedName>
    <definedName name="solver_lhs1" localSheetId="1" hidden="1">'Задание 2'!$B$47:$G$47</definedName>
    <definedName name="solver_lhs2" localSheetId="0" hidden="1">'Задание 1'!$H$497:$K$497</definedName>
    <definedName name="solver_lhs2" localSheetId="1" hidden="1">'Задание 2'!$H$42:$H$46</definedName>
    <definedName name="solver_lhs3" localSheetId="0" hidden="1">'Задание 1'!$H$498:$K$502</definedName>
    <definedName name="solver_lhs4" localSheetId="0" hidden="1">'Задание 1'!$H$498:$K$502</definedName>
    <definedName name="solver_lhs5" localSheetId="0" hidden="1">'Задание 1'!$I$498</definedName>
    <definedName name="solver_lhs6" localSheetId="0" hidden="1">'Задание 1'!$K$500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6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'Задание 1'!$H$504</definedName>
    <definedName name="solver_opt" localSheetId="1" hidden="1">'Задание 2'!$I$48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2</definedName>
    <definedName name="solver_rel2" localSheetId="1" hidden="1">2</definedName>
    <definedName name="solver_rel3" localSheetId="0" hidden="1">4</definedName>
    <definedName name="solver_rel4" localSheetId="0" hidden="1">3</definedName>
    <definedName name="solver_rel5" localSheetId="0" hidden="1">3</definedName>
    <definedName name="solver_rel6" localSheetId="0" hidden="1">1</definedName>
    <definedName name="solver_rhs1" localSheetId="0" hidden="1">'Задание 1'!$A$498:$A$502</definedName>
    <definedName name="solver_rhs1" localSheetId="1" hidden="1">'Задание 2'!$B$48:$G$48</definedName>
    <definedName name="solver_rhs2" localSheetId="0" hidden="1">'Задание 1'!$B$497:$E$497</definedName>
    <definedName name="solver_rhs2" localSheetId="1" hidden="1">'Задание 2'!$I$42:$I$46</definedName>
    <definedName name="solver_rhs3" localSheetId="0" hidden="1">"integer"</definedName>
    <definedName name="solver_rhs4" localSheetId="0" hidden="1">0</definedName>
    <definedName name="solver_rhs5" localSheetId="0" hidden="1">20</definedName>
    <definedName name="solver_rhs6" localSheetId="0" hidden="1">20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7" l="1"/>
  <c r="A48" i="7"/>
  <c r="I41" i="7"/>
  <c r="C47" i="7"/>
  <c r="D47" i="7"/>
  <c r="E47" i="7"/>
  <c r="F47" i="7"/>
  <c r="G47" i="7"/>
  <c r="B47" i="7"/>
  <c r="H43" i="7"/>
  <c r="H44" i="7"/>
  <c r="H45" i="7"/>
  <c r="H46" i="7"/>
  <c r="H42" i="7"/>
  <c r="H504" i="1"/>
  <c r="G502" i="1"/>
  <c r="G501" i="1"/>
  <c r="G500" i="1"/>
  <c r="G499" i="1"/>
  <c r="G498" i="1"/>
  <c r="K497" i="1"/>
  <c r="J497" i="1"/>
  <c r="I497" i="1"/>
  <c r="H497" i="1"/>
  <c r="H251" i="1" l="1"/>
  <c r="I251" i="1"/>
  <c r="J251" i="1"/>
  <c r="K251" i="1"/>
  <c r="G252" i="1"/>
  <c r="G253" i="1"/>
  <c r="G254" i="1"/>
  <c r="G255" i="1"/>
  <c r="G256" i="1"/>
  <c r="H258" i="1"/>
</calcChain>
</file>

<file path=xl/sharedStrings.xml><?xml version="1.0" encoding="utf-8"?>
<sst xmlns="http://schemas.openxmlformats.org/spreadsheetml/2006/main" count="628" uniqueCount="262">
  <si>
    <t>Вариант 17</t>
  </si>
  <si>
    <t>1. Составить математическую модель транспортной задачи</t>
  </si>
  <si>
    <t>z = 1*x11 + 2*x12 + 3*x13 + 1*x14 + 4*x21 + 2*x22 + 2*x23 + 9*x24 + 5*x31 + 7*x32 + 10*x33 + 5*x34 + 4*x41 + 15*x42 + 13*x43 + 6*x44 -&gt; min</t>
  </si>
  <si>
    <t>2. Решить транспортную задачу без учета дополнительных ограничений на перевозки</t>
  </si>
  <si>
    <t>а) вручную</t>
  </si>
  <si>
    <t>ai \ bi</t>
  </si>
  <si>
    <t>Спрос превышает возможные поставки на 10 единиц, введем фиктивную базу с запасом груза равным 10. Тарифы перевозки единицы груза из базы полагаем равны нулю.</t>
  </si>
  <si>
    <t>Результирующая таблица:</t>
  </si>
  <si>
    <t>m + n - 1 = 5 + 4 - 1 = 8 =&gt; опорный план является невырожденным</t>
  </si>
  <si>
    <t>z = 1*40 + 2*50 + 7*10 + 13*40 + 0*10 + 5*40 = 930</t>
  </si>
  <si>
    <t>Улучшение опорного плана</t>
  </si>
  <si>
    <t>u1 + v1 = 1; 0 + v1 = 1; v1 = 1</t>
  </si>
  <si>
    <t>u1 + v4 = 1; 0 + v4 = 1; v4 = 1</t>
  </si>
  <si>
    <t>u3 + v4 = 5; 1 + u3 = 5; u3 = 4</t>
  </si>
  <si>
    <t>u3 + v2 = 7; 4 + v2 = 7; v2 = 3</t>
  </si>
  <si>
    <t>u2 + v2 = 2; 3 + u2 = 2; u2 = -1</t>
  </si>
  <si>
    <t>u2 + v3 = 2; -1 + v3 = 2; v3 = 3</t>
  </si>
  <si>
    <t>u4 + v3 = 13; 3 + u4 = 13; u4 = 10</t>
  </si>
  <si>
    <t>u5 + v3 = 0; 3 + u5 = 0; u5 = -3</t>
  </si>
  <si>
    <t>v1=1</t>
  </si>
  <si>
    <t>v2=3</t>
  </si>
  <si>
    <t>v3=3</t>
  </si>
  <si>
    <t>v4=1</t>
  </si>
  <si>
    <t>u1=0</t>
  </si>
  <si>
    <t>u2=-1</t>
  </si>
  <si>
    <t>u3=4</t>
  </si>
  <si>
    <t>u4=10</t>
  </si>
  <si>
    <t>u5=-3</t>
  </si>
  <si>
    <t>∆=1</t>
  </si>
  <si>
    <t>∆=0</t>
  </si>
  <si>
    <t>∆=-4</t>
  </si>
  <si>
    <t>∆=-9</t>
  </si>
  <si>
    <t>∆=-3</t>
  </si>
  <si>
    <t>∆=7</t>
  </si>
  <si>
    <t>∆=-2</t>
  </si>
  <si>
    <t>∆=5</t>
  </si>
  <si>
    <t>Опорный план не является оптимальным, так как существуют оценки свободных клеток, для которых ui + vj &gt; cij (1;2) (4;1) (4;4)</t>
  </si>
  <si>
    <t>0 [+]</t>
  </si>
  <si>
    <t>∆=7 [+]</t>
  </si>
  <si>
    <t>40 [-]</t>
  </si>
  <si>
    <t>50 [-]</t>
  </si>
  <si>
    <t>10 [+]</t>
  </si>
  <si>
    <t>Новый опорный план</t>
  </si>
  <si>
    <t>u4 + v1 = 4; 10 + v1 = 4; v1 = -6</t>
  </si>
  <si>
    <t>v1=-6</t>
  </si>
  <si>
    <t>Опорный план не является оптимальным, так как существуют оценки свободных клеток, для которых ui + vj &gt; cij (1;2) (4;4)</t>
  </si>
  <si>
    <t>∆=5 [+]</t>
  </si>
  <si>
    <t>0 [-]</t>
  </si>
  <si>
    <t>40 [+]</t>
  </si>
  <si>
    <t>10 [-]</t>
  </si>
  <si>
    <t>50 [+]</t>
  </si>
  <si>
    <t>(4,4 → 4,3 → 2,3 → 2,2 → 3,2 → 3,4)</t>
  </si>
  <si>
    <t>(4,1 → 4,3 → 2,3 → 2,2 → 3,2 → 3,4 → 1,4 → 1,1)</t>
  </si>
  <si>
    <t>v1=-1</t>
  </si>
  <si>
    <t>v2=8</t>
  </si>
  <si>
    <t>v3=8</t>
  </si>
  <si>
    <t>u2=-6</t>
  </si>
  <si>
    <t>u3=-1</t>
  </si>
  <si>
    <t>u4=5</t>
  </si>
  <si>
    <t>u5=-8</t>
  </si>
  <si>
    <t>u4 + v4 = 6; 1 + u4 = 6; u4 = 5</t>
  </si>
  <si>
    <t>u4 + v1 = 4; 5 + v1 = 4; v1 = -1</t>
  </si>
  <si>
    <t>u4 + v3 = 13; 5 + v3 = 13; v3 = 8</t>
  </si>
  <si>
    <t>u2 + v3 = 2; 8 + u2 = 2; u2 = -6</t>
  </si>
  <si>
    <t>u2 + v2 = 2; -6 + v2 = 2; v2 = 8</t>
  </si>
  <si>
    <t>u3 + v2 = 7; 8 + u3 = 7; u3 = -1</t>
  </si>
  <si>
    <t>u5 + v3 = 0; 8 + u5 = 0; u5 = -8</t>
  </si>
  <si>
    <t>Опорный план не является оптимальным, так как существуют оценки свободных клеток, для которых ui + vj &gt; cij (1;2) (1;3)</t>
  </si>
  <si>
    <t>∆=6</t>
  </si>
  <si>
    <t>∆=6 [+]</t>
  </si>
  <si>
    <t>(1,2 → 1,4 → 4,4 → 4,3 → 2,3 → 2,2)</t>
  </si>
  <si>
    <t>Опорный план не является оптимальным, так как существуют оценки свободных клеток, для которых ui + vj &gt; cij (3;4)</t>
  </si>
  <si>
    <t>u1 + v2 = 2; 0 + v2 = 2; v2 = 2</t>
  </si>
  <si>
    <t>u2 + v2 = 2; 2 + u2 = 2; u2 = 0</t>
  </si>
  <si>
    <t>u2 + v3 = 2; 0 + v3 = 2; v3 = 2</t>
  </si>
  <si>
    <t>u5 + v3 = 0; 2 + u5 = 0; u5 = -2</t>
  </si>
  <si>
    <t>u3 + v2 = 7; 2 + u3 = 7; u3 = 5</t>
  </si>
  <si>
    <t>v2=2</t>
  </si>
  <si>
    <t>v3=2</t>
  </si>
  <si>
    <t>u2=0</t>
  </si>
  <si>
    <t>u3=5</t>
  </si>
  <si>
    <t>u5=-2</t>
  </si>
  <si>
    <t>∆=1 [+]</t>
  </si>
  <si>
    <t>u3 + v4 = 5; 5 + v4 = 5; v4 = 0</t>
  </si>
  <si>
    <t>u4 + v4 = 6; 0 + u4 = 6; u4 = 6</t>
  </si>
  <si>
    <t>u4 + v1 = 4; 6 + v1 = 4; v1 = -2</t>
  </si>
  <si>
    <t>v1=-2</t>
  </si>
  <si>
    <t>v4=0</t>
  </si>
  <si>
    <t>u4=6</t>
  </si>
  <si>
    <t>Отрицательных оценок нет. План оптимален.</t>
  </si>
  <si>
    <t>z = 2*40 + 2*10 + 2*40 + 7*10 + 5*40 + 4*40 + 0*10 = 610</t>
  </si>
  <si>
    <t>Потребность 3-го магазина остается неудовлетворенной на 10 ед.</t>
  </si>
  <si>
    <t>Задача имеет множество оптимальных планов, поскольку оценка для (4;4) равна 0.</t>
  </si>
  <si>
    <t>Анализ оптимального плана.</t>
  </si>
  <si>
    <t>Оптимальный план является вырожденным, так как базисная переменная x53=0.</t>
  </si>
  <si>
    <t>2-й поставщик - груз направить в 2-й магазин (10 ед.), в 3-й магазин (40 ед.)</t>
  </si>
  <si>
    <t>1-й поставщик - весь груз направить в 2-й магазин.</t>
  </si>
  <si>
    <t>3-й поставщик - груз направить в 2-й магазин (10 ед.), в 4-й магазин (40 ед.)</t>
  </si>
  <si>
    <t>4-й поставщик - весь груз направить в 1-й магазин.</t>
  </si>
  <si>
    <t>б) на компьютере</t>
  </si>
  <si>
    <t>z =</t>
  </si>
  <si>
    <t>3. Решить транспортную задачу с дополнительными ограничениями на перевозки</t>
  </si>
  <si>
    <t>x34&lt;=20</t>
  </si>
  <si>
    <t>x12&gt;=20</t>
  </si>
  <si>
    <t>M</t>
  </si>
  <si>
    <t>v4=-2</t>
  </si>
  <si>
    <t>v5=3</t>
  </si>
  <si>
    <t>u3=7</t>
  </si>
  <si>
    <t>u4=3</t>
  </si>
  <si>
    <t>u4 + v1 = 4; 1 + u4 = 4; u4 = 3</t>
  </si>
  <si>
    <t>u4 + v5 = 6; 3 + v5 = 6; v5 = 3</t>
  </si>
  <si>
    <t>∆=2</t>
  </si>
  <si>
    <t>∆=3</t>
  </si>
  <si>
    <t>∆=4</t>
  </si>
  <si>
    <t>20 [-]</t>
  </si>
  <si>
    <t>30 [+]</t>
  </si>
  <si>
    <t>20 [+]</t>
  </si>
  <si>
    <t>m + n - 1 = 9 =&gt; опорный план является невырожденным</t>
  </si>
  <si>
    <t>z = 1*20 + 2*40 + 2*10 + 10*30 + 5*20 + 4*20 + 6*20 + 0*10 = 720</t>
  </si>
  <si>
    <t>∆=3 [+]</t>
  </si>
  <si>
    <t>30 [-]</t>
  </si>
  <si>
    <t>(3,1 → 3,3 → 5,3 → 5,5 → 4,5 → 4,1)</t>
  </si>
  <si>
    <t>u3 + v1 = 5; 1 + u3 = 5; u3 = 4</t>
  </si>
  <si>
    <t>u3 + v3 = 10; 4 + v3 = 10; v3 = 6</t>
  </si>
  <si>
    <t>u2 + v3 = 2; 6 + u2 = 2; u2 = -4</t>
  </si>
  <si>
    <t>u2 + v2 = 2; -4 + v2 = 2; v2 = 6</t>
  </si>
  <si>
    <t>u5 + v3 = 0; 6 + u5 = 0; u5 = -6</t>
  </si>
  <si>
    <t>u3 + v4 = 5; 4 + v4 = 5; v4 = 1</t>
  </si>
  <si>
    <t>v2=6</t>
  </si>
  <si>
    <t>v3=6</t>
  </si>
  <si>
    <t>u2=-4</t>
  </si>
  <si>
    <t>u5=-6</t>
  </si>
  <si>
    <t>Опорный план не является оптимальным, так как существуют оценки свободных клеток, для которых ui + vj &gt; cij (1;2) (1;3) (1;5) (3;2)</t>
  </si>
  <si>
    <t>∆=4 [+]</t>
  </si>
  <si>
    <t>(1,2 → 1,1 → 3,1 → 3,3 → 2,3 → 2,2)</t>
  </si>
  <si>
    <t>u3 + v3 = 10; 2 + u3 = 10; u3 = 8</t>
  </si>
  <si>
    <t>u3 + v1 = 5; 8 + v1 = 5; v1 = -3</t>
  </si>
  <si>
    <t>u4 + v1 = 4; -3 + u4 = 4; u4 = 7</t>
  </si>
  <si>
    <t>u4 + v5 = 6; 7 + v5 = 6; v5 = -1</t>
  </si>
  <si>
    <t>u3 + v4 = 5; 8 + v4 = 5; v4 = -3</t>
  </si>
  <si>
    <t>v1=-3</t>
  </si>
  <si>
    <t>v4=-3</t>
  </si>
  <si>
    <t>v5=-1</t>
  </si>
  <si>
    <t>u3=8</t>
  </si>
  <si>
    <t>u4=7</t>
  </si>
  <si>
    <t>Опорный план не является оптимальным, так как существуют оценки свободных клеток, для которых ui + vj &gt; cij (3;2)</t>
  </si>
  <si>
    <t>(3,2 → 3,3 → 2,3 → 2,2)</t>
  </si>
  <si>
    <t>v1=0</t>
  </si>
  <si>
    <t>v5=2</t>
  </si>
  <si>
    <t>u4=4</t>
  </si>
  <si>
    <t>Опорный план не является оптимальным, так как существуют оценки свободных клеток, для которых ui + vj &gt; cij (1;5)</t>
  </si>
  <si>
    <t>u3 + v1 = 5; 5 + v1 = 5; v1 = 0</t>
  </si>
  <si>
    <t>u4 + v1 = 4; 0 + u4 = 4; u4 = 4</t>
  </si>
  <si>
    <t>u4 + v5 = 6; 4 + v5 = 6; v5 = 2</t>
  </si>
  <si>
    <t>(1,5 → 1,2 → 3,2 → 3,1 → 4,1 → 4,5)</t>
  </si>
  <si>
    <t>v2=1</t>
  </si>
  <si>
    <t>v3=1</t>
  </si>
  <si>
    <t>v4=-1</t>
  </si>
  <si>
    <t>v5=1</t>
  </si>
  <si>
    <t>u2=1</t>
  </si>
  <si>
    <t>u3=6</t>
  </si>
  <si>
    <t>u5=-1</t>
  </si>
  <si>
    <t>u1 + v5 = 1; 0 + v5 = 1; v5 = 1</t>
  </si>
  <si>
    <t>u4 + v5 = 6; 1 + u4 = 6; u4 = 5</t>
  </si>
  <si>
    <t>u3 + v1 = 5; -1 + u3 = 5; u3 = 6</t>
  </si>
  <si>
    <t>u3 + v2 = 7; 6 + v2 = 7; v2 = 1</t>
  </si>
  <si>
    <t>u2 + v2 = 2; 1 + u2 = 2; u2 = 1</t>
  </si>
  <si>
    <t>u2 + v3 = 2; 1 + v3 = 2; v3 = 1</t>
  </si>
  <si>
    <t>u5 + v3 = 0; 1 + u5 = 0; u5 = -1</t>
  </si>
  <si>
    <t>u3 + v4 = 5; 6 + v4 = 5; v4 = -1</t>
  </si>
  <si>
    <t>z = 1*20 + 2*10 + 2*40 + 7*30 + 5*20 + 4*40 + 0*10 = 590</t>
  </si>
  <si>
    <t>1-й поставщик - весь груз направить в 5-й магазин.</t>
  </si>
  <si>
    <t>3-й поставщик - груз направить в 2-й магазин (30 ед.), в 4-й магазин (20 ед.)</t>
  </si>
  <si>
    <t>Задача имеет множество оптимальных планов, поскольку оценка для (3;1), (4;5) равна 0.</t>
  </si>
  <si>
    <t>С учетом граничений (x12&gt;=20, x34&lt;=20)</t>
  </si>
  <si>
    <t>z = 2*20 + 1*20 + 2*10 + 2*40 + 7*30 + 5*20 + 4*40 = 630</t>
  </si>
  <si>
    <t>1. Определить оптимальную схему прикрепления потребителей к перевалочным базам и перевалочных баз к поставщикам на основе решения двухэтапной транспортной задачи</t>
  </si>
  <si>
    <t>z = 14*x11 + 18*x12 + 16*x21 + 12*x22 + 10*x31 + 14*x32 + 8*x11 + 6*x12 + 4*x13 + 2*x14 + 10*x21 + 8*x22 + 6*x23 + 3*x24 -&gt; min</t>
  </si>
  <si>
    <t>m=3</t>
  </si>
  <si>
    <t>p=2</t>
  </si>
  <si>
    <t>n=4</t>
  </si>
  <si>
    <t>А1</t>
  </si>
  <si>
    <t>А2</t>
  </si>
  <si>
    <t>Д1</t>
  </si>
  <si>
    <t>Д2</t>
  </si>
  <si>
    <t>А3</t>
  </si>
  <si>
    <t>В1</t>
  </si>
  <si>
    <t>В2</t>
  </si>
  <si>
    <t>В3</t>
  </si>
  <si>
    <t>В4</t>
  </si>
  <si>
    <t>Матрица тарифов</t>
  </si>
  <si>
    <t>Поставщики-промежуточные базы (тарифы)</t>
  </si>
  <si>
    <t>Базы-потребители (тарифы)</t>
  </si>
  <si>
    <t>x11 + x21 + x31 &lt;= 350</t>
  </si>
  <si>
    <t>x12 + x22 + x32 &lt;= 450</t>
  </si>
  <si>
    <t>Решение на компьютере</t>
  </si>
  <si>
    <t>2. Сравнить полученное решение с решением путем раздельного прикрепления потребителей к базам и баз к поставщикам</t>
  </si>
  <si>
    <t>m + n - 1 = 5 =&gt; опорный план является невырожденным</t>
  </si>
  <si>
    <t>z = 14*250 + 18*90 + 12*150 + 10*100 + 0*210 = 7920</t>
  </si>
  <si>
    <t>u1 + v1 = 14; 0 + v1 = 14; v1 = 14</t>
  </si>
  <si>
    <t>u3 + v1 = 10; 14 + u3 = 10; u3 = -4</t>
  </si>
  <si>
    <t>u1 + v2 = 18; 0 + v2 = 18; v2 = 18</t>
  </si>
  <si>
    <t>u2 + v2 = 12; 18 + u2 = 12; u2 = -6</t>
  </si>
  <si>
    <t>u4 + v2 = 0; 18 + u4 = 0; u4 = -18</t>
  </si>
  <si>
    <t>v1=14</t>
  </si>
  <si>
    <t>v2=18</t>
  </si>
  <si>
    <t>u3=-4</t>
  </si>
  <si>
    <t>u4=-18</t>
  </si>
  <si>
    <t>Опорный план является оптимальным, так все оценки свободных клеток удовлетворяют условию ui + vj ≤ cij.</t>
  </si>
  <si>
    <t>Потребность 2-й базы остается неудовлетворенной на 210 ед.</t>
  </si>
  <si>
    <t>2-й поставщик - весь груз направить в 2-ую базу.</t>
  </si>
  <si>
    <t>3-й поставщик - весь груз направить в 1-ую базу.</t>
  </si>
  <si>
    <t>m + n - 1 = 6 =&gt; опорный план является невырожденным</t>
  </si>
  <si>
    <t>z = 6*120 + 4*130 + 2*100 + 10*200 + 8*40 + 0*210 = 3760</t>
  </si>
  <si>
    <t>u1 + v2 = 6; 0 + v2 = 6; v2 = 6</t>
  </si>
  <si>
    <t>u2 + v2 = 8; 6 + u2 = 8; u2 = 2</t>
  </si>
  <si>
    <t>u2 + v1 = 10; 2 + v1 = 10; v1 = 8</t>
  </si>
  <si>
    <t>u2 + v5 = 0; 2 + v5 = 0; v5 = -2</t>
  </si>
  <si>
    <t>u1 + v3 = 4; 0 + v3 = 4; v3 = 4</t>
  </si>
  <si>
    <t>u1 + v4 = 2; 0 + v4 = 2; v4 = 2</t>
  </si>
  <si>
    <t>v1=8</t>
  </si>
  <si>
    <t>v3=4</t>
  </si>
  <si>
    <t>v5=-2</t>
  </si>
  <si>
    <t>u2=2</t>
  </si>
  <si>
    <t>v4=2</t>
  </si>
  <si>
    <t>Опорный план не является оптимальным, так как существуют оценки свободных клеток, для которых ui + vj &gt; cij (2;4)</t>
  </si>
  <si>
    <t>100 [-]</t>
  </si>
  <si>
    <t>120 [+]</t>
  </si>
  <si>
    <t>(2,4 → 2,2 → 1,2 → 1,4)</t>
  </si>
  <si>
    <t>u2 + v4 = 3; 2 + u2 = 3; u2 = 1</t>
  </si>
  <si>
    <t>u2 + v1 = 10; 1 + v1 = 10; v1 = 9</t>
  </si>
  <si>
    <t>u2 + v5 = 0; 1 + v5 = 0; v5 = -1</t>
  </si>
  <si>
    <t>v1=9</t>
  </si>
  <si>
    <t>Опорный план не является оптимальным, так как существуют оценки свободных клеток, для которых ui + vj &gt; cij (1;1)</t>
  </si>
  <si>
    <t>60 [-]</t>
  </si>
  <si>
    <t>200 [-]</t>
  </si>
  <si>
    <t>(1,1 → 1,4 → 2,4 → 2,1)</t>
  </si>
  <si>
    <t>u1 + v1 = 8; 0 + v1 = 8; v1 = 8</t>
  </si>
  <si>
    <t>u2 + v1 = 10; 8 + u2 = 10; u2 = 2</t>
  </si>
  <si>
    <t>u2 + v4 = 3; 2 + v4 = 3; v4 = 1</t>
  </si>
  <si>
    <t>z = 8*60 + 6*160 + 4*130 + 10*140 + 3*100 + 0*210 = 3660</t>
  </si>
  <si>
    <t>1-й поставщик - 250 ед. груза направить в 1-ую базу, в 2-ую базу - 90 ед.</t>
  </si>
  <si>
    <t>1-я база - 60 ед. груза направить 1-му потребителю, 2-му потребителю - 160 ед., 3-му потребителю - 130 ед.</t>
  </si>
  <si>
    <t>2-я база - 140 ед. груза направить 1-му потребителю, 4-му потребителю - 100 ед.</t>
  </si>
  <si>
    <t>Полученное решение на основе двухэтапной транспортной задачи с применением надстройки "Поиск решения" совпадает с решением путем раздельного прикрепления потребителей к базам и баз к поставщикам, как в оптимальном плане, так и в значении целевой функции</t>
  </si>
  <si>
    <t>Лашкин Владислав</t>
  </si>
  <si>
    <t>гр. 251001</t>
  </si>
  <si>
    <t>x11 + x12 + x13 + x14 = 40</t>
  </si>
  <si>
    <t>x21 + x22 + x23 + x24 = 50</t>
  </si>
  <si>
    <t>x31 + x32 + x33 + x34 = 50</t>
  </si>
  <si>
    <t>x41 + x42 + x43 + x44 = 40</t>
  </si>
  <si>
    <t>x11 + x21 + x31 + x41 &lt;= 40</t>
  </si>
  <si>
    <t>x12 + x22 + x32 + x42 &lt;= 60</t>
  </si>
  <si>
    <t>x13 + x23 + x33 + x43 &lt;= 50</t>
  </si>
  <si>
    <t>x14 + x24 + x34 + x44 &lt;= 40</t>
  </si>
  <si>
    <t>x11 + x12 = 340</t>
  </si>
  <si>
    <t>x21 + x22 = 150</t>
  </si>
  <si>
    <t>x31 + x32 = 100</t>
  </si>
  <si>
    <t>x11 + x21 = 200</t>
  </si>
  <si>
    <t>x12 + x22 = 160</t>
  </si>
  <si>
    <t>x13 + x23 = 130</t>
  </si>
  <si>
    <t>x14 + x24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</si>
</sst>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sz val="11"/>
      <color theme="1"/>
      <name val="Calibri"/>
      <family val="2"/>
      <charset val="204"/>
      <scheme val="minor"/>
    </font>
    <font>
      <sz val="10"/>
      <color rgb="FF000000"/>
      <name val="Arial Black"/>
      <family val="2"/>
    </font>
    <font>
      <sz val="8"/>
      <color rgb="FF333333"/>
      <name val="Arial"/>
      <family val="2"/>
    </font>
    <font>
      <sz val="10"/>
      <color rgb="FF333333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6">
    <xf numFmtId="0" fontId="0" fillId="0" borderId="0" xfId="0"/>
    <xf numFmtId="0" fontId="1" fillId="0" borderId="0" xfId="0" applyFont="1"/>
    <xf numFmtId="0" fontId="1" fillId="0" borderId="0" xfId="1" applyFont="1"/>
    <xf numFmtId="0" fontId="1" fillId="0" borderId="0" xfId="1" applyFont="1" applyBorder="1" applyAlignment="1">
      <alignment wrapText="1"/>
    </xf>
    <xf numFmtId="0" fontId="1" fillId="0" borderId="0" xfId="0" applyFont="1" applyBorder="1"/>
    <xf numFmtId="0" fontId="1" fillId="0" borderId="7" xfId="1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1" applyFont="1" applyBorder="1" applyAlignment="1">
      <alignment wrapText="1"/>
    </xf>
    <xf numFmtId="0" fontId="1" fillId="0" borderId="11" xfId="0" applyFont="1" applyBorder="1"/>
    <xf numFmtId="0" fontId="1" fillId="0" borderId="11" xfId="1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3" borderId="6" xfId="1" applyFont="1" applyFill="1" applyBorder="1" applyAlignment="1">
      <alignment wrapText="1"/>
    </xf>
    <xf numFmtId="0" fontId="1" fillId="3" borderId="3" xfId="0" applyFont="1" applyFill="1" applyBorder="1" applyAlignment="1">
      <alignment horizontal="left"/>
    </xf>
    <xf numFmtId="0" fontId="1" fillId="4" borderId="6" xfId="1" applyFont="1" applyFill="1" applyBorder="1" applyAlignment="1">
      <alignment wrapText="1"/>
    </xf>
    <xf numFmtId="0" fontId="1" fillId="4" borderId="3" xfId="0" applyFont="1" applyFill="1" applyBorder="1" applyAlignment="1">
      <alignment horizontal="left"/>
    </xf>
    <xf numFmtId="0" fontId="1" fillId="4" borderId="11" xfId="1" applyFont="1" applyFill="1" applyBorder="1" applyAlignment="1">
      <alignment wrapText="1"/>
    </xf>
    <xf numFmtId="0" fontId="1" fillId="3" borderId="11" xfId="1" applyFont="1" applyFill="1" applyBorder="1" applyAlignment="1">
      <alignment wrapText="1"/>
    </xf>
    <xf numFmtId="0" fontId="1" fillId="0" borderId="6" xfId="1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1" fillId="0" borderId="11" xfId="1" applyFont="1" applyFill="1" applyBorder="1" applyAlignment="1">
      <alignment wrapText="1"/>
    </xf>
    <xf numFmtId="0" fontId="3" fillId="5" borderId="1" xfId="1" applyFont="1" applyFill="1" applyBorder="1" applyAlignment="1">
      <alignment wrapText="1"/>
    </xf>
    <xf numFmtId="0" fontId="3" fillId="5" borderId="9" xfId="1" applyFont="1" applyFill="1" applyBorder="1" applyAlignment="1">
      <alignment wrapText="1"/>
    </xf>
    <xf numFmtId="0" fontId="1" fillId="0" borderId="10" xfId="0" applyFont="1" applyBorder="1"/>
    <xf numFmtId="0" fontId="1" fillId="0" borderId="9" xfId="0" applyFont="1" applyBorder="1"/>
    <xf numFmtId="0" fontId="1" fillId="0" borderId="6" xfId="0" applyFont="1" applyBorder="1"/>
    <xf numFmtId="0" fontId="3" fillId="0" borderId="0" xfId="1" applyFont="1" applyFill="1" applyBorder="1" applyAlignment="1">
      <alignment wrapText="1"/>
    </xf>
    <xf numFmtId="0" fontId="3" fillId="5" borderId="6" xfId="1" applyFont="1" applyFill="1" applyBorder="1" applyAlignment="1">
      <alignment wrapText="1"/>
    </xf>
    <xf numFmtId="0" fontId="1" fillId="3" borderId="3" xfId="0" applyFont="1" applyFill="1" applyBorder="1"/>
    <xf numFmtId="0" fontId="1" fillId="3" borderId="11" xfId="0" applyFont="1" applyFill="1" applyBorder="1"/>
    <xf numFmtId="0" fontId="1" fillId="3" borderId="6" xfId="0" applyFont="1" applyFill="1" applyBorder="1"/>
    <xf numFmtId="0" fontId="1" fillId="4" borderId="11" xfId="0" applyFont="1" applyFill="1" applyBorder="1"/>
    <xf numFmtId="0" fontId="1" fillId="4" borderId="6" xfId="0" applyFont="1" applyFill="1" applyBorder="1"/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1" xfId="1" applyFont="1" applyBorder="1" applyAlignment="1">
      <alignment wrapText="1"/>
    </xf>
    <xf numFmtId="0" fontId="1" fillId="6" borderId="1" xfId="0" applyFont="1" applyFill="1" applyBorder="1" applyAlignme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6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3" borderId="7" xfId="1" applyFont="1" applyFill="1" applyBorder="1" applyAlignment="1">
      <alignment wrapText="1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/>
    <xf numFmtId="0" fontId="1" fillId="3" borderId="4" xfId="0" applyFont="1" applyFill="1" applyBorder="1"/>
    <xf numFmtId="0" fontId="1" fillId="0" borderId="11" xfId="0" applyFont="1" applyFill="1" applyBorder="1" applyAlignment="1">
      <alignment horizontal="left"/>
    </xf>
    <xf numFmtId="0" fontId="1" fillId="0" borderId="10" xfId="0" applyFont="1" applyFill="1" applyBorder="1"/>
    <xf numFmtId="0" fontId="1" fillId="0" borderId="4" xfId="0" applyFont="1" applyFill="1" applyBorder="1"/>
    <xf numFmtId="0" fontId="1" fillId="3" borderId="9" xfId="0" applyFont="1" applyFill="1" applyBorder="1"/>
    <xf numFmtId="0" fontId="1" fillId="3" borderId="5" xfId="0" applyFont="1" applyFill="1" applyBorder="1"/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4" xfId="0" applyFont="1" applyFill="1" applyBorder="1" applyAlignment="1">
      <alignment horizontal="left"/>
    </xf>
    <xf numFmtId="0" fontId="1" fillId="4" borderId="9" xfId="0" applyFont="1" applyFill="1" applyBorder="1"/>
    <xf numFmtId="0" fontId="1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0" xfId="0" applyFont="1" applyFill="1"/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0" borderId="0" xfId="0" applyFont="1" applyFill="1" applyAlignment="1"/>
    <xf numFmtId="0" fontId="1" fillId="0" borderId="0" xfId="1" applyFont="1" applyFill="1" applyBorder="1" applyAlignment="1">
      <alignment wrapText="1"/>
    </xf>
    <xf numFmtId="0" fontId="1" fillId="7" borderId="6" xfId="0" applyNumberFormat="1" applyFont="1" applyFill="1" applyBorder="1" applyAlignment="1">
      <alignment horizontal="left"/>
    </xf>
    <xf numFmtId="0" fontId="1" fillId="0" borderId="3" xfId="0" applyNumberFormat="1" applyFont="1" applyBorder="1" applyAlignment="1">
      <alignment horizontal="left"/>
    </xf>
    <xf numFmtId="0" fontId="1" fillId="7" borderId="6" xfId="0" applyNumberFormat="1" applyFont="1" applyFill="1" applyBorder="1" applyAlignment="1">
      <alignment horizontal="right"/>
    </xf>
    <xf numFmtId="0" fontId="1" fillId="0" borderId="6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right"/>
    </xf>
    <xf numFmtId="0" fontId="1" fillId="3" borderId="6" xfId="0" applyNumberFormat="1" applyFont="1" applyFill="1" applyBorder="1" applyAlignment="1">
      <alignment horizontal="right"/>
    </xf>
    <xf numFmtId="0" fontId="1" fillId="3" borderId="3" xfId="0" applyNumberFormat="1" applyFont="1" applyFill="1" applyBorder="1" applyAlignment="1">
      <alignment horizontal="left"/>
    </xf>
    <xf numFmtId="0" fontId="1" fillId="4" borderId="11" xfId="0" applyNumberFormat="1" applyFont="1" applyFill="1" applyBorder="1" applyAlignment="1">
      <alignment horizontal="right"/>
    </xf>
    <xf numFmtId="0" fontId="1" fillId="4" borderId="3" xfId="0" applyNumberFormat="1" applyFont="1" applyFill="1" applyBorder="1" applyAlignment="1">
      <alignment horizontal="left"/>
    </xf>
    <xf numFmtId="0" fontId="3" fillId="0" borderId="0" xfId="1" applyFont="1" applyFill="1" applyBorder="1" applyAlignment="1"/>
    <xf numFmtId="0" fontId="1" fillId="0" borderId="0" xfId="0" applyFont="1" applyAlignment="1">
      <alignment vertical="top" wrapText="1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center"/>
    </xf>
  </cellXfs>
  <cellStyles count="2">
    <cellStyle name="Normal" xfId="0" builtinId="0"/>
    <cellStyle name="Normal 2" xfId="1" xr:uid="{466E1C6A-CFDD-494A-8068-6F4078A7D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448163</xdr:colOff>
      <xdr:row>8</xdr:row>
      <xdr:rowOff>179296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94E68-13B1-4414-B464-5633823B7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40"/>
          <a:ext cx="3496163" cy="16194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</xdr:row>
      <xdr:rowOff>44174</xdr:rowOff>
    </xdr:from>
    <xdr:to>
      <xdr:col>3</xdr:col>
      <xdr:colOff>519431</xdr:colOff>
      <xdr:row>14</xdr:row>
      <xdr:rowOff>45444</xdr:rowOff>
    </xdr:to>
    <xdr:pic>
      <xdr:nvPicPr>
        <xdr:cNvPr id="3" name="Рисунок 3">
          <a:extLst>
            <a:ext uri="{FF2B5EF4-FFF2-40B4-BE49-F238E27FC236}">
              <a16:creationId xmlns:a16="http://schemas.microsoft.com/office/drawing/2014/main" id="{33C3E354-65BD-4B46-BD79-B680AFEAAE5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142435"/>
          <a:ext cx="2341604" cy="840574"/>
        </a:xfrm>
        <a:prstGeom prst="rect">
          <a:avLst/>
        </a:prstGeom>
      </xdr:spPr>
    </xdr:pic>
    <xdr:clientData/>
  </xdr:twoCellAnchor>
  <xdr:twoCellAnchor>
    <xdr:from>
      <xdr:col>37</xdr:col>
      <xdr:colOff>452783</xdr:colOff>
      <xdr:row>27</xdr:row>
      <xdr:rowOff>22087</xdr:rowOff>
    </xdr:from>
    <xdr:to>
      <xdr:col>38</xdr:col>
      <xdr:colOff>287131</xdr:colOff>
      <xdr:row>28</xdr:row>
      <xdr:rowOff>154609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90F176F-6075-4680-A098-CC88DB888D65}"/>
            </a:ext>
          </a:extLst>
        </xdr:cNvPr>
        <xdr:cNvCxnSpPr/>
      </xdr:nvCxnSpPr>
      <xdr:spPr>
        <a:xfrm>
          <a:off x="22992522" y="5687391"/>
          <a:ext cx="441739" cy="34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397566</xdr:colOff>
      <xdr:row>29</xdr:row>
      <xdr:rowOff>0</xdr:rowOff>
    </xdr:from>
    <xdr:to>
      <xdr:col>40</xdr:col>
      <xdr:colOff>342348</xdr:colOff>
      <xdr:row>30</xdr:row>
      <xdr:rowOff>110434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474F8-F6AC-4FFF-A25E-C5B5D7839FC0}"/>
            </a:ext>
          </a:extLst>
        </xdr:cNvPr>
        <xdr:cNvCxnSpPr/>
      </xdr:nvCxnSpPr>
      <xdr:spPr>
        <a:xfrm>
          <a:off x="23544696" y="6084957"/>
          <a:ext cx="1159565" cy="320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309218</xdr:colOff>
      <xdr:row>30</xdr:row>
      <xdr:rowOff>198782</xdr:rowOff>
    </xdr:from>
    <xdr:to>
      <xdr:col>40</xdr:col>
      <xdr:colOff>187739</xdr:colOff>
      <xdr:row>30</xdr:row>
      <xdr:rowOff>198782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06DEA1B-7EBB-4991-9A90-45077059CE33}"/>
            </a:ext>
          </a:extLst>
        </xdr:cNvPr>
        <xdr:cNvCxnSpPr/>
      </xdr:nvCxnSpPr>
      <xdr:spPr>
        <a:xfrm flipH="1">
          <a:off x="23456348" y="6493565"/>
          <a:ext cx="10933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441740</xdr:colOff>
      <xdr:row>31</xdr:row>
      <xdr:rowOff>66261</xdr:rowOff>
    </xdr:from>
    <xdr:to>
      <xdr:col>39</xdr:col>
      <xdr:colOff>358588</xdr:colOff>
      <xdr:row>33</xdr:row>
      <xdr:rowOff>71717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51D52B4-532F-4CDA-831A-803EF5E31271}"/>
            </a:ext>
          </a:extLst>
        </xdr:cNvPr>
        <xdr:cNvCxnSpPr/>
      </xdr:nvCxnSpPr>
      <xdr:spPr>
        <a:xfrm>
          <a:off x="23669293" y="6458096"/>
          <a:ext cx="526448" cy="4178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353392</xdr:colOff>
      <xdr:row>33</xdr:row>
      <xdr:rowOff>110435</xdr:rowOff>
    </xdr:from>
    <xdr:to>
      <xdr:col>39</xdr:col>
      <xdr:colOff>358140</xdr:colOff>
      <xdr:row>35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1BB6C4B-9663-469A-9951-C1B0372E8BAE}"/>
            </a:ext>
          </a:extLst>
        </xdr:cNvPr>
        <xdr:cNvCxnSpPr/>
      </xdr:nvCxnSpPr>
      <xdr:spPr>
        <a:xfrm>
          <a:off x="24188752" y="6899855"/>
          <a:ext cx="4748" cy="430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324787</xdr:colOff>
      <xdr:row>274</xdr:row>
      <xdr:rowOff>124918</xdr:rowOff>
    </xdr:from>
    <xdr:to>
      <xdr:col>51</xdr:col>
      <xdr:colOff>362263</xdr:colOff>
      <xdr:row>277</xdr:row>
      <xdr:rowOff>24984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47D4176-5464-4F4B-8492-26A17B93214E}"/>
            </a:ext>
          </a:extLst>
        </xdr:cNvPr>
        <xdr:cNvCxnSpPr/>
      </xdr:nvCxnSpPr>
      <xdr:spPr>
        <a:xfrm>
          <a:off x="30992164" y="54888984"/>
          <a:ext cx="649574" cy="499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499673</xdr:colOff>
      <xdr:row>276</xdr:row>
      <xdr:rowOff>137410</xdr:rowOff>
    </xdr:from>
    <xdr:to>
      <xdr:col>52</xdr:col>
      <xdr:colOff>312295</xdr:colOff>
      <xdr:row>277</xdr:row>
      <xdr:rowOff>37476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AAEABD8-E3DF-4A84-ADF6-20EC535D57A6}"/>
            </a:ext>
          </a:extLst>
        </xdr:cNvPr>
        <xdr:cNvCxnSpPr/>
      </xdr:nvCxnSpPr>
      <xdr:spPr>
        <a:xfrm flipV="1">
          <a:off x="31779148" y="55301213"/>
          <a:ext cx="424721" cy="999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362262</xdr:colOff>
      <xdr:row>276</xdr:row>
      <xdr:rowOff>174886</xdr:rowOff>
    </xdr:from>
    <xdr:to>
      <xdr:col>52</xdr:col>
      <xdr:colOff>462196</xdr:colOff>
      <xdr:row>280</xdr:row>
      <xdr:rowOff>124918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E255201-F048-45A0-84B2-1927CD2D805B}"/>
            </a:ext>
          </a:extLst>
        </xdr:cNvPr>
        <xdr:cNvCxnSpPr/>
      </xdr:nvCxnSpPr>
      <xdr:spPr>
        <a:xfrm flipH="1">
          <a:off x="31029639" y="55338689"/>
          <a:ext cx="1324131" cy="7495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387246</xdr:colOff>
      <xdr:row>278</xdr:row>
      <xdr:rowOff>187377</xdr:rowOff>
    </xdr:from>
    <xdr:to>
      <xdr:col>53</xdr:col>
      <xdr:colOff>387246</xdr:colOff>
      <xdr:row>281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68A7760-A3B1-4451-9395-0A5542BE373E}"/>
            </a:ext>
          </a:extLst>
        </xdr:cNvPr>
        <xdr:cNvCxnSpPr/>
      </xdr:nvCxnSpPr>
      <xdr:spPr>
        <a:xfrm flipV="1">
          <a:off x="31054623" y="55750918"/>
          <a:ext cx="1836295" cy="412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537148</xdr:colOff>
      <xdr:row>279</xdr:row>
      <xdr:rowOff>74951</xdr:rowOff>
    </xdr:from>
    <xdr:to>
      <xdr:col>54</xdr:col>
      <xdr:colOff>362263</xdr:colOff>
      <xdr:row>280</xdr:row>
      <xdr:rowOff>174885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4931EDA-71D7-4165-95E4-0E13A4BBD531}"/>
            </a:ext>
          </a:extLst>
        </xdr:cNvPr>
        <xdr:cNvCxnSpPr/>
      </xdr:nvCxnSpPr>
      <xdr:spPr>
        <a:xfrm>
          <a:off x="33040820" y="55838361"/>
          <a:ext cx="437213" cy="2998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387246</xdr:colOff>
      <xdr:row>278</xdr:row>
      <xdr:rowOff>174885</xdr:rowOff>
    </xdr:from>
    <xdr:to>
      <xdr:col>54</xdr:col>
      <xdr:colOff>287312</xdr:colOff>
      <xdr:row>281</xdr:row>
      <xdr:rowOff>124918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5A45E67-81E4-41A1-AE29-10322DB3EBFC}"/>
            </a:ext>
          </a:extLst>
        </xdr:cNvPr>
        <xdr:cNvCxnSpPr/>
      </xdr:nvCxnSpPr>
      <xdr:spPr>
        <a:xfrm flipH="1" flipV="1">
          <a:off x="32278820" y="55738426"/>
          <a:ext cx="1124262" cy="549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212360</xdr:colOff>
      <xdr:row>278</xdr:row>
      <xdr:rowOff>124918</xdr:rowOff>
    </xdr:from>
    <xdr:to>
      <xdr:col>52</xdr:col>
      <xdr:colOff>337278</xdr:colOff>
      <xdr:row>283</xdr:row>
      <xdr:rowOff>24984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207B1EB-82B2-47FA-94AA-053956D905BA}"/>
            </a:ext>
          </a:extLst>
        </xdr:cNvPr>
        <xdr:cNvCxnSpPr/>
      </xdr:nvCxnSpPr>
      <xdr:spPr>
        <a:xfrm>
          <a:off x="32103934" y="55688459"/>
          <a:ext cx="124918" cy="899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26505</xdr:colOff>
      <xdr:row>7</xdr:row>
      <xdr:rowOff>46381</xdr:rowOff>
    </xdr:from>
    <xdr:to>
      <xdr:col>14</xdr:col>
      <xdr:colOff>53009</xdr:colOff>
      <xdr:row>11</xdr:row>
      <xdr:rowOff>14437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CEB43-A4AA-4821-AD8B-3D50A87B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5" y="1484242"/>
          <a:ext cx="8560904" cy="789691"/>
        </a:xfrm>
        <a:prstGeom prst="rect">
          <a:avLst/>
        </a:prstGeom>
      </xdr:spPr>
    </xdr:pic>
    <xdr:clientData/>
  </xdr:twoCellAnchor>
  <xdr:twoCellAnchor editAs="oneCell">
    <xdr:from>
      <xdr:col>0</xdr:col>
      <xdr:colOff>211178</xdr:colOff>
      <xdr:row>14</xdr:row>
      <xdr:rowOff>46439</xdr:rowOff>
    </xdr:from>
    <xdr:to>
      <xdr:col>2</xdr:col>
      <xdr:colOff>418997</xdr:colOff>
      <xdr:row>20</xdr:row>
      <xdr:rowOff>51596</xdr:rowOff>
    </xdr:to>
    <xdr:pic>
      <xdr:nvPicPr>
        <xdr:cNvPr id="3" name="Рисунок 12">
          <a:extLst>
            <a:ext uri="{FF2B5EF4-FFF2-40B4-BE49-F238E27FC236}">
              <a16:creationId xmlns:a16="http://schemas.microsoft.com/office/drawing/2014/main" id="{2B4D9402-1CE6-432A-B2D9-80E536C2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178" y="2933074"/>
          <a:ext cx="1427019" cy="12422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26504</xdr:rowOff>
    </xdr:from>
    <xdr:to>
      <xdr:col>14</xdr:col>
      <xdr:colOff>58349</xdr:colOff>
      <xdr:row>7</xdr:row>
      <xdr:rowOff>13422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BC3C49-0ED1-4C7A-B67F-85A2ECE1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1913"/>
          <a:ext cx="8592749" cy="1219370"/>
        </a:xfrm>
        <a:prstGeom prst="rect">
          <a:avLst/>
        </a:prstGeom>
      </xdr:spPr>
    </xdr:pic>
    <xdr:clientData/>
  </xdr:twoCellAnchor>
  <xdr:twoCellAnchor>
    <xdr:from>
      <xdr:col>21</xdr:col>
      <xdr:colOff>457200</xdr:colOff>
      <xdr:row>55</xdr:row>
      <xdr:rowOff>43543</xdr:rowOff>
    </xdr:from>
    <xdr:to>
      <xdr:col>22</xdr:col>
      <xdr:colOff>468086</xdr:colOff>
      <xdr:row>57</xdr:row>
      <xdr:rowOff>54429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1EE62B9-4AC9-4586-935A-9ED3E1812A6B}"/>
            </a:ext>
          </a:extLst>
        </xdr:cNvPr>
        <xdr:cNvCxnSpPr/>
      </xdr:nvCxnSpPr>
      <xdr:spPr>
        <a:xfrm flipV="1">
          <a:off x="13258800" y="11582400"/>
          <a:ext cx="620486" cy="4245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391886</xdr:colOff>
      <xdr:row>53</xdr:row>
      <xdr:rowOff>0</xdr:rowOff>
    </xdr:from>
    <xdr:to>
      <xdr:col>22</xdr:col>
      <xdr:colOff>293914</xdr:colOff>
      <xdr:row>54</xdr:row>
      <xdr:rowOff>97971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79CEAB2-632D-4353-8937-6825CD47EF4C}"/>
            </a:ext>
          </a:extLst>
        </xdr:cNvPr>
        <xdr:cNvCxnSpPr/>
      </xdr:nvCxnSpPr>
      <xdr:spPr>
        <a:xfrm flipH="1" flipV="1">
          <a:off x="13193486" y="11125200"/>
          <a:ext cx="511628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195943</xdr:colOff>
      <xdr:row>52</xdr:row>
      <xdr:rowOff>108858</xdr:rowOff>
    </xdr:from>
    <xdr:to>
      <xdr:col>22</xdr:col>
      <xdr:colOff>337457</xdr:colOff>
      <xdr:row>52</xdr:row>
      <xdr:rowOff>130629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EE0520E-3DE4-416C-B268-5D83242257B1}"/>
            </a:ext>
          </a:extLst>
        </xdr:cNvPr>
        <xdr:cNvCxnSpPr/>
      </xdr:nvCxnSpPr>
      <xdr:spPr>
        <a:xfrm flipV="1">
          <a:off x="12997543" y="11027229"/>
          <a:ext cx="7511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337457</xdr:colOff>
      <xdr:row>53</xdr:row>
      <xdr:rowOff>21771</xdr:rowOff>
    </xdr:from>
    <xdr:to>
      <xdr:col>22</xdr:col>
      <xdr:colOff>446314</xdr:colOff>
      <xdr:row>59</xdr:row>
      <xdr:rowOff>119743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A2AED9E-54D7-4477-92D4-FB397353A4B9}"/>
            </a:ext>
          </a:extLst>
        </xdr:cNvPr>
        <xdr:cNvCxnSpPr/>
      </xdr:nvCxnSpPr>
      <xdr:spPr>
        <a:xfrm>
          <a:off x="13748657" y="11146971"/>
          <a:ext cx="108857" cy="1338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435429</xdr:colOff>
      <xdr:row>96</xdr:row>
      <xdr:rowOff>195942</xdr:rowOff>
    </xdr:from>
    <xdr:to>
      <xdr:col>46</xdr:col>
      <xdr:colOff>348343</xdr:colOff>
      <xdr:row>96</xdr:row>
      <xdr:rowOff>195942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89DFB65-5E7A-4546-A920-BF90C2E4C036}"/>
            </a:ext>
          </a:extLst>
        </xdr:cNvPr>
        <xdr:cNvCxnSpPr/>
      </xdr:nvCxnSpPr>
      <xdr:spPr>
        <a:xfrm flipH="1">
          <a:off x="27867429" y="20214771"/>
          <a:ext cx="5225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337457</xdr:colOff>
      <xdr:row>97</xdr:row>
      <xdr:rowOff>0</xdr:rowOff>
    </xdr:from>
    <xdr:to>
      <xdr:col>45</xdr:col>
      <xdr:colOff>283029</xdr:colOff>
      <xdr:row>97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E71F150-33AB-4E0C-9F00-421ED9F14BFC}"/>
            </a:ext>
          </a:extLst>
        </xdr:cNvPr>
        <xdr:cNvCxnSpPr/>
      </xdr:nvCxnSpPr>
      <xdr:spPr>
        <a:xfrm flipH="1">
          <a:off x="27159857" y="20225657"/>
          <a:ext cx="55517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97</xdr:row>
      <xdr:rowOff>10886</xdr:rowOff>
    </xdr:from>
    <xdr:to>
      <xdr:col>44</xdr:col>
      <xdr:colOff>402771</xdr:colOff>
      <xdr:row>98</xdr:row>
      <xdr:rowOff>163285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3BB3376-516B-4194-A45F-56882C8E6DEC}"/>
            </a:ext>
          </a:extLst>
        </xdr:cNvPr>
        <xdr:cNvCxnSpPr/>
      </xdr:nvCxnSpPr>
      <xdr:spPr>
        <a:xfrm>
          <a:off x="26974800" y="20236543"/>
          <a:ext cx="250371" cy="359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195943</xdr:colOff>
      <xdr:row>98</xdr:row>
      <xdr:rowOff>108857</xdr:rowOff>
    </xdr:from>
    <xdr:to>
      <xdr:col>44</xdr:col>
      <xdr:colOff>261257</xdr:colOff>
      <xdr:row>98</xdr:row>
      <xdr:rowOff>130628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4D0EB3D-D16D-4B2E-A96E-0CFD34F20349}"/>
            </a:ext>
          </a:extLst>
        </xdr:cNvPr>
        <xdr:cNvCxnSpPr/>
      </xdr:nvCxnSpPr>
      <xdr:spPr>
        <a:xfrm flipH="1">
          <a:off x="26408743" y="20541343"/>
          <a:ext cx="6749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424543</xdr:colOff>
      <xdr:row>98</xdr:row>
      <xdr:rowOff>152400</xdr:rowOff>
    </xdr:from>
    <xdr:to>
      <xdr:col>47</xdr:col>
      <xdr:colOff>337457</xdr:colOff>
      <xdr:row>99</xdr:row>
      <xdr:rowOff>97972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938E2C9-0A81-4EA5-A654-92F4671EC031}"/>
            </a:ext>
          </a:extLst>
        </xdr:cNvPr>
        <xdr:cNvCxnSpPr/>
      </xdr:nvCxnSpPr>
      <xdr:spPr>
        <a:xfrm flipV="1">
          <a:off x="26637343" y="20584886"/>
          <a:ext cx="2351314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4"/>
  <sheetViews>
    <sheetView tabSelected="1" zoomScale="85" zoomScaleNormal="85" workbookViewId="0">
      <selection activeCell="L19" sqref="L19"/>
    </sheetView>
  </sheetViews>
  <sheetFormatPr defaultRowHeight="16.2" x14ac:dyDescent="0.4"/>
  <cols>
    <col min="1" max="7" width="8.88671875" style="1"/>
    <col min="8" max="8" width="9.77734375" style="1" bestFit="1" customWidth="1"/>
    <col min="9" max="16384" width="8.88671875" style="1"/>
  </cols>
  <sheetData>
    <row r="1" spans="1:18" s="118" customFormat="1" x14ac:dyDescent="0.4">
      <c r="A1" s="118" t="s">
        <v>0</v>
      </c>
    </row>
    <row r="3" spans="1:18" x14ac:dyDescent="0.4">
      <c r="H3" s="123" t="s">
        <v>245</v>
      </c>
      <c r="I3" s="123"/>
      <c r="J3" s="123"/>
    </row>
    <row r="4" spans="1:18" x14ac:dyDescent="0.4">
      <c r="H4" s="123" t="s">
        <v>246</v>
      </c>
      <c r="I4" s="123"/>
      <c r="J4" s="123"/>
    </row>
    <row r="5" spans="1:18" x14ac:dyDescent="0.4">
      <c r="H5" s="123" t="s">
        <v>0</v>
      </c>
      <c r="I5" s="123"/>
      <c r="J5" s="123"/>
    </row>
    <row r="10" spans="1:18" s="118" customFormat="1" x14ac:dyDescent="0.4">
      <c r="A10" s="118" t="s">
        <v>1</v>
      </c>
    </row>
    <row r="15" spans="1:18" x14ac:dyDescent="0.4">
      <c r="A15" s="122" t="s">
        <v>2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4">
      <c r="A16" s="121" t="s">
        <v>247</v>
      </c>
      <c r="B16" s="121"/>
      <c r="C16" s="121"/>
      <c r="D16" s="121"/>
      <c r="E16" s="121" t="s">
        <v>251</v>
      </c>
      <c r="F16" s="121"/>
      <c r="G16" s="121"/>
      <c r="H16" s="121"/>
    </row>
    <row r="17" spans="1:41" x14ac:dyDescent="0.4">
      <c r="A17" s="121" t="s">
        <v>248</v>
      </c>
      <c r="B17" s="121"/>
      <c r="C17" s="121"/>
      <c r="D17" s="121"/>
      <c r="E17" s="121" t="s">
        <v>252</v>
      </c>
      <c r="F17" s="121"/>
      <c r="G17" s="121"/>
      <c r="H17" s="121"/>
    </row>
    <row r="18" spans="1:41" x14ac:dyDescent="0.4">
      <c r="A18" s="121" t="s">
        <v>249</v>
      </c>
      <c r="B18" s="121"/>
      <c r="C18" s="121"/>
      <c r="D18" s="121"/>
      <c r="E18" s="121" t="s">
        <v>253</v>
      </c>
      <c r="F18" s="121"/>
      <c r="G18" s="121"/>
      <c r="H18" s="121"/>
    </row>
    <row r="19" spans="1:41" x14ac:dyDescent="0.4">
      <c r="A19" s="121" t="s">
        <v>250</v>
      </c>
      <c r="B19" s="121"/>
      <c r="C19" s="121"/>
      <c r="D19" s="121"/>
      <c r="E19" s="121" t="s">
        <v>254</v>
      </c>
      <c r="F19" s="121"/>
      <c r="G19" s="121"/>
      <c r="H19" s="121"/>
    </row>
    <row r="20" spans="1:41" s="118" customFormat="1" x14ac:dyDescent="0.4">
      <c r="A20" s="118" t="s">
        <v>3</v>
      </c>
    </row>
    <row r="22" spans="1:41" x14ac:dyDescent="0.4">
      <c r="A22" s="2" t="s">
        <v>6</v>
      </c>
      <c r="B22" s="2"/>
      <c r="C22" s="2"/>
      <c r="D22" s="2"/>
      <c r="E22" s="2"/>
      <c r="F22" s="2"/>
      <c r="G22" s="2"/>
      <c r="H22" s="2"/>
      <c r="I22" s="2"/>
      <c r="J22" s="2"/>
    </row>
    <row r="23" spans="1:41" x14ac:dyDescent="0.4">
      <c r="G23" s="2"/>
      <c r="H23" s="2"/>
      <c r="I23" s="2"/>
      <c r="J23" s="2"/>
    </row>
    <row r="24" spans="1:41" x14ac:dyDescent="0.4">
      <c r="A24" s="2" t="s">
        <v>4</v>
      </c>
      <c r="B24" s="2"/>
      <c r="C24" s="2"/>
      <c r="D24" s="2"/>
      <c r="E24" s="2"/>
      <c r="F24" s="2"/>
    </row>
    <row r="25" spans="1:41" x14ac:dyDescent="0.4">
      <c r="G25" s="2"/>
      <c r="H25" s="2"/>
      <c r="I25" s="2"/>
      <c r="J25" s="2"/>
    </row>
    <row r="26" spans="1:41" x14ac:dyDescent="0.4">
      <c r="A26" s="22" t="s">
        <v>5</v>
      </c>
      <c r="B26" s="23">
        <v>40</v>
      </c>
      <c r="C26" s="23">
        <v>60</v>
      </c>
      <c r="D26" s="23">
        <v>50</v>
      </c>
      <c r="E26" s="28">
        <v>40</v>
      </c>
      <c r="F26" s="27"/>
      <c r="G26" s="22" t="s">
        <v>5</v>
      </c>
      <c r="H26" s="23">
        <v>0</v>
      </c>
      <c r="I26" s="23">
        <v>60</v>
      </c>
      <c r="J26" s="23">
        <v>50</v>
      </c>
      <c r="K26" s="28">
        <v>40</v>
      </c>
      <c r="M26" s="22" t="s">
        <v>5</v>
      </c>
      <c r="N26" s="23">
        <v>0</v>
      </c>
      <c r="O26" s="23">
        <v>10</v>
      </c>
      <c r="P26" s="23">
        <v>50</v>
      </c>
      <c r="Q26" s="28">
        <v>40</v>
      </c>
      <c r="S26" s="22" t="s">
        <v>5</v>
      </c>
      <c r="T26" s="23">
        <v>0</v>
      </c>
      <c r="U26" s="23">
        <v>10</v>
      </c>
      <c r="V26" s="23">
        <v>50</v>
      </c>
      <c r="W26" s="28">
        <v>0</v>
      </c>
      <c r="Y26" s="22" t="s">
        <v>5</v>
      </c>
      <c r="Z26" s="23">
        <v>0</v>
      </c>
      <c r="AA26" s="23">
        <v>0</v>
      </c>
      <c r="AB26" s="23">
        <v>50</v>
      </c>
      <c r="AC26" s="28">
        <v>0</v>
      </c>
      <c r="AE26" s="22" t="s">
        <v>5</v>
      </c>
      <c r="AF26" s="23">
        <v>0</v>
      </c>
      <c r="AG26" s="23">
        <v>0</v>
      </c>
      <c r="AH26" s="23">
        <v>10</v>
      </c>
      <c r="AI26" s="28">
        <v>0</v>
      </c>
      <c r="AK26" s="22" t="s">
        <v>5</v>
      </c>
      <c r="AL26" s="23">
        <v>0</v>
      </c>
      <c r="AM26" s="23">
        <v>0</v>
      </c>
      <c r="AN26" s="23">
        <v>0</v>
      </c>
      <c r="AO26" s="28">
        <v>0</v>
      </c>
    </row>
    <row r="27" spans="1:41" x14ac:dyDescent="0.4">
      <c r="A27" s="114">
        <v>40</v>
      </c>
      <c r="B27" s="8">
        <v>1</v>
      </c>
      <c r="C27" s="8">
        <v>2</v>
      </c>
      <c r="D27" s="8">
        <v>3</v>
      </c>
      <c r="E27" s="8">
        <v>1</v>
      </c>
      <c r="F27" s="3"/>
      <c r="G27" s="114">
        <v>0</v>
      </c>
      <c r="H27" s="15">
        <v>1</v>
      </c>
      <c r="I27" s="13">
        <v>2</v>
      </c>
      <c r="J27" s="13">
        <v>3</v>
      </c>
      <c r="K27" s="13">
        <v>1</v>
      </c>
      <c r="M27" s="114">
        <v>0</v>
      </c>
      <c r="N27" s="15">
        <v>1</v>
      </c>
      <c r="O27" s="13">
        <v>2</v>
      </c>
      <c r="P27" s="13">
        <v>3</v>
      </c>
      <c r="Q27" s="13">
        <v>1</v>
      </c>
      <c r="S27" s="114">
        <v>0</v>
      </c>
      <c r="T27" s="15">
        <v>1</v>
      </c>
      <c r="U27" s="13">
        <v>2</v>
      </c>
      <c r="V27" s="13">
        <v>3</v>
      </c>
      <c r="W27" s="13">
        <v>1</v>
      </c>
      <c r="Y27" s="114">
        <v>0</v>
      </c>
      <c r="Z27" s="15">
        <v>1</v>
      </c>
      <c r="AA27" s="13">
        <v>2</v>
      </c>
      <c r="AB27" s="13">
        <v>3</v>
      </c>
      <c r="AC27" s="13">
        <v>1</v>
      </c>
      <c r="AE27" s="114">
        <v>0</v>
      </c>
      <c r="AF27" s="15">
        <v>1</v>
      </c>
      <c r="AG27" s="13">
        <v>2</v>
      </c>
      <c r="AH27" s="13">
        <v>3</v>
      </c>
      <c r="AI27" s="13">
        <v>1</v>
      </c>
      <c r="AK27" s="114">
        <v>0</v>
      </c>
      <c r="AL27" s="15">
        <v>1</v>
      </c>
      <c r="AM27" s="13">
        <v>2</v>
      </c>
      <c r="AN27" s="13">
        <v>3</v>
      </c>
      <c r="AO27" s="13">
        <v>1</v>
      </c>
    </row>
    <row r="28" spans="1:41" x14ac:dyDescent="0.4">
      <c r="A28" s="115"/>
      <c r="B28" s="12"/>
      <c r="C28" s="12"/>
      <c r="D28" s="12"/>
      <c r="E28" s="12"/>
      <c r="F28" s="4"/>
      <c r="G28" s="115"/>
      <c r="H28" s="16">
        <v>40</v>
      </c>
      <c r="I28" s="14"/>
      <c r="J28" s="14"/>
      <c r="K28" s="14"/>
      <c r="M28" s="115"/>
      <c r="N28" s="16">
        <v>40</v>
      </c>
      <c r="O28" s="14"/>
      <c r="P28" s="14"/>
      <c r="Q28" s="14"/>
      <c r="S28" s="115"/>
      <c r="T28" s="16">
        <v>40</v>
      </c>
      <c r="U28" s="14"/>
      <c r="V28" s="14"/>
      <c r="W28" s="14"/>
      <c r="Y28" s="115"/>
      <c r="Z28" s="16">
        <v>40</v>
      </c>
      <c r="AA28" s="14"/>
      <c r="AB28" s="14"/>
      <c r="AC28" s="14"/>
      <c r="AE28" s="115"/>
      <c r="AF28" s="16">
        <v>40</v>
      </c>
      <c r="AG28" s="14"/>
      <c r="AH28" s="14"/>
      <c r="AI28" s="14"/>
      <c r="AK28" s="115"/>
      <c r="AL28" s="16">
        <v>40</v>
      </c>
      <c r="AM28" s="14"/>
      <c r="AN28" s="14"/>
      <c r="AO28" s="14"/>
    </row>
    <row r="29" spans="1:41" x14ac:dyDescent="0.4">
      <c r="A29" s="114">
        <v>50</v>
      </c>
      <c r="B29" s="8">
        <v>4</v>
      </c>
      <c r="C29" s="8">
        <v>2</v>
      </c>
      <c r="D29" s="8">
        <v>2</v>
      </c>
      <c r="E29" s="8">
        <v>9</v>
      </c>
      <c r="F29" s="3"/>
      <c r="G29" s="114">
        <v>50</v>
      </c>
      <c r="H29" s="13">
        <v>4</v>
      </c>
      <c r="I29" s="8">
        <v>2</v>
      </c>
      <c r="J29" s="8">
        <v>2</v>
      </c>
      <c r="K29" s="8">
        <v>9</v>
      </c>
      <c r="L29" s="2"/>
      <c r="M29" s="114">
        <v>0</v>
      </c>
      <c r="N29" s="13">
        <v>4</v>
      </c>
      <c r="O29" s="15">
        <v>2</v>
      </c>
      <c r="P29" s="13">
        <v>2</v>
      </c>
      <c r="Q29" s="13">
        <v>9</v>
      </c>
      <c r="S29" s="114">
        <v>0</v>
      </c>
      <c r="T29" s="13">
        <v>4</v>
      </c>
      <c r="U29" s="15">
        <v>2</v>
      </c>
      <c r="V29" s="13">
        <v>2</v>
      </c>
      <c r="W29" s="13">
        <v>9</v>
      </c>
      <c r="Y29" s="114">
        <v>0</v>
      </c>
      <c r="Z29" s="13">
        <v>4</v>
      </c>
      <c r="AA29" s="15">
        <v>2</v>
      </c>
      <c r="AB29" s="13">
        <v>2</v>
      </c>
      <c r="AC29" s="13">
        <v>9</v>
      </c>
      <c r="AE29" s="114">
        <v>0</v>
      </c>
      <c r="AF29" s="13">
        <v>4</v>
      </c>
      <c r="AG29" s="15">
        <v>2</v>
      </c>
      <c r="AH29" s="13">
        <v>2</v>
      </c>
      <c r="AI29" s="13">
        <v>9</v>
      </c>
      <c r="AK29" s="114">
        <v>0</v>
      </c>
      <c r="AL29" s="13">
        <v>4</v>
      </c>
      <c r="AM29" s="15">
        <v>2</v>
      </c>
      <c r="AN29" s="13">
        <v>2</v>
      </c>
      <c r="AO29" s="13">
        <v>9</v>
      </c>
    </row>
    <row r="30" spans="1:41" x14ac:dyDescent="0.4">
      <c r="A30" s="115"/>
      <c r="B30" s="12"/>
      <c r="C30" s="12"/>
      <c r="D30" s="12"/>
      <c r="E30" s="12"/>
      <c r="F30" s="4"/>
      <c r="G30" s="115"/>
      <c r="H30" s="14"/>
      <c r="I30" s="12"/>
      <c r="J30" s="12"/>
      <c r="K30" s="12"/>
      <c r="L30" s="2"/>
      <c r="M30" s="115"/>
      <c r="N30" s="14"/>
      <c r="O30" s="16">
        <v>50</v>
      </c>
      <c r="P30" s="14"/>
      <c r="Q30" s="14"/>
      <c r="S30" s="115"/>
      <c r="T30" s="14"/>
      <c r="U30" s="16">
        <v>50</v>
      </c>
      <c r="V30" s="14"/>
      <c r="W30" s="14"/>
      <c r="Y30" s="115"/>
      <c r="Z30" s="14"/>
      <c r="AA30" s="16">
        <v>50</v>
      </c>
      <c r="AB30" s="14"/>
      <c r="AC30" s="14"/>
      <c r="AE30" s="115"/>
      <c r="AF30" s="14"/>
      <c r="AG30" s="16">
        <v>50</v>
      </c>
      <c r="AH30" s="14"/>
      <c r="AI30" s="14"/>
      <c r="AK30" s="115"/>
      <c r="AL30" s="14"/>
      <c r="AM30" s="16">
        <v>50</v>
      </c>
      <c r="AN30" s="14"/>
      <c r="AO30" s="14"/>
    </row>
    <row r="31" spans="1:41" x14ac:dyDescent="0.4">
      <c r="A31" s="114">
        <v>50</v>
      </c>
      <c r="B31" s="10">
        <v>5</v>
      </c>
      <c r="C31" s="10">
        <v>7</v>
      </c>
      <c r="D31" s="10">
        <v>10</v>
      </c>
      <c r="E31" s="10">
        <v>5</v>
      </c>
      <c r="F31" s="3"/>
      <c r="G31" s="114">
        <v>50</v>
      </c>
      <c r="H31" s="18">
        <v>5</v>
      </c>
      <c r="I31" s="10">
        <v>7</v>
      </c>
      <c r="J31" s="10">
        <v>10</v>
      </c>
      <c r="K31" s="10">
        <v>5</v>
      </c>
      <c r="M31" s="114">
        <v>50</v>
      </c>
      <c r="N31" s="18">
        <v>5</v>
      </c>
      <c r="O31" s="10">
        <v>7</v>
      </c>
      <c r="P31" s="10">
        <v>10</v>
      </c>
      <c r="Q31" s="10">
        <v>5</v>
      </c>
      <c r="S31" s="114">
        <v>10</v>
      </c>
      <c r="T31" s="18">
        <v>5</v>
      </c>
      <c r="U31" s="10">
        <v>7</v>
      </c>
      <c r="V31" s="10">
        <v>10</v>
      </c>
      <c r="W31" s="17">
        <v>5</v>
      </c>
      <c r="Y31" s="114">
        <v>0</v>
      </c>
      <c r="Z31" s="18">
        <v>5</v>
      </c>
      <c r="AA31" s="17">
        <v>7</v>
      </c>
      <c r="AB31" s="18">
        <v>10</v>
      </c>
      <c r="AC31" s="17">
        <v>5</v>
      </c>
      <c r="AE31" s="114">
        <v>0</v>
      </c>
      <c r="AF31" s="18">
        <v>5</v>
      </c>
      <c r="AG31" s="17">
        <v>7</v>
      </c>
      <c r="AH31" s="18">
        <v>10</v>
      </c>
      <c r="AI31" s="17">
        <v>5</v>
      </c>
      <c r="AK31" s="114">
        <v>0</v>
      </c>
      <c r="AL31" s="18">
        <v>5</v>
      </c>
      <c r="AM31" s="17">
        <v>7</v>
      </c>
      <c r="AN31" s="18">
        <v>10</v>
      </c>
      <c r="AO31" s="17">
        <v>5</v>
      </c>
    </row>
    <row r="32" spans="1:41" x14ac:dyDescent="0.4">
      <c r="A32" s="115"/>
      <c r="B32" s="38"/>
      <c r="C32" s="38"/>
      <c r="D32" s="38"/>
      <c r="E32" s="38"/>
      <c r="F32" s="4"/>
      <c r="G32" s="115"/>
      <c r="H32" s="39"/>
      <c r="I32" s="38"/>
      <c r="J32" s="38"/>
      <c r="K32" s="38"/>
      <c r="M32" s="115"/>
      <c r="N32" s="39"/>
      <c r="O32" s="38"/>
      <c r="P32" s="38"/>
      <c r="Q32" s="38"/>
      <c r="S32" s="115"/>
      <c r="T32" s="39"/>
      <c r="U32" s="38"/>
      <c r="V32" s="38"/>
      <c r="W32" s="40">
        <v>40</v>
      </c>
      <c r="Y32" s="115"/>
      <c r="Z32" s="39"/>
      <c r="AA32" s="40">
        <v>10</v>
      </c>
      <c r="AB32" s="39"/>
      <c r="AC32" s="40">
        <v>40</v>
      </c>
      <c r="AE32" s="115"/>
      <c r="AF32" s="39"/>
      <c r="AG32" s="40">
        <v>10</v>
      </c>
      <c r="AH32" s="39"/>
      <c r="AI32" s="40">
        <v>40</v>
      </c>
      <c r="AK32" s="115"/>
      <c r="AL32" s="39"/>
      <c r="AM32" s="40">
        <v>10</v>
      </c>
      <c r="AN32" s="39"/>
      <c r="AO32" s="40">
        <v>40</v>
      </c>
    </row>
    <row r="33" spans="1:41" x14ac:dyDescent="0.4">
      <c r="A33" s="114">
        <v>40</v>
      </c>
      <c r="B33" s="8">
        <v>4</v>
      </c>
      <c r="C33" s="8">
        <v>15</v>
      </c>
      <c r="D33" s="8">
        <v>13</v>
      </c>
      <c r="E33" s="8">
        <v>6</v>
      </c>
      <c r="F33" s="3"/>
      <c r="G33" s="114">
        <v>40</v>
      </c>
      <c r="H33" s="13">
        <v>4</v>
      </c>
      <c r="I33" s="8">
        <v>15</v>
      </c>
      <c r="J33" s="8">
        <v>13</v>
      </c>
      <c r="K33" s="8">
        <v>6</v>
      </c>
      <c r="M33" s="114">
        <v>40</v>
      </c>
      <c r="N33" s="13">
        <v>4</v>
      </c>
      <c r="O33" s="8">
        <v>15</v>
      </c>
      <c r="P33" s="8">
        <v>13</v>
      </c>
      <c r="Q33" s="8">
        <v>6</v>
      </c>
      <c r="S33" s="114">
        <v>40</v>
      </c>
      <c r="T33" s="13">
        <v>4</v>
      </c>
      <c r="U33" s="8">
        <v>15</v>
      </c>
      <c r="V33" s="8">
        <v>13</v>
      </c>
      <c r="W33" s="13">
        <v>6</v>
      </c>
      <c r="Y33" s="114">
        <v>40</v>
      </c>
      <c r="Z33" s="13">
        <v>4</v>
      </c>
      <c r="AA33" s="13">
        <v>15</v>
      </c>
      <c r="AB33" s="8">
        <v>13</v>
      </c>
      <c r="AC33" s="13">
        <v>6</v>
      </c>
      <c r="AE33" s="114">
        <v>0</v>
      </c>
      <c r="AF33" s="13">
        <v>4</v>
      </c>
      <c r="AG33" s="13">
        <v>15</v>
      </c>
      <c r="AH33" s="15">
        <v>13</v>
      </c>
      <c r="AI33" s="13">
        <v>6</v>
      </c>
      <c r="AK33" s="114">
        <v>0</v>
      </c>
      <c r="AL33" s="13">
        <v>4</v>
      </c>
      <c r="AM33" s="13">
        <v>15</v>
      </c>
      <c r="AN33" s="15">
        <v>13</v>
      </c>
      <c r="AO33" s="13">
        <v>6</v>
      </c>
    </row>
    <row r="34" spans="1:41" x14ac:dyDescent="0.4">
      <c r="A34" s="115"/>
      <c r="B34" s="12"/>
      <c r="C34" s="12"/>
      <c r="D34" s="12"/>
      <c r="E34" s="12"/>
      <c r="F34" s="4"/>
      <c r="G34" s="115"/>
      <c r="H34" s="14"/>
      <c r="I34" s="12"/>
      <c r="J34" s="12"/>
      <c r="K34" s="12"/>
      <c r="M34" s="115"/>
      <c r="N34" s="14"/>
      <c r="O34" s="12"/>
      <c r="P34" s="12"/>
      <c r="Q34" s="12"/>
      <c r="S34" s="115"/>
      <c r="T34" s="14"/>
      <c r="U34" s="12"/>
      <c r="V34" s="12"/>
      <c r="W34" s="14"/>
      <c r="Y34" s="115"/>
      <c r="Z34" s="14"/>
      <c r="AA34" s="14"/>
      <c r="AB34" s="12"/>
      <c r="AC34" s="14"/>
      <c r="AE34" s="115"/>
      <c r="AF34" s="14"/>
      <c r="AG34" s="14"/>
      <c r="AH34" s="16">
        <v>40</v>
      </c>
      <c r="AI34" s="14"/>
      <c r="AK34" s="115"/>
      <c r="AL34" s="14"/>
      <c r="AM34" s="14"/>
      <c r="AN34" s="16">
        <v>40</v>
      </c>
      <c r="AO34" s="14"/>
    </row>
    <row r="35" spans="1:41" x14ac:dyDescent="0.4">
      <c r="A35" s="119">
        <v>10</v>
      </c>
      <c r="B35" s="26">
        <v>0</v>
      </c>
      <c r="C35" s="26">
        <v>0</v>
      </c>
      <c r="D35" s="26">
        <v>0</v>
      </c>
      <c r="E35" s="26">
        <v>0</v>
      </c>
      <c r="F35" s="4"/>
      <c r="G35" s="119">
        <v>10</v>
      </c>
      <c r="H35" s="31">
        <v>0</v>
      </c>
      <c r="I35" s="26">
        <v>0</v>
      </c>
      <c r="J35" s="26">
        <v>0</v>
      </c>
      <c r="K35" s="26">
        <v>0</v>
      </c>
      <c r="M35" s="119">
        <v>10</v>
      </c>
      <c r="N35" s="31">
        <v>0</v>
      </c>
      <c r="O35" s="26">
        <v>0</v>
      </c>
      <c r="P35" s="26">
        <v>0</v>
      </c>
      <c r="Q35" s="26">
        <v>0</v>
      </c>
      <c r="S35" s="119">
        <v>10</v>
      </c>
      <c r="T35" s="31">
        <v>0</v>
      </c>
      <c r="U35" s="26">
        <v>0</v>
      </c>
      <c r="V35" s="26">
        <v>0</v>
      </c>
      <c r="W35" s="31">
        <v>0</v>
      </c>
      <c r="Y35" s="119">
        <v>10</v>
      </c>
      <c r="Z35" s="31">
        <v>0</v>
      </c>
      <c r="AA35" s="31">
        <v>0</v>
      </c>
      <c r="AB35" s="26">
        <v>0</v>
      </c>
      <c r="AC35" s="31">
        <v>0</v>
      </c>
      <c r="AE35" s="119">
        <v>10</v>
      </c>
      <c r="AF35" s="31">
        <v>0</v>
      </c>
      <c r="AG35" s="31">
        <v>0</v>
      </c>
      <c r="AH35" s="26">
        <v>0</v>
      </c>
      <c r="AI35" s="31">
        <v>0</v>
      </c>
      <c r="AK35" s="119">
        <v>0</v>
      </c>
      <c r="AL35" s="31">
        <v>0</v>
      </c>
      <c r="AM35" s="31">
        <v>0</v>
      </c>
      <c r="AN35" s="33">
        <v>0</v>
      </c>
      <c r="AO35" s="31">
        <v>0</v>
      </c>
    </row>
    <row r="36" spans="1:41" x14ac:dyDescent="0.4">
      <c r="A36" s="120"/>
      <c r="B36" s="12"/>
      <c r="C36" s="12"/>
      <c r="D36" s="12"/>
      <c r="E36" s="12"/>
      <c r="F36" s="4"/>
      <c r="G36" s="120"/>
      <c r="H36" s="14"/>
      <c r="I36" s="12"/>
      <c r="J36" s="12"/>
      <c r="K36" s="12"/>
      <c r="M36" s="120"/>
      <c r="N36" s="14"/>
      <c r="O36" s="12"/>
      <c r="P36" s="12"/>
      <c r="Q36" s="12"/>
      <c r="S36" s="120"/>
      <c r="T36" s="14"/>
      <c r="U36" s="12"/>
      <c r="V36" s="12"/>
      <c r="W36" s="14"/>
      <c r="Y36" s="120"/>
      <c r="Z36" s="14"/>
      <c r="AA36" s="14"/>
      <c r="AB36" s="12"/>
      <c r="AC36" s="14"/>
      <c r="AE36" s="120"/>
      <c r="AF36" s="14"/>
      <c r="AG36" s="14"/>
      <c r="AH36" s="12"/>
      <c r="AI36" s="14"/>
      <c r="AK36" s="120"/>
      <c r="AL36" s="14"/>
      <c r="AM36" s="14"/>
      <c r="AN36" s="16">
        <v>10</v>
      </c>
      <c r="AO36" s="14"/>
    </row>
    <row r="38" spans="1:41" x14ac:dyDescent="0.4">
      <c r="A38" s="1" t="s">
        <v>7</v>
      </c>
    </row>
    <row r="40" spans="1:41" x14ac:dyDescent="0.4">
      <c r="A40" s="22" t="s">
        <v>5</v>
      </c>
      <c r="B40" s="23">
        <v>0</v>
      </c>
      <c r="C40" s="23">
        <v>0</v>
      </c>
      <c r="D40" s="23">
        <v>0</v>
      </c>
      <c r="E40" s="28">
        <v>0</v>
      </c>
    </row>
    <row r="41" spans="1:41" x14ac:dyDescent="0.4">
      <c r="A41" s="114">
        <v>0</v>
      </c>
      <c r="B41" s="15">
        <v>1</v>
      </c>
      <c r="C41" s="13">
        <v>2</v>
      </c>
      <c r="D41" s="13">
        <v>3</v>
      </c>
      <c r="E41" s="13">
        <v>1</v>
      </c>
    </row>
    <row r="42" spans="1:41" x14ac:dyDescent="0.4">
      <c r="A42" s="115"/>
      <c r="B42" s="16">
        <v>40</v>
      </c>
      <c r="C42" s="14"/>
      <c r="D42" s="14"/>
      <c r="E42" s="14"/>
    </row>
    <row r="43" spans="1:41" x14ac:dyDescent="0.4">
      <c r="A43" s="114">
        <v>0</v>
      </c>
      <c r="B43" s="13">
        <v>4</v>
      </c>
      <c r="C43" s="15">
        <v>2</v>
      </c>
      <c r="D43" s="13">
        <v>2</v>
      </c>
      <c r="E43" s="13">
        <v>9</v>
      </c>
    </row>
    <row r="44" spans="1:41" x14ac:dyDescent="0.4">
      <c r="A44" s="115"/>
      <c r="B44" s="14"/>
      <c r="C44" s="16">
        <v>50</v>
      </c>
      <c r="D44" s="14"/>
      <c r="E44" s="14"/>
    </row>
    <row r="45" spans="1:41" x14ac:dyDescent="0.4">
      <c r="A45" s="114">
        <v>0</v>
      </c>
      <c r="B45" s="18">
        <v>5</v>
      </c>
      <c r="C45" s="17">
        <v>7</v>
      </c>
      <c r="D45" s="18">
        <v>10</v>
      </c>
      <c r="E45" s="17">
        <v>5</v>
      </c>
    </row>
    <row r="46" spans="1:41" x14ac:dyDescent="0.4">
      <c r="A46" s="115"/>
      <c r="B46" s="39"/>
      <c r="C46" s="40">
        <v>10</v>
      </c>
      <c r="D46" s="39"/>
      <c r="E46" s="40">
        <v>40</v>
      </c>
    </row>
    <row r="47" spans="1:41" x14ac:dyDescent="0.4">
      <c r="A47" s="114">
        <v>0</v>
      </c>
      <c r="B47" s="13">
        <v>4</v>
      </c>
      <c r="C47" s="13">
        <v>15</v>
      </c>
      <c r="D47" s="15">
        <v>13</v>
      </c>
      <c r="E47" s="13">
        <v>6</v>
      </c>
    </row>
    <row r="48" spans="1:41" x14ac:dyDescent="0.4">
      <c r="A48" s="115"/>
      <c r="B48" s="14"/>
      <c r="C48" s="14"/>
      <c r="D48" s="16">
        <v>40</v>
      </c>
      <c r="E48" s="14"/>
    </row>
    <row r="49" spans="1:7" x14ac:dyDescent="0.4">
      <c r="A49" s="119">
        <v>0</v>
      </c>
      <c r="B49" s="31">
        <v>0</v>
      </c>
      <c r="C49" s="31">
        <v>0</v>
      </c>
      <c r="D49" s="33">
        <v>0</v>
      </c>
      <c r="E49" s="31">
        <v>0</v>
      </c>
    </row>
    <row r="50" spans="1:7" x14ac:dyDescent="0.4">
      <c r="A50" s="120"/>
      <c r="B50" s="14"/>
      <c r="C50" s="14"/>
      <c r="D50" s="16">
        <v>10</v>
      </c>
      <c r="E50" s="14"/>
    </row>
    <row r="52" spans="1:7" x14ac:dyDescent="0.4">
      <c r="A52" s="1" t="s">
        <v>8</v>
      </c>
    </row>
    <row r="53" spans="1:7" x14ac:dyDescent="0.4">
      <c r="A53" s="1" t="s">
        <v>9</v>
      </c>
    </row>
    <row r="55" spans="1:7" x14ac:dyDescent="0.4">
      <c r="A55" s="1" t="s">
        <v>10</v>
      </c>
    </row>
    <row r="57" spans="1:7" x14ac:dyDescent="0.4">
      <c r="A57" s="22"/>
      <c r="B57" s="23" t="s">
        <v>19</v>
      </c>
      <c r="C57" s="23" t="s">
        <v>20</v>
      </c>
      <c r="D57" s="23" t="s">
        <v>21</v>
      </c>
      <c r="E57" s="28" t="s">
        <v>22</v>
      </c>
      <c r="G57" s="42" t="s">
        <v>11</v>
      </c>
    </row>
    <row r="58" spans="1:7" x14ac:dyDescent="0.4">
      <c r="A58" s="34" t="s">
        <v>23</v>
      </c>
      <c r="B58" s="15">
        <v>1</v>
      </c>
      <c r="C58" s="13">
        <v>2</v>
      </c>
      <c r="D58" s="13">
        <v>3</v>
      </c>
      <c r="E58" s="15">
        <v>1</v>
      </c>
      <c r="G58" s="42" t="s">
        <v>12</v>
      </c>
    </row>
    <row r="59" spans="1:7" x14ac:dyDescent="0.4">
      <c r="A59" s="35"/>
      <c r="B59" s="16">
        <v>40</v>
      </c>
      <c r="C59" s="14" t="s">
        <v>28</v>
      </c>
      <c r="D59" s="14" t="s">
        <v>29</v>
      </c>
      <c r="E59" s="16">
        <v>0</v>
      </c>
      <c r="G59" s="42" t="s">
        <v>13</v>
      </c>
    </row>
    <row r="60" spans="1:7" x14ac:dyDescent="0.4">
      <c r="A60" s="34" t="s">
        <v>24</v>
      </c>
      <c r="B60" s="13">
        <v>4</v>
      </c>
      <c r="C60" s="15">
        <v>2</v>
      </c>
      <c r="D60" s="15">
        <v>2</v>
      </c>
      <c r="E60" s="13">
        <v>9</v>
      </c>
      <c r="G60" s="42" t="s">
        <v>14</v>
      </c>
    </row>
    <row r="61" spans="1:7" x14ac:dyDescent="0.4">
      <c r="A61" s="35"/>
      <c r="B61" s="14" t="s">
        <v>30</v>
      </c>
      <c r="C61" s="16">
        <v>50</v>
      </c>
      <c r="D61" s="16">
        <v>0</v>
      </c>
      <c r="E61" s="14" t="s">
        <v>31</v>
      </c>
      <c r="G61" s="42" t="s">
        <v>15</v>
      </c>
    </row>
    <row r="62" spans="1:7" x14ac:dyDescent="0.4">
      <c r="A62" s="34" t="s">
        <v>25</v>
      </c>
      <c r="B62" s="18">
        <v>5</v>
      </c>
      <c r="C62" s="17">
        <v>7</v>
      </c>
      <c r="D62" s="18">
        <v>10</v>
      </c>
      <c r="E62" s="17">
        <v>5</v>
      </c>
      <c r="G62" s="42" t="s">
        <v>16</v>
      </c>
    </row>
    <row r="63" spans="1:7" x14ac:dyDescent="0.4">
      <c r="A63" s="35"/>
      <c r="B63" s="14" t="s">
        <v>29</v>
      </c>
      <c r="C63" s="40">
        <v>10</v>
      </c>
      <c r="D63" s="14" t="s">
        <v>32</v>
      </c>
      <c r="E63" s="40">
        <v>40</v>
      </c>
      <c r="G63" s="42" t="s">
        <v>17</v>
      </c>
    </row>
    <row r="64" spans="1:7" x14ac:dyDescent="0.4">
      <c r="A64" s="34" t="s">
        <v>26</v>
      </c>
      <c r="B64" s="13">
        <v>4</v>
      </c>
      <c r="C64" s="13">
        <v>15</v>
      </c>
      <c r="D64" s="15">
        <v>13</v>
      </c>
      <c r="E64" s="13">
        <v>6</v>
      </c>
      <c r="G64" s="42" t="s">
        <v>18</v>
      </c>
    </row>
    <row r="65" spans="1:5" x14ac:dyDescent="0.4">
      <c r="A65" s="35"/>
      <c r="B65" s="14" t="s">
        <v>33</v>
      </c>
      <c r="C65" s="14" t="s">
        <v>34</v>
      </c>
      <c r="D65" s="16">
        <v>40</v>
      </c>
      <c r="E65" s="14" t="s">
        <v>35</v>
      </c>
    </row>
    <row r="66" spans="1:5" x14ac:dyDescent="0.4">
      <c r="A66" s="36" t="s">
        <v>27</v>
      </c>
      <c r="B66" s="31">
        <v>0</v>
      </c>
      <c r="C66" s="31">
        <v>0</v>
      </c>
      <c r="D66" s="33">
        <v>0</v>
      </c>
      <c r="E66" s="31">
        <v>0</v>
      </c>
    </row>
    <row r="67" spans="1:5" x14ac:dyDescent="0.4">
      <c r="A67" s="37"/>
      <c r="B67" s="14" t="s">
        <v>34</v>
      </c>
      <c r="C67" s="14" t="s">
        <v>29</v>
      </c>
      <c r="D67" s="16">
        <v>10</v>
      </c>
      <c r="E67" s="14" t="s">
        <v>34</v>
      </c>
    </row>
    <row r="69" spans="1:5" x14ac:dyDescent="0.4">
      <c r="A69" s="42" t="s">
        <v>36</v>
      </c>
    </row>
    <row r="71" spans="1:5" x14ac:dyDescent="0.4">
      <c r="A71" s="22"/>
      <c r="B71" s="23" t="s">
        <v>19</v>
      </c>
      <c r="C71" s="23" t="s">
        <v>20</v>
      </c>
      <c r="D71" s="23" t="s">
        <v>21</v>
      </c>
      <c r="E71" s="28" t="s">
        <v>22</v>
      </c>
    </row>
    <row r="72" spans="1:5" x14ac:dyDescent="0.4">
      <c r="A72" s="34" t="s">
        <v>23</v>
      </c>
      <c r="B72" s="15">
        <v>1</v>
      </c>
      <c r="C72" s="13">
        <v>2</v>
      </c>
      <c r="D72" s="13">
        <v>3</v>
      </c>
      <c r="E72" s="15">
        <v>1</v>
      </c>
    </row>
    <row r="73" spans="1:5" x14ac:dyDescent="0.4">
      <c r="A73" s="35"/>
      <c r="B73" s="16" t="s">
        <v>39</v>
      </c>
      <c r="C73" s="14" t="s">
        <v>28</v>
      </c>
      <c r="D73" s="14" t="s">
        <v>29</v>
      </c>
      <c r="E73" s="16" t="s">
        <v>37</v>
      </c>
    </row>
    <row r="74" spans="1:5" x14ac:dyDescent="0.4">
      <c r="A74" s="34" t="s">
        <v>24</v>
      </c>
      <c r="B74" s="13">
        <v>4</v>
      </c>
      <c r="C74" s="15">
        <v>2</v>
      </c>
      <c r="D74" s="15">
        <v>2</v>
      </c>
      <c r="E74" s="13">
        <v>9</v>
      </c>
    </row>
    <row r="75" spans="1:5" x14ac:dyDescent="0.4">
      <c r="A75" s="35"/>
      <c r="B75" s="14" t="s">
        <v>30</v>
      </c>
      <c r="C75" s="16" t="s">
        <v>40</v>
      </c>
      <c r="D75" s="16" t="s">
        <v>37</v>
      </c>
      <c r="E75" s="14" t="s">
        <v>31</v>
      </c>
    </row>
    <row r="76" spans="1:5" x14ac:dyDescent="0.4">
      <c r="A76" s="34" t="s">
        <v>25</v>
      </c>
      <c r="B76" s="18">
        <v>5</v>
      </c>
      <c r="C76" s="17">
        <v>7</v>
      </c>
      <c r="D76" s="18">
        <v>10</v>
      </c>
      <c r="E76" s="17">
        <v>5</v>
      </c>
    </row>
    <row r="77" spans="1:5" x14ac:dyDescent="0.4">
      <c r="A77" s="35"/>
      <c r="B77" s="14" t="s">
        <v>29</v>
      </c>
      <c r="C77" s="40" t="s">
        <v>41</v>
      </c>
      <c r="D77" s="14" t="s">
        <v>32</v>
      </c>
      <c r="E77" s="40" t="s">
        <v>39</v>
      </c>
    </row>
    <row r="78" spans="1:5" x14ac:dyDescent="0.4">
      <c r="A78" s="34" t="s">
        <v>26</v>
      </c>
      <c r="B78" s="13">
        <v>4</v>
      </c>
      <c r="C78" s="13">
        <v>15</v>
      </c>
      <c r="D78" s="15">
        <v>13</v>
      </c>
      <c r="E78" s="13">
        <v>6</v>
      </c>
    </row>
    <row r="79" spans="1:5" x14ac:dyDescent="0.4">
      <c r="A79" s="35"/>
      <c r="B79" s="14" t="s">
        <v>38</v>
      </c>
      <c r="C79" s="14" t="s">
        <v>34</v>
      </c>
      <c r="D79" s="16" t="s">
        <v>39</v>
      </c>
      <c r="E79" s="14" t="s">
        <v>35</v>
      </c>
    </row>
    <row r="80" spans="1:5" x14ac:dyDescent="0.4">
      <c r="A80" s="36" t="s">
        <v>27</v>
      </c>
      <c r="B80" s="31">
        <v>0</v>
      </c>
      <c r="C80" s="31">
        <v>0</v>
      </c>
      <c r="D80" s="33">
        <v>0</v>
      </c>
      <c r="E80" s="31">
        <v>0</v>
      </c>
    </row>
    <row r="81" spans="1:7" x14ac:dyDescent="0.4">
      <c r="A81" s="37"/>
      <c r="B81" s="14" t="s">
        <v>34</v>
      </c>
      <c r="C81" s="14" t="s">
        <v>29</v>
      </c>
      <c r="D81" s="16">
        <v>10</v>
      </c>
      <c r="E81" s="14" t="s">
        <v>34</v>
      </c>
      <c r="G81" s="42" t="s">
        <v>52</v>
      </c>
    </row>
    <row r="83" spans="1:7" x14ac:dyDescent="0.4">
      <c r="A83" s="1" t="s">
        <v>42</v>
      </c>
    </row>
    <row r="85" spans="1:7" x14ac:dyDescent="0.4">
      <c r="A85" s="22" t="s">
        <v>5</v>
      </c>
      <c r="B85" s="23">
        <v>0</v>
      </c>
      <c r="C85" s="23">
        <v>0</v>
      </c>
      <c r="D85" s="23">
        <v>0</v>
      </c>
      <c r="E85" s="28">
        <v>0</v>
      </c>
    </row>
    <row r="86" spans="1:7" x14ac:dyDescent="0.4">
      <c r="A86" s="114">
        <v>0</v>
      </c>
      <c r="B86" s="13">
        <v>1</v>
      </c>
      <c r="C86" s="13">
        <v>2</v>
      </c>
      <c r="D86" s="13">
        <v>3</v>
      </c>
      <c r="E86" s="15">
        <v>1</v>
      </c>
    </row>
    <row r="87" spans="1:7" x14ac:dyDescent="0.4">
      <c r="A87" s="115"/>
      <c r="B87" s="14"/>
      <c r="C87" s="14"/>
      <c r="D87" s="14"/>
      <c r="E87" s="16">
        <v>40</v>
      </c>
    </row>
    <row r="88" spans="1:7" x14ac:dyDescent="0.4">
      <c r="A88" s="114">
        <v>0</v>
      </c>
      <c r="B88" s="13">
        <v>4</v>
      </c>
      <c r="C88" s="15">
        <v>2</v>
      </c>
      <c r="D88" s="15">
        <v>2</v>
      </c>
      <c r="E88" s="13">
        <v>9</v>
      </c>
    </row>
    <row r="89" spans="1:7" x14ac:dyDescent="0.4">
      <c r="A89" s="115"/>
      <c r="B89" s="14"/>
      <c r="C89" s="16">
        <v>10</v>
      </c>
      <c r="D89" s="16">
        <v>40</v>
      </c>
      <c r="E89" s="14"/>
    </row>
    <row r="90" spans="1:7" x14ac:dyDescent="0.4">
      <c r="A90" s="114">
        <v>0</v>
      </c>
      <c r="B90" s="18">
        <v>5</v>
      </c>
      <c r="C90" s="17">
        <v>7</v>
      </c>
      <c r="D90" s="18">
        <v>10</v>
      </c>
      <c r="E90" s="17">
        <v>5</v>
      </c>
    </row>
    <row r="91" spans="1:7" x14ac:dyDescent="0.4">
      <c r="A91" s="115"/>
      <c r="B91" s="39"/>
      <c r="C91" s="40">
        <v>50</v>
      </c>
      <c r="D91" s="39"/>
      <c r="E91" s="40">
        <v>0</v>
      </c>
    </row>
    <row r="92" spans="1:7" x14ac:dyDescent="0.4">
      <c r="A92" s="114">
        <v>0</v>
      </c>
      <c r="B92" s="15">
        <v>4</v>
      </c>
      <c r="C92" s="13">
        <v>15</v>
      </c>
      <c r="D92" s="15">
        <v>13</v>
      </c>
      <c r="E92" s="13">
        <v>6</v>
      </c>
    </row>
    <row r="93" spans="1:7" x14ac:dyDescent="0.4">
      <c r="A93" s="115"/>
      <c r="B93" s="16">
        <v>40</v>
      </c>
      <c r="C93" s="14"/>
      <c r="D93" s="16">
        <v>0</v>
      </c>
      <c r="E93" s="14"/>
    </row>
    <row r="94" spans="1:7" x14ac:dyDescent="0.4">
      <c r="A94" s="119">
        <v>0</v>
      </c>
      <c r="B94" s="31">
        <v>0</v>
      </c>
      <c r="C94" s="31">
        <v>0</v>
      </c>
      <c r="D94" s="33">
        <v>0</v>
      </c>
      <c r="E94" s="31">
        <v>0</v>
      </c>
    </row>
    <row r="95" spans="1:7" x14ac:dyDescent="0.4">
      <c r="A95" s="120"/>
      <c r="B95" s="14"/>
      <c r="C95" s="14"/>
      <c r="D95" s="16">
        <v>10</v>
      </c>
      <c r="E95" s="14"/>
    </row>
    <row r="97" spans="1:7" x14ac:dyDescent="0.4">
      <c r="A97" s="1" t="s">
        <v>10</v>
      </c>
    </row>
    <row r="99" spans="1:7" x14ac:dyDescent="0.4">
      <c r="A99" s="22"/>
      <c r="B99" s="23" t="s">
        <v>44</v>
      </c>
      <c r="C99" s="23" t="s">
        <v>20</v>
      </c>
      <c r="D99" s="23" t="s">
        <v>21</v>
      </c>
      <c r="E99" s="28" t="s">
        <v>22</v>
      </c>
      <c r="G99" s="42" t="s">
        <v>12</v>
      </c>
    </row>
    <row r="100" spans="1:7" x14ac:dyDescent="0.4">
      <c r="A100" s="34" t="s">
        <v>23</v>
      </c>
      <c r="B100" s="13">
        <v>1</v>
      </c>
      <c r="C100" s="13">
        <v>2</v>
      </c>
      <c r="D100" s="13">
        <v>3</v>
      </c>
      <c r="E100" s="15">
        <v>1</v>
      </c>
      <c r="G100" s="42" t="s">
        <v>13</v>
      </c>
    </row>
    <row r="101" spans="1:7" x14ac:dyDescent="0.4">
      <c r="A101" s="35"/>
      <c r="B101" s="14"/>
      <c r="C101" s="14" t="s">
        <v>28</v>
      </c>
      <c r="D101" s="14"/>
      <c r="E101" s="16">
        <v>40</v>
      </c>
      <c r="G101" s="42" t="s">
        <v>14</v>
      </c>
    </row>
    <row r="102" spans="1:7" x14ac:dyDescent="0.4">
      <c r="A102" s="34" t="s">
        <v>24</v>
      </c>
      <c r="B102" s="13">
        <v>4</v>
      </c>
      <c r="C102" s="15">
        <v>2</v>
      </c>
      <c r="D102" s="15">
        <v>2</v>
      </c>
      <c r="E102" s="13">
        <v>9</v>
      </c>
      <c r="G102" s="42" t="s">
        <v>15</v>
      </c>
    </row>
    <row r="103" spans="1:7" x14ac:dyDescent="0.4">
      <c r="A103" s="35"/>
      <c r="B103" s="14"/>
      <c r="C103" s="16">
        <v>10</v>
      </c>
      <c r="D103" s="16">
        <v>40</v>
      </c>
      <c r="E103" s="14"/>
      <c r="G103" s="42" t="s">
        <v>16</v>
      </c>
    </row>
    <row r="104" spans="1:7" x14ac:dyDescent="0.4">
      <c r="A104" s="34" t="s">
        <v>25</v>
      </c>
      <c r="B104" s="18">
        <v>5</v>
      </c>
      <c r="C104" s="17">
        <v>7</v>
      </c>
      <c r="D104" s="18">
        <v>10</v>
      </c>
      <c r="E104" s="17">
        <v>5</v>
      </c>
      <c r="G104" s="42" t="s">
        <v>17</v>
      </c>
    </row>
    <row r="105" spans="1:7" x14ac:dyDescent="0.4">
      <c r="A105" s="35"/>
      <c r="B105" s="39"/>
      <c r="C105" s="40">
        <v>50</v>
      </c>
      <c r="D105" s="39"/>
      <c r="E105" s="40">
        <v>0</v>
      </c>
      <c r="G105" s="42" t="s">
        <v>43</v>
      </c>
    </row>
    <row r="106" spans="1:7" x14ac:dyDescent="0.4">
      <c r="A106" s="34" t="s">
        <v>26</v>
      </c>
      <c r="B106" s="15">
        <v>4</v>
      </c>
      <c r="C106" s="13">
        <v>15</v>
      </c>
      <c r="D106" s="15">
        <v>13</v>
      </c>
      <c r="E106" s="13">
        <v>6</v>
      </c>
      <c r="G106" s="42" t="s">
        <v>18</v>
      </c>
    </row>
    <row r="107" spans="1:7" x14ac:dyDescent="0.4">
      <c r="A107" s="35"/>
      <c r="B107" s="16">
        <v>40</v>
      </c>
      <c r="C107" s="14"/>
      <c r="D107" s="16">
        <v>0</v>
      </c>
      <c r="E107" s="14" t="s">
        <v>35</v>
      </c>
    </row>
    <row r="108" spans="1:7" x14ac:dyDescent="0.4">
      <c r="A108" s="36" t="s">
        <v>27</v>
      </c>
      <c r="B108" s="31">
        <v>0</v>
      </c>
      <c r="C108" s="31">
        <v>0</v>
      </c>
      <c r="D108" s="33">
        <v>0</v>
      </c>
      <c r="E108" s="31">
        <v>0</v>
      </c>
    </row>
    <row r="109" spans="1:7" x14ac:dyDescent="0.4">
      <c r="A109" s="37"/>
      <c r="B109" s="14"/>
      <c r="C109" s="14"/>
      <c r="D109" s="16">
        <v>10</v>
      </c>
      <c r="E109" s="14"/>
    </row>
    <row r="111" spans="1:7" x14ac:dyDescent="0.4">
      <c r="A111" s="42" t="s">
        <v>45</v>
      </c>
    </row>
    <row r="113" spans="1:7" x14ac:dyDescent="0.4">
      <c r="A113" s="22"/>
      <c r="B113" s="23" t="s">
        <v>44</v>
      </c>
      <c r="C113" s="23" t="s">
        <v>20</v>
      </c>
      <c r="D113" s="23" t="s">
        <v>21</v>
      </c>
      <c r="E113" s="28" t="s">
        <v>22</v>
      </c>
    </row>
    <row r="114" spans="1:7" x14ac:dyDescent="0.4">
      <c r="A114" s="34" t="s">
        <v>23</v>
      </c>
      <c r="B114" s="13">
        <v>1</v>
      </c>
      <c r="C114" s="13">
        <v>2</v>
      </c>
      <c r="D114" s="13">
        <v>3</v>
      </c>
      <c r="E114" s="15">
        <v>1</v>
      </c>
    </row>
    <row r="115" spans="1:7" x14ac:dyDescent="0.4">
      <c r="A115" s="35"/>
      <c r="B115" s="14"/>
      <c r="C115" s="14" t="s">
        <v>28</v>
      </c>
      <c r="D115" s="14"/>
      <c r="E115" s="16">
        <v>40</v>
      </c>
    </row>
    <row r="116" spans="1:7" x14ac:dyDescent="0.4">
      <c r="A116" s="34" t="s">
        <v>24</v>
      </c>
      <c r="B116" s="13">
        <v>4</v>
      </c>
      <c r="C116" s="15">
        <v>2</v>
      </c>
      <c r="D116" s="15">
        <v>2</v>
      </c>
      <c r="E116" s="13">
        <v>9</v>
      </c>
    </row>
    <row r="117" spans="1:7" x14ac:dyDescent="0.4">
      <c r="A117" s="35"/>
      <c r="B117" s="14"/>
      <c r="C117" s="16" t="s">
        <v>49</v>
      </c>
      <c r="D117" s="16" t="s">
        <v>48</v>
      </c>
      <c r="E117" s="14"/>
    </row>
    <row r="118" spans="1:7" x14ac:dyDescent="0.4">
      <c r="A118" s="34" t="s">
        <v>25</v>
      </c>
      <c r="B118" s="18">
        <v>5</v>
      </c>
      <c r="C118" s="17">
        <v>7</v>
      </c>
      <c r="D118" s="18">
        <v>10</v>
      </c>
      <c r="E118" s="17">
        <v>5</v>
      </c>
    </row>
    <row r="119" spans="1:7" x14ac:dyDescent="0.4">
      <c r="A119" s="35"/>
      <c r="B119" s="39"/>
      <c r="C119" s="40" t="s">
        <v>50</v>
      </c>
      <c r="D119" s="39"/>
      <c r="E119" s="40" t="s">
        <v>47</v>
      </c>
    </row>
    <row r="120" spans="1:7" x14ac:dyDescent="0.4">
      <c r="A120" s="34" t="s">
        <v>26</v>
      </c>
      <c r="B120" s="15">
        <v>4</v>
      </c>
      <c r="C120" s="13">
        <v>15</v>
      </c>
      <c r="D120" s="15">
        <v>13</v>
      </c>
      <c r="E120" s="13">
        <v>6</v>
      </c>
    </row>
    <row r="121" spans="1:7" x14ac:dyDescent="0.4">
      <c r="A121" s="35"/>
      <c r="B121" s="16">
        <v>40</v>
      </c>
      <c r="C121" s="14"/>
      <c r="D121" s="16" t="s">
        <v>47</v>
      </c>
      <c r="E121" s="14" t="s">
        <v>46</v>
      </c>
    </row>
    <row r="122" spans="1:7" x14ac:dyDescent="0.4">
      <c r="A122" s="36" t="s">
        <v>27</v>
      </c>
      <c r="B122" s="31">
        <v>0</v>
      </c>
      <c r="C122" s="31">
        <v>0</v>
      </c>
      <c r="D122" s="33">
        <v>0</v>
      </c>
      <c r="E122" s="31">
        <v>0</v>
      </c>
    </row>
    <row r="123" spans="1:7" x14ac:dyDescent="0.4">
      <c r="A123" s="37"/>
      <c r="B123" s="14"/>
      <c r="C123" s="14"/>
      <c r="D123" s="16">
        <v>10</v>
      </c>
      <c r="E123" s="14"/>
      <c r="G123" s="42" t="s">
        <v>51</v>
      </c>
    </row>
    <row r="125" spans="1:7" x14ac:dyDescent="0.4">
      <c r="A125" s="1" t="s">
        <v>42</v>
      </c>
    </row>
    <row r="127" spans="1:7" x14ac:dyDescent="0.4">
      <c r="A127" s="22" t="s">
        <v>5</v>
      </c>
      <c r="B127" s="23">
        <v>0</v>
      </c>
      <c r="C127" s="23">
        <v>0</v>
      </c>
      <c r="D127" s="23">
        <v>0</v>
      </c>
      <c r="E127" s="28">
        <v>0</v>
      </c>
    </row>
    <row r="128" spans="1:7" x14ac:dyDescent="0.4">
      <c r="A128" s="114">
        <v>0</v>
      </c>
      <c r="B128" s="13">
        <v>1</v>
      </c>
      <c r="C128" s="13">
        <v>2</v>
      </c>
      <c r="D128" s="13">
        <v>3</v>
      </c>
      <c r="E128" s="15">
        <v>1</v>
      </c>
    </row>
    <row r="129" spans="1:7" x14ac:dyDescent="0.4">
      <c r="A129" s="115"/>
      <c r="B129" s="14"/>
      <c r="C129" s="14"/>
      <c r="D129" s="14"/>
      <c r="E129" s="16">
        <v>40</v>
      </c>
    </row>
    <row r="130" spans="1:7" x14ac:dyDescent="0.4">
      <c r="A130" s="114">
        <v>0</v>
      </c>
      <c r="B130" s="13">
        <v>4</v>
      </c>
      <c r="C130" s="15">
        <v>2</v>
      </c>
      <c r="D130" s="15">
        <v>2</v>
      </c>
      <c r="E130" s="13">
        <v>9</v>
      </c>
    </row>
    <row r="131" spans="1:7" x14ac:dyDescent="0.4">
      <c r="A131" s="115"/>
      <c r="B131" s="14"/>
      <c r="C131" s="16">
        <v>10</v>
      </c>
      <c r="D131" s="16">
        <v>40</v>
      </c>
      <c r="E131" s="14"/>
    </row>
    <row r="132" spans="1:7" x14ac:dyDescent="0.4">
      <c r="A132" s="114">
        <v>0</v>
      </c>
      <c r="B132" s="18">
        <v>5</v>
      </c>
      <c r="C132" s="17">
        <v>7</v>
      </c>
      <c r="D132" s="18">
        <v>10</v>
      </c>
      <c r="E132" s="18">
        <v>5</v>
      </c>
    </row>
    <row r="133" spans="1:7" x14ac:dyDescent="0.4">
      <c r="A133" s="115"/>
      <c r="B133" s="39"/>
      <c r="C133" s="40">
        <v>50</v>
      </c>
      <c r="D133" s="39"/>
      <c r="E133" s="39"/>
    </row>
    <row r="134" spans="1:7" x14ac:dyDescent="0.4">
      <c r="A134" s="114">
        <v>0</v>
      </c>
      <c r="B134" s="15">
        <v>4</v>
      </c>
      <c r="C134" s="13">
        <v>15</v>
      </c>
      <c r="D134" s="15">
        <v>13</v>
      </c>
      <c r="E134" s="15">
        <v>6</v>
      </c>
    </row>
    <row r="135" spans="1:7" x14ac:dyDescent="0.4">
      <c r="A135" s="115"/>
      <c r="B135" s="16">
        <v>40</v>
      </c>
      <c r="C135" s="14"/>
      <c r="D135" s="16">
        <v>0</v>
      </c>
      <c r="E135" s="16">
        <v>0</v>
      </c>
    </row>
    <row r="136" spans="1:7" x14ac:dyDescent="0.4">
      <c r="A136" s="119">
        <v>0</v>
      </c>
      <c r="B136" s="31">
        <v>0</v>
      </c>
      <c r="C136" s="31">
        <v>0</v>
      </c>
      <c r="D136" s="33">
        <v>0</v>
      </c>
      <c r="E136" s="31">
        <v>0</v>
      </c>
    </row>
    <row r="137" spans="1:7" x14ac:dyDescent="0.4">
      <c r="A137" s="120"/>
      <c r="B137" s="14"/>
      <c r="C137" s="14"/>
      <c r="D137" s="16">
        <v>10</v>
      </c>
      <c r="E137" s="14"/>
    </row>
    <row r="139" spans="1:7" x14ac:dyDescent="0.4">
      <c r="A139" s="1" t="s">
        <v>10</v>
      </c>
    </row>
    <row r="141" spans="1:7" x14ac:dyDescent="0.4">
      <c r="A141" s="22"/>
      <c r="B141" s="23" t="s">
        <v>53</v>
      </c>
      <c r="C141" s="23" t="s">
        <v>54</v>
      </c>
      <c r="D141" s="23" t="s">
        <v>55</v>
      </c>
      <c r="E141" s="28" t="s">
        <v>22</v>
      </c>
      <c r="G141" s="42" t="s">
        <v>12</v>
      </c>
    </row>
    <row r="142" spans="1:7" x14ac:dyDescent="0.4">
      <c r="A142" s="114" t="s">
        <v>23</v>
      </c>
      <c r="B142" s="13">
        <v>1</v>
      </c>
      <c r="C142" s="13">
        <v>2</v>
      </c>
      <c r="D142" s="13">
        <v>3</v>
      </c>
      <c r="E142" s="15">
        <v>1</v>
      </c>
      <c r="G142" s="42" t="s">
        <v>60</v>
      </c>
    </row>
    <row r="143" spans="1:7" x14ac:dyDescent="0.4">
      <c r="A143" s="115"/>
      <c r="B143" s="14"/>
      <c r="C143" s="14" t="s">
        <v>68</v>
      </c>
      <c r="D143" s="14" t="s">
        <v>35</v>
      </c>
      <c r="E143" s="16">
        <v>40</v>
      </c>
      <c r="G143" s="42" t="s">
        <v>61</v>
      </c>
    </row>
    <row r="144" spans="1:7" x14ac:dyDescent="0.4">
      <c r="A144" s="114" t="s">
        <v>56</v>
      </c>
      <c r="B144" s="13">
        <v>4</v>
      </c>
      <c r="C144" s="15">
        <v>2</v>
      </c>
      <c r="D144" s="15">
        <v>2</v>
      </c>
      <c r="E144" s="13">
        <v>9</v>
      </c>
      <c r="G144" s="42" t="s">
        <v>62</v>
      </c>
    </row>
    <row r="145" spans="1:7" x14ac:dyDescent="0.4">
      <c r="A145" s="115"/>
      <c r="B145" s="14"/>
      <c r="C145" s="16">
        <v>10</v>
      </c>
      <c r="D145" s="16">
        <v>40</v>
      </c>
      <c r="E145" s="14"/>
      <c r="G145" s="42" t="s">
        <v>63</v>
      </c>
    </row>
    <row r="146" spans="1:7" x14ac:dyDescent="0.4">
      <c r="A146" s="114" t="s">
        <v>57</v>
      </c>
      <c r="B146" s="18">
        <v>5</v>
      </c>
      <c r="C146" s="17">
        <v>7</v>
      </c>
      <c r="D146" s="18">
        <v>10</v>
      </c>
      <c r="E146" s="18">
        <v>5</v>
      </c>
      <c r="G146" s="42" t="s">
        <v>64</v>
      </c>
    </row>
    <row r="147" spans="1:7" x14ac:dyDescent="0.4">
      <c r="A147" s="115"/>
      <c r="B147" s="39"/>
      <c r="C147" s="40">
        <v>50</v>
      </c>
      <c r="D147" s="39"/>
      <c r="E147" s="39">
        <v>0</v>
      </c>
      <c r="G147" s="42" t="s">
        <v>65</v>
      </c>
    </row>
    <row r="148" spans="1:7" x14ac:dyDescent="0.4">
      <c r="A148" s="114" t="s">
        <v>58</v>
      </c>
      <c r="B148" s="15">
        <v>4</v>
      </c>
      <c r="C148" s="13">
        <v>15</v>
      </c>
      <c r="D148" s="15">
        <v>13</v>
      </c>
      <c r="E148" s="15">
        <v>6</v>
      </c>
      <c r="G148" s="42" t="s">
        <v>66</v>
      </c>
    </row>
    <row r="149" spans="1:7" x14ac:dyDescent="0.4">
      <c r="A149" s="115"/>
      <c r="B149" s="16">
        <v>40</v>
      </c>
      <c r="C149" s="14"/>
      <c r="D149" s="16">
        <v>0</v>
      </c>
      <c r="E149" s="16">
        <v>0</v>
      </c>
    </row>
    <row r="150" spans="1:7" x14ac:dyDescent="0.4">
      <c r="A150" s="119" t="s">
        <v>59</v>
      </c>
      <c r="B150" s="31">
        <v>0</v>
      </c>
      <c r="C150" s="31">
        <v>0</v>
      </c>
      <c r="D150" s="33">
        <v>0</v>
      </c>
      <c r="E150" s="31">
        <v>0</v>
      </c>
    </row>
    <row r="151" spans="1:7" x14ac:dyDescent="0.4">
      <c r="A151" s="120"/>
      <c r="B151" s="14"/>
      <c r="C151" s="14"/>
      <c r="D151" s="16">
        <v>10</v>
      </c>
      <c r="E151" s="14"/>
    </row>
    <row r="153" spans="1:7" x14ac:dyDescent="0.4">
      <c r="A153" s="42" t="s">
        <v>67</v>
      </c>
    </row>
    <row r="155" spans="1:7" x14ac:dyDescent="0.4">
      <c r="A155" s="22"/>
      <c r="B155" s="23" t="s">
        <v>53</v>
      </c>
      <c r="C155" s="23" t="s">
        <v>54</v>
      </c>
      <c r="D155" s="23" t="s">
        <v>55</v>
      </c>
      <c r="E155" s="28" t="s">
        <v>22</v>
      </c>
    </row>
    <row r="156" spans="1:7" x14ac:dyDescent="0.4">
      <c r="A156" s="114" t="s">
        <v>23</v>
      </c>
      <c r="B156" s="13">
        <v>1</v>
      </c>
      <c r="C156" s="13">
        <v>2</v>
      </c>
      <c r="D156" s="13">
        <v>3</v>
      </c>
      <c r="E156" s="15">
        <v>1</v>
      </c>
    </row>
    <row r="157" spans="1:7" x14ac:dyDescent="0.4">
      <c r="A157" s="115"/>
      <c r="B157" s="14"/>
      <c r="C157" s="14" t="s">
        <v>69</v>
      </c>
      <c r="D157" s="14" t="s">
        <v>35</v>
      </c>
      <c r="E157" s="16" t="s">
        <v>39</v>
      </c>
    </row>
    <row r="158" spans="1:7" x14ac:dyDescent="0.4">
      <c r="A158" s="114" t="s">
        <v>56</v>
      </c>
      <c r="B158" s="13">
        <v>4</v>
      </c>
      <c r="C158" s="15">
        <v>2</v>
      </c>
      <c r="D158" s="15">
        <v>2</v>
      </c>
      <c r="E158" s="13">
        <v>9</v>
      </c>
    </row>
    <row r="159" spans="1:7" x14ac:dyDescent="0.4">
      <c r="A159" s="115"/>
      <c r="B159" s="14"/>
      <c r="C159" s="16" t="s">
        <v>49</v>
      </c>
      <c r="D159" s="16" t="s">
        <v>48</v>
      </c>
      <c r="E159" s="14"/>
    </row>
    <row r="160" spans="1:7" x14ac:dyDescent="0.4">
      <c r="A160" s="114" t="s">
        <v>57</v>
      </c>
      <c r="B160" s="18">
        <v>5</v>
      </c>
      <c r="C160" s="17">
        <v>7</v>
      </c>
      <c r="D160" s="18">
        <v>10</v>
      </c>
      <c r="E160" s="18">
        <v>5</v>
      </c>
    </row>
    <row r="161" spans="1:7" x14ac:dyDescent="0.4">
      <c r="A161" s="115"/>
      <c r="B161" s="39"/>
      <c r="C161" s="40">
        <v>50</v>
      </c>
      <c r="D161" s="39"/>
      <c r="E161" s="39">
        <v>0</v>
      </c>
    </row>
    <row r="162" spans="1:7" x14ac:dyDescent="0.4">
      <c r="A162" s="114" t="s">
        <v>58</v>
      </c>
      <c r="B162" s="15">
        <v>4</v>
      </c>
      <c r="C162" s="13">
        <v>15</v>
      </c>
      <c r="D162" s="15">
        <v>13</v>
      </c>
      <c r="E162" s="15">
        <v>6</v>
      </c>
    </row>
    <row r="163" spans="1:7" x14ac:dyDescent="0.4">
      <c r="A163" s="115"/>
      <c r="B163" s="16">
        <v>40</v>
      </c>
      <c r="C163" s="14"/>
      <c r="D163" s="16" t="s">
        <v>47</v>
      </c>
      <c r="E163" s="16" t="s">
        <v>37</v>
      </c>
    </row>
    <row r="164" spans="1:7" x14ac:dyDescent="0.4">
      <c r="A164" s="119" t="s">
        <v>59</v>
      </c>
      <c r="B164" s="31">
        <v>0</v>
      </c>
      <c r="C164" s="31">
        <v>0</v>
      </c>
      <c r="D164" s="33">
        <v>0</v>
      </c>
      <c r="E164" s="31">
        <v>0</v>
      </c>
    </row>
    <row r="165" spans="1:7" x14ac:dyDescent="0.4">
      <c r="A165" s="120"/>
      <c r="B165" s="14"/>
      <c r="C165" s="14"/>
      <c r="D165" s="16">
        <v>10</v>
      </c>
      <c r="E165" s="14"/>
      <c r="G165" s="42" t="s">
        <v>70</v>
      </c>
    </row>
    <row r="167" spans="1:7" x14ac:dyDescent="0.4">
      <c r="A167" s="1" t="s">
        <v>42</v>
      </c>
    </row>
    <row r="169" spans="1:7" x14ac:dyDescent="0.4">
      <c r="A169" s="22" t="s">
        <v>5</v>
      </c>
      <c r="B169" s="23">
        <v>0</v>
      </c>
      <c r="C169" s="23">
        <v>0</v>
      </c>
      <c r="D169" s="23">
        <v>0</v>
      </c>
      <c r="E169" s="28">
        <v>0</v>
      </c>
    </row>
    <row r="170" spans="1:7" x14ac:dyDescent="0.4">
      <c r="A170" s="114">
        <v>0</v>
      </c>
      <c r="B170" s="13">
        <v>1</v>
      </c>
      <c r="C170" s="15">
        <v>2</v>
      </c>
      <c r="D170" s="13">
        <v>3</v>
      </c>
      <c r="E170" s="15">
        <v>1</v>
      </c>
    </row>
    <row r="171" spans="1:7" x14ac:dyDescent="0.4">
      <c r="A171" s="115"/>
      <c r="B171" s="14"/>
      <c r="C171" s="16">
        <v>0</v>
      </c>
      <c r="D171" s="14"/>
      <c r="E171" s="16">
        <v>40</v>
      </c>
    </row>
    <row r="172" spans="1:7" x14ac:dyDescent="0.4">
      <c r="A172" s="114">
        <v>0</v>
      </c>
      <c r="B172" s="13">
        <v>4</v>
      </c>
      <c r="C172" s="15">
        <v>2</v>
      </c>
      <c r="D172" s="15">
        <v>2</v>
      </c>
      <c r="E172" s="13">
        <v>9</v>
      </c>
    </row>
    <row r="173" spans="1:7" x14ac:dyDescent="0.4">
      <c r="A173" s="115"/>
      <c r="B173" s="14"/>
      <c r="C173" s="16">
        <v>10</v>
      </c>
      <c r="D173" s="16">
        <v>40</v>
      </c>
      <c r="E173" s="14"/>
    </row>
    <row r="174" spans="1:7" x14ac:dyDescent="0.4">
      <c r="A174" s="114">
        <v>0</v>
      </c>
      <c r="B174" s="18">
        <v>5</v>
      </c>
      <c r="C174" s="17">
        <v>7</v>
      </c>
      <c r="D174" s="18">
        <v>10</v>
      </c>
      <c r="E174" s="18">
        <v>5</v>
      </c>
    </row>
    <row r="175" spans="1:7" x14ac:dyDescent="0.4">
      <c r="A175" s="115"/>
      <c r="B175" s="39"/>
      <c r="C175" s="40">
        <v>50</v>
      </c>
      <c r="D175" s="39"/>
      <c r="E175" s="39"/>
    </row>
    <row r="176" spans="1:7" x14ac:dyDescent="0.4">
      <c r="A176" s="114">
        <v>0</v>
      </c>
      <c r="B176" s="15">
        <v>4</v>
      </c>
      <c r="C176" s="13">
        <v>15</v>
      </c>
      <c r="D176" s="13">
        <v>13</v>
      </c>
      <c r="E176" s="15">
        <v>6</v>
      </c>
    </row>
    <row r="177" spans="1:7" x14ac:dyDescent="0.4">
      <c r="A177" s="115"/>
      <c r="B177" s="16">
        <v>40</v>
      </c>
      <c r="C177" s="14"/>
      <c r="D177" s="14"/>
      <c r="E177" s="16">
        <v>0</v>
      </c>
    </row>
    <row r="178" spans="1:7" x14ac:dyDescent="0.4">
      <c r="A178" s="119">
        <v>0</v>
      </c>
      <c r="B178" s="31">
        <v>0</v>
      </c>
      <c r="C178" s="31">
        <v>0</v>
      </c>
      <c r="D178" s="33">
        <v>0</v>
      </c>
      <c r="E178" s="31">
        <v>0</v>
      </c>
    </row>
    <row r="179" spans="1:7" x14ac:dyDescent="0.4">
      <c r="A179" s="120"/>
      <c r="B179" s="14"/>
      <c r="C179" s="14"/>
      <c r="D179" s="16">
        <v>10</v>
      </c>
      <c r="E179" s="14"/>
    </row>
    <row r="181" spans="1:7" x14ac:dyDescent="0.4">
      <c r="A181" s="1" t="s">
        <v>10</v>
      </c>
    </row>
    <row r="183" spans="1:7" x14ac:dyDescent="0.4">
      <c r="A183" s="22"/>
      <c r="B183" s="23" t="s">
        <v>53</v>
      </c>
      <c r="C183" s="23" t="s">
        <v>77</v>
      </c>
      <c r="D183" s="23" t="s">
        <v>78</v>
      </c>
      <c r="E183" s="28" t="s">
        <v>22</v>
      </c>
      <c r="G183" s="42" t="s">
        <v>72</v>
      </c>
    </row>
    <row r="184" spans="1:7" x14ac:dyDescent="0.4">
      <c r="A184" s="114" t="s">
        <v>23</v>
      </c>
      <c r="B184" s="13">
        <v>1</v>
      </c>
      <c r="C184" s="15">
        <v>2</v>
      </c>
      <c r="D184" s="13">
        <v>3</v>
      </c>
      <c r="E184" s="15">
        <v>1</v>
      </c>
      <c r="G184" s="42" t="s">
        <v>73</v>
      </c>
    </row>
    <row r="185" spans="1:7" x14ac:dyDescent="0.4">
      <c r="A185" s="115"/>
      <c r="B185" s="14"/>
      <c r="C185" s="16">
        <v>0</v>
      </c>
      <c r="D185" s="14"/>
      <c r="E185" s="16">
        <v>40</v>
      </c>
      <c r="G185" s="42" t="s">
        <v>74</v>
      </c>
    </row>
    <row r="186" spans="1:7" x14ac:dyDescent="0.4">
      <c r="A186" s="114" t="s">
        <v>79</v>
      </c>
      <c r="B186" s="13">
        <v>4</v>
      </c>
      <c r="C186" s="15">
        <v>2</v>
      </c>
      <c r="D186" s="15">
        <v>2</v>
      </c>
      <c r="E186" s="13">
        <v>9</v>
      </c>
      <c r="G186" s="42" t="s">
        <v>75</v>
      </c>
    </row>
    <row r="187" spans="1:7" x14ac:dyDescent="0.4">
      <c r="A187" s="115"/>
      <c r="B187" s="14"/>
      <c r="C187" s="16">
        <v>10</v>
      </c>
      <c r="D187" s="16">
        <v>40</v>
      </c>
      <c r="E187" s="14"/>
      <c r="G187" s="42" t="s">
        <v>76</v>
      </c>
    </row>
    <row r="188" spans="1:7" x14ac:dyDescent="0.4">
      <c r="A188" s="114" t="s">
        <v>80</v>
      </c>
      <c r="B188" s="18">
        <v>5</v>
      </c>
      <c r="C188" s="17">
        <v>7</v>
      </c>
      <c r="D188" s="18">
        <v>10</v>
      </c>
      <c r="E188" s="18">
        <v>5</v>
      </c>
      <c r="G188" s="42" t="s">
        <v>12</v>
      </c>
    </row>
    <row r="189" spans="1:7" x14ac:dyDescent="0.4">
      <c r="A189" s="115"/>
      <c r="B189" s="39"/>
      <c r="C189" s="40">
        <v>50</v>
      </c>
      <c r="D189" s="39"/>
      <c r="E189" s="14" t="s">
        <v>28</v>
      </c>
      <c r="G189" s="42" t="s">
        <v>60</v>
      </c>
    </row>
    <row r="190" spans="1:7" x14ac:dyDescent="0.4">
      <c r="A190" s="114" t="s">
        <v>58</v>
      </c>
      <c r="B190" s="15">
        <v>4</v>
      </c>
      <c r="C190" s="13">
        <v>15</v>
      </c>
      <c r="D190" s="13">
        <v>13</v>
      </c>
      <c r="E190" s="15">
        <v>6</v>
      </c>
      <c r="G190" s="42" t="s">
        <v>61</v>
      </c>
    </row>
    <row r="191" spans="1:7" x14ac:dyDescent="0.4">
      <c r="A191" s="115"/>
      <c r="B191" s="16">
        <v>40</v>
      </c>
      <c r="C191" s="14"/>
      <c r="D191" s="14"/>
      <c r="E191" s="16">
        <v>0</v>
      </c>
    </row>
    <row r="192" spans="1:7" x14ac:dyDescent="0.4">
      <c r="A192" s="119" t="s">
        <v>81</v>
      </c>
      <c r="B192" s="31">
        <v>0</v>
      </c>
      <c r="C192" s="31">
        <v>0</v>
      </c>
      <c r="D192" s="33">
        <v>0</v>
      </c>
      <c r="E192" s="31">
        <v>0</v>
      </c>
    </row>
    <row r="193" spans="1:5" x14ac:dyDescent="0.4">
      <c r="A193" s="120"/>
      <c r="B193" s="14"/>
      <c r="C193" s="14"/>
      <c r="D193" s="16">
        <v>10</v>
      </c>
      <c r="E193" s="14"/>
    </row>
    <row r="195" spans="1:5" x14ac:dyDescent="0.4">
      <c r="A195" s="42" t="s">
        <v>71</v>
      </c>
    </row>
    <row r="197" spans="1:5" x14ac:dyDescent="0.4">
      <c r="A197" s="22"/>
      <c r="B197" s="23" t="s">
        <v>53</v>
      </c>
      <c r="C197" s="23" t="s">
        <v>77</v>
      </c>
      <c r="D197" s="23" t="s">
        <v>78</v>
      </c>
      <c r="E197" s="28" t="s">
        <v>22</v>
      </c>
    </row>
    <row r="198" spans="1:5" x14ac:dyDescent="0.4">
      <c r="A198" s="114" t="s">
        <v>23</v>
      </c>
      <c r="B198" s="13">
        <v>1</v>
      </c>
      <c r="C198" s="15">
        <v>2</v>
      </c>
      <c r="D198" s="13">
        <v>3</v>
      </c>
      <c r="E198" s="15">
        <v>1</v>
      </c>
    </row>
    <row r="199" spans="1:5" x14ac:dyDescent="0.4">
      <c r="A199" s="115"/>
      <c r="B199" s="14"/>
      <c r="C199" s="16" t="s">
        <v>37</v>
      </c>
      <c r="D199" s="14"/>
      <c r="E199" s="16" t="s">
        <v>39</v>
      </c>
    </row>
    <row r="200" spans="1:5" x14ac:dyDescent="0.4">
      <c r="A200" s="114" t="s">
        <v>79</v>
      </c>
      <c r="B200" s="13">
        <v>4</v>
      </c>
      <c r="C200" s="15">
        <v>2</v>
      </c>
      <c r="D200" s="15">
        <v>2</v>
      </c>
      <c r="E200" s="13">
        <v>9</v>
      </c>
    </row>
    <row r="201" spans="1:5" x14ac:dyDescent="0.4">
      <c r="A201" s="115"/>
      <c r="B201" s="14"/>
      <c r="C201" s="16">
        <v>10</v>
      </c>
      <c r="D201" s="16">
        <v>40</v>
      </c>
      <c r="E201" s="14"/>
    </row>
    <row r="202" spans="1:5" x14ac:dyDescent="0.4">
      <c r="A202" s="114" t="s">
        <v>80</v>
      </c>
      <c r="B202" s="18">
        <v>5</v>
      </c>
      <c r="C202" s="17">
        <v>7</v>
      </c>
      <c r="D202" s="18">
        <v>10</v>
      </c>
      <c r="E202" s="18">
        <v>5</v>
      </c>
    </row>
    <row r="203" spans="1:5" x14ac:dyDescent="0.4">
      <c r="A203" s="115"/>
      <c r="B203" s="39"/>
      <c r="C203" s="40" t="s">
        <v>40</v>
      </c>
      <c r="D203" s="39"/>
      <c r="E203" s="14" t="s">
        <v>82</v>
      </c>
    </row>
    <row r="204" spans="1:5" x14ac:dyDescent="0.4">
      <c r="A204" s="114" t="s">
        <v>58</v>
      </c>
      <c r="B204" s="15">
        <v>4</v>
      </c>
      <c r="C204" s="13">
        <v>15</v>
      </c>
      <c r="D204" s="13">
        <v>13</v>
      </c>
      <c r="E204" s="15">
        <v>6</v>
      </c>
    </row>
    <row r="205" spans="1:5" x14ac:dyDescent="0.4">
      <c r="A205" s="115"/>
      <c r="B205" s="16">
        <v>40</v>
      </c>
      <c r="C205" s="14"/>
      <c r="D205" s="14"/>
      <c r="E205" s="16">
        <v>0</v>
      </c>
    </row>
    <row r="206" spans="1:5" x14ac:dyDescent="0.4">
      <c r="A206" s="119" t="s">
        <v>81</v>
      </c>
      <c r="B206" s="31">
        <v>0</v>
      </c>
      <c r="C206" s="31">
        <v>0</v>
      </c>
      <c r="D206" s="33">
        <v>0</v>
      </c>
      <c r="E206" s="31">
        <v>0</v>
      </c>
    </row>
    <row r="207" spans="1:5" x14ac:dyDescent="0.4">
      <c r="A207" s="120"/>
      <c r="B207" s="14"/>
      <c r="C207" s="14"/>
      <c r="D207" s="16">
        <v>10</v>
      </c>
      <c r="E207" s="14"/>
    </row>
    <row r="209" spans="1:5" x14ac:dyDescent="0.4">
      <c r="A209" s="1" t="s">
        <v>42</v>
      </c>
    </row>
    <row r="211" spans="1:5" x14ac:dyDescent="0.4">
      <c r="A211" s="22" t="s">
        <v>5</v>
      </c>
      <c r="B211" s="23">
        <v>0</v>
      </c>
      <c r="C211" s="23">
        <v>0</v>
      </c>
      <c r="D211" s="23">
        <v>0</v>
      </c>
      <c r="E211" s="28">
        <v>0</v>
      </c>
    </row>
    <row r="212" spans="1:5" x14ac:dyDescent="0.4">
      <c r="A212" s="114">
        <v>0</v>
      </c>
      <c r="B212" s="13">
        <v>1</v>
      </c>
      <c r="C212" s="15">
        <v>2</v>
      </c>
      <c r="D212" s="13">
        <v>3</v>
      </c>
      <c r="E212" s="13">
        <v>1</v>
      </c>
    </row>
    <row r="213" spans="1:5" x14ac:dyDescent="0.4">
      <c r="A213" s="115"/>
      <c r="B213" s="14"/>
      <c r="C213" s="16">
        <v>40</v>
      </c>
      <c r="D213" s="14"/>
      <c r="E213" s="14"/>
    </row>
    <row r="214" spans="1:5" x14ac:dyDescent="0.4">
      <c r="A214" s="114">
        <v>0</v>
      </c>
      <c r="B214" s="13">
        <v>4</v>
      </c>
      <c r="C214" s="15">
        <v>2</v>
      </c>
      <c r="D214" s="15">
        <v>2</v>
      </c>
      <c r="E214" s="13">
        <v>9</v>
      </c>
    </row>
    <row r="215" spans="1:5" x14ac:dyDescent="0.4">
      <c r="A215" s="115"/>
      <c r="B215" s="14"/>
      <c r="C215" s="16">
        <v>10</v>
      </c>
      <c r="D215" s="16">
        <v>40</v>
      </c>
      <c r="E215" s="14"/>
    </row>
    <row r="216" spans="1:5" x14ac:dyDescent="0.4">
      <c r="A216" s="114">
        <v>0</v>
      </c>
      <c r="B216" s="18">
        <v>5</v>
      </c>
      <c r="C216" s="17">
        <v>7</v>
      </c>
      <c r="D216" s="18">
        <v>10</v>
      </c>
      <c r="E216" s="17">
        <v>5</v>
      </c>
    </row>
    <row r="217" spans="1:5" x14ac:dyDescent="0.4">
      <c r="A217" s="115"/>
      <c r="B217" s="39"/>
      <c r="C217" s="40">
        <v>10</v>
      </c>
      <c r="D217" s="39"/>
      <c r="E217" s="40">
        <v>40</v>
      </c>
    </row>
    <row r="218" spans="1:5" x14ac:dyDescent="0.4">
      <c r="A218" s="114">
        <v>0</v>
      </c>
      <c r="B218" s="15">
        <v>4</v>
      </c>
      <c r="C218" s="13">
        <v>15</v>
      </c>
      <c r="D218" s="13">
        <v>13</v>
      </c>
      <c r="E218" s="15">
        <v>6</v>
      </c>
    </row>
    <row r="219" spans="1:5" x14ac:dyDescent="0.4">
      <c r="A219" s="115"/>
      <c r="B219" s="16">
        <v>40</v>
      </c>
      <c r="C219" s="14"/>
      <c r="D219" s="14"/>
      <c r="E219" s="16">
        <v>0</v>
      </c>
    </row>
    <row r="220" spans="1:5" x14ac:dyDescent="0.4">
      <c r="A220" s="119">
        <v>0</v>
      </c>
      <c r="B220" s="31">
        <v>0</v>
      </c>
      <c r="C220" s="31">
        <v>0</v>
      </c>
      <c r="D220" s="33">
        <v>0</v>
      </c>
      <c r="E220" s="31">
        <v>0</v>
      </c>
    </row>
    <row r="221" spans="1:5" x14ac:dyDescent="0.4">
      <c r="A221" s="120"/>
      <c r="B221" s="14"/>
      <c r="C221" s="14"/>
      <c r="D221" s="16">
        <v>10</v>
      </c>
      <c r="E221" s="14"/>
    </row>
    <row r="223" spans="1:5" x14ac:dyDescent="0.4">
      <c r="A223" s="1" t="s">
        <v>10</v>
      </c>
    </row>
    <row r="225" spans="1:7" x14ac:dyDescent="0.4">
      <c r="A225" s="22"/>
      <c r="B225" s="23" t="s">
        <v>86</v>
      </c>
      <c r="C225" s="23" t="s">
        <v>77</v>
      </c>
      <c r="D225" s="23" t="s">
        <v>78</v>
      </c>
      <c r="E225" s="28" t="s">
        <v>87</v>
      </c>
      <c r="G225" s="42" t="s">
        <v>72</v>
      </c>
    </row>
    <row r="226" spans="1:7" x14ac:dyDescent="0.4">
      <c r="A226" s="114" t="s">
        <v>23</v>
      </c>
      <c r="B226" s="13">
        <v>1</v>
      </c>
      <c r="C226" s="15">
        <v>2</v>
      </c>
      <c r="D226" s="13">
        <v>3</v>
      </c>
      <c r="E226" s="13">
        <v>1</v>
      </c>
      <c r="G226" s="42" t="s">
        <v>73</v>
      </c>
    </row>
    <row r="227" spans="1:7" x14ac:dyDescent="0.4">
      <c r="A227" s="115"/>
      <c r="B227" s="14"/>
      <c r="C227" s="16">
        <v>40</v>
      </c>
      <c r="D227" s="14"/>
      <c r="E227" s="14"/>
      <c r="G227" s="42" t="s">
        <v>74</v>
      </c>
    </row>
    <row r="228" spans="1:7" x14ac:dyDescent="0.4">
      <c r="A228" s="114" t="s">
        <v>79</v>
      </c>
      <c r="B228" s="13">
        <v>4</v>
      </c>
      <c r="C228" s="15">
        <v>2</v>
      </c>
      <c r="D228" s="15">
        <v>2</v>
      </c>
      <c r="E228" s="13">
        <v>9</v>
      </c>
      <c r="G228" s="42" t="s">
        <v>75</v>
      </c>
    </row>
    <row r="229" spans="1:7" x14ac:dyDescent="0.4">
      <c r="A229" s="115"/>
      <c r="B229" s="14"/>
      <c r="C229" s="16">
        <v>10</v>
      </c>
      <c r="D229" s="16">
        <v>40</v>
      </c>
      <c r="E229" s="14"/>
      <c r="G229" s="42" t="s">
        <v>76</v>
      </c>
    </row>
    <row r="230" spans="1:7" x14ac:dyDescent="0.4">
      <c r="A230" s="114" t="s">
        <v>80</v>
      </c>
      <c r="B230" s="18">
        <v>5</v>
      </c>
      <c r="C230" s="17">
        <v>7</v>
      </c>
      <c r="D230" s="18">
        <v>10</v>
      </c>
      <c r="E230" s="17">
        <v>5</v>
      </c>
      <c r="G230" s="42" t="s">
        <v>83</v>
      </c>
    </row>
    <row r="231" spans="1:7" x14ac:dyDescent="0.4">
      <c r="A231" s="115"/>
      <c r="B231" s="39"/>
      <c r="C231" s="40">
        <v>10</v>
      </c>
      <c r="D231" s="39"/>
      <c r="E231" s="40">
        <v>40</v>
      </c>
      <c r="G231" s="42" t="s">
        <v>84</v>
      </c>
    </row>
    <row r="232" spans="1:7" x14ac:dyDescent="0.4">
      <c r="A232" s="114" t="s">
        <v>88</v>
      </c>
      <c r="B232" s="15">
        <v>4</v>
      </c>
      <c r="C232" s="13">
        <v>15</v>
      </c>
      <c r="D232" s="13">
        <v>13</v>
      </c>
      <c r="E232" s="15">
        <v>6</v>
      </c>
      <c r="G232" s="42" t="s">
        <v>85</v>
      </c>
    </row>
    <row r="233" spans="1:7" x14ac:dyDescent="0.4">
      <c r="A233" s="115"/>
      <c r="B233" s="16">
        <v>40</v>
      </c>
      <c r="C233" s="14"/>
      <c r="D233" s="14"/>
      <c r="E233" s="16">
        <v>0</v>
      </c>
    </row>
    <row r="234" spans="1:7" x14ac:dyDescent="0.4">
      <c r="A234" s="119" t="s">
        <v>81</v>
      </c>
      <c r="B234" s="31">
        <v>0</v>
      </c>
      <c r="C234" s="31">
        <v>0</v>
      </c>
      <c r="D234" s="33">
        <v>0</v>
      </c>
      <c r="E234" s="31">
        <v>0</v>
      </c>
    </row>
    <row r="235" spans="1:7" x14ac:dyDescent="0.4">
      <c r="A235" s="120"/>
      <c r="B235" s="14"/>
      <c r="C235" s="14"/>
      <c r="D235" s="16">
        <v>10</v>
      </c>
      <c r="E235" s="14"/>
    </row>
    <row r="237" spans="1:7" x14ac:dyDescent="0.4">
      <c r="A237" s="1" t="s">
        <v>89</v>
      </c>
    </row>
    <row r="238" spans="1:7" x14ac:dyDescent="0.4">
      <c r="A238" s="1" t="s">
        <v>90</v>
      </c>
    </row>
    <row r="240" spans="1:7" x14ac:dyDescent="0.4">
      <c r="A240" s="1" t="s">
        <v>93</v>
      </c>
    </row>
    <row r="241" spans="1:11" x14ac:dyDescent="0.4">
      <c r="A241" s="1" t="s">
        <v>96</v>
      </c>
    </row>
    <row r="242" spans="1:11" x14ac:dyDescent="0.4">
      <c r="A242" s="1" t="s">
        <v>95</v>
      </c>
    </row>
    <row r="243" spans="1:11" x14ac:dyDescent="0.4">
      <c r="A243" s="1" t="s">
        <v>97</v>
      </c>
    </row>
    <row r="244" spans="1:11" x14ac:dyDescent="0.4">
      <c r="A244" s="1" t="s">
        <v>98</v>
      </c>
    </row>
    <row r="245" spans="1:11" x14ac:dyDescent="0.4">
      <c r="A245" s="1" t="s">
        <v>91</v>
      </c>
    </row>
    <row r="246" spans="1:11" x14ac:dyDescent="0.4">
      <c r="A246" s="1" t="s">
        <v>94</v>
      </c>
    </row>
    <row r="247" spans="1:11" x14ac:dyDescent="0.4">
      <c r="A247" s="1" t="s">
        <v>92</v>
      </c>
    </row>
    <row r="249" spans="1:11" x14ac:dyDescent="0.4">
      <c r="A249" s="1" t="s">
        <v>99</v>
      </c>
    </row>
    <row r="251" spans="1:11" x14ac:dyDescent="0.4">
      <c r="A251" s="22" t="s">
        <v>5</v>
      </c>
      <c r="B251" s="22">
        <v>40</v>
      </c>
      <c r="C251" s="22">
        <v>60</v>
      </c>
      <c r="D251" s="22">
        <v>50</v>
      </c>
      <c r="E251" s="22">
        <v>40</v>
      </c>
      <c r="G251" s="22" t="s">
        <v>5</v>
      </c>
      <c r="H251" s="22">
        <f>SUM(H252:H256)</f>
        <v>40</v>
      </c>
      <c r="I251" s="22">
        <f t="shared" ref="I251:K251" si="0">SUM(I252:I256)</f>
        <v>60</v>
      </c>
      <c r="J251" s="22">
        <f t="shared" si="0"/>
        <v>50</v>
      </c>
      <c r="K251" s="22">
        <f t="shared" si="0"/>
        <v>40</v>
      </c>
    </row>
    <row r="252" spans="1:11" x14ac:dyDescent="0.4">
      <c r="A252" s="22">
        <v>40</v>
      </c>
      <c r="B252" s="43">
        <v>1</v>
      </c>
      <c r="C252" s="43">
        <v>2</v>
      </c>
      <c r="D252" s="43">
        <v>3</v>
      </c>
      <c r="E252" s="43">
        <v>1</v>
      </c>
      <c r="G252" s="22">
        <f>SUM(H252:K252)</f>
        <v>40</v>
      </c>
      <c r="H252" s="43">
        <v>0</v>
      </c>
      <c r="I252" s="43">
        <v>40</v>
      </c>
      <c r="J252" s="43">
        <v>0</v>
      </c>
      <c r="K252" s="43">
        <v>0</v>
      </c>
    </row>
    <row r="253" spans="1:11" x14ac:dyDescent="0.4">
      <c r="A253" s="22">
        <v>50</v>
      </c>
      <c r="B253" s="43">
        <v>4</v>
      </c>
      <c r="C253" s="43">
        <v>2</v>
      </c>
      <c r="D253" s="43">
        <v>2</v>
      </c>
      <c r="E253" s="43">
        <v>9</v>
      </c>
      <c r="G253" s="22">
        <f t="shared" ref="G253:G256" si="1">SUM(H253:K253)</f>
        <v>50</v>
      </c>
      <c r="H253" s="43">
        <v>0</v>
      </c>
      <c r="I253" s="43">
        <v>6</v>
      </c>
      <c r="J253" s="43">
        <v>44</v>
      </c>
      <c r="K253" s="43">
        <v>0</v>
      </c>
    </row>
    <row r="254" spans="1:11" x14ac:dyDescent="0.4">
      <c r="A254" s="22">
        <v>50</v>
      </c>
      <c r="B254" s="43">
        <v>5</v>
      </c>
      <c r="C254" s="43">
        <v>7</v>
      </c>
      <c r="D254" s="43">
        <v>10</v>
      </c>
      <c r="E254" s="43">
        <v>5</v>
      </c>
      <c r="G254" s="22">
        <f t="shared" si="1"/>
        <v>50</v>
      </c>
      <c r="H254" s="43">
        <v>0</v>
      </c>
      <c r="I254" s="43">
        <v>10</v>
      </c>
      <c r="J254" s="43">
        <v>0</v>
      </c>
      <c r="K254" s="43">
        <v>40</v>
      </c>
    </row>
    <row r="255" spans="1:11" x14ac:dyDescent="0.4">
      <c r="A255" s="22">
        <v>40</v>
      </c>
      <c r="B255" s="43">
        <v>4</v>
      </c>
      <c r="C255" s="43">
        <v>15</v>
      </c>
      <c r="D255" s="43">
        <v>13</v>
      </c>
      <c r="E255" s="43">
        <v>6</v>
      </c>
      <c r="G255" s="22">
        <f t="shared" si="1"/>
        <v>40</v>
      </c>
      <c r="H255" s="43">
        <v>40</v>
      </c>
      <c r="I255" s="43">
        <v>0</v>
      </c>
      <c r="J255" s="43">
        <v>0</v>
      </c>
      <c r="K255" s="43">
        <v>0</v>
      </c>
    </row>
    <row r="256" spans="1:11" x14ac:dyDescent="0.4">
      <c r="A256" s="44">
        <v>10</v>
      </c>
      <c r="B256" s="45">
        <v>0</v>
      </c>
      <c r="C256" s="45">
        <v>0</v>
      </c>
      <c r="D256" s="45">
        <v>0</v>
      </c>
      <c r="E256" s="45">
        <v>0</v>
      </c>
      <c r="G256" s="22">
        <f t="shared" si="1"/>
        <v>10</v>
      </c>
      <c r="H256" s="45">
        <v>0</v>
      </c>
      <c r="I256" s="45">
        <v>4</v>
      </c>
      <c r="J256" s="45">
        <v>6</v>
      </c>
      <c r="K256" s="45">
        <v>0</v>
      </c>
    </row>
    <row r="258" spans="1:8" x14ac:dyDescent="0.4">
      <c r="G258" s="46" t="s">
        <v>100</v>
      </c>
      <c r="H258" s="47">
        <f>SUMPRODUCT(B252:E256,H252:K256)</f>
        <v>610</v>
      </c>
    </row>
    <row r="260" spans="1:8" s="118" customFormat="1" x14ac:dyDescent="0.4">
      <c r="A260" s="118" t="s">
        <v>101</v>
      </c>
    </row>
    <row r="262" spans="1:8" x14ac:dyDescent="0.4">
      <c r="A262" s="1" t="s">
        <v>102</v>
      </c>
      <c r="C262" s="1" t="s">
        <v>103</v>
      </c>
    </row>
    <row r="264" spans="1:8" x14ac:dyDescent="0.4">
      <c r="A264" s="22" t="s">
        <v>5</v>
      </c>
      <c r="B264" s="23">
        <v>40</v>
      </c>
      <c r="C264" s="23">
        <v>40</v>
      </c>
      <c r="D264" s="23">
        <v>50</v>
      </c>
      <c r="E264" s="28">
        <v>20</v>
      </c>
      <c r="F264" s="51">
        <v>20</v>
      </c>
    </row>
    <row r="265" spans="1:8" x14ac:dyDescent="0.4">
      <c r="A265" s="114">
        <v>20</v>
      </c>
      <c r="B265" s="8">
        <v>1</v>
      </c>
      <c r="C265" s="8">
        <v>2</v>
      </c>
      <c r="D265" s="8">
        <v>3</v>
      </c>
      <c r="E265" s="8">
        <v>1</v>
      </c>
      <c r="F265" s="9">
        <v>1</v>
      </c>
    </row>
    <row r="266" spans="1:8" x14ac:dyDescent="0.4">
      <c r="A266" s="115"/>
      <c r="B266" s="12"/>
      <c r="C266" s="12"/>
      <c r="D266" s="12"/>
      <c r="E266" s="12"/>
      <c r="F266" s="9"/>
    </row>
    <row r="267" spans="1:8" x14ac:dyDescent="0.4">
      <c r="A267" s="114">
        <v>50</v>
      </c>
      <c r="B267" s="8">
        <v>4</v>
      </c>
      <c r="C267" s="8">
        <v>2</v>
      </c>
      <c r="D267" s="8">
        <v>2</v>
      </c>
      <c r="E267" s="5">
        <v>9</v>
      </c>
      <c r="F267" s="26">
        <v>9</v>
      </c>
    </row>
    <row r="268" spans="1:8" x14ac:dyDescent="0.4">
      <c r="A268" s="115"/>
      <c r="B268" s="12"/>
      <c r="C268" s="12"/>
      <c r="D268" s="12"/>
      <c r="E268" s="50"/>
      <c r="F268" s="11"/>
    </row>
    <row r="269" spans="1:8" x14ac:dyDescent="0.4">
      <c r="A269" s="114">
        <v>50</v>
      </c>
      <c r="B269" s="10">
        <v>5</v>
      </c>
      <c r="C269" s="10">
        <v>7</v>
      </c>
      <c r="D269" s="10">
        <v>10</v>
      </c>
      <c r="E269" s="10">
        <v>5</v>
      </c>
      <c r="F269" s="9" t="s">
        <v>104</v>
      </c>
    </row>
    <row r="270" spans="1:8" x14ac:dyDescent="0.4">
      <c r="A270" s="115"/>
      <c r="B270" s="38"/>
      <c r="C270" s="38"/>
      <c r="D270" s="38"/>
      <c r="E270" s="38"/>
      <c r="F270" s="11"/>
    </row>
    <row r="271" spans="1:8" x14ac:dyDescent="0.4">
      <c r="A271" s="114">
        <v>40</v>
      </c>
      <c r="B271" s="8">
        <v>4</v>
      </c>
      <c r="C271" s="8">
        <v>15</v>
      </c>
      <c r="D271" s="8">
        <v>13</v>
      </c>
      <c r="E271" s="8">
        <v>6</v>
      </c>
      <c r="F271" s="9">
        <v>6</v>
      </c>
    </row>
    <row r="272" spans="1:8" x14ac:dyDescent="0.4">
      <c r="A272" s="115"/>
      <c r="B272" s="12"/>
      <c r="C272" s="12"/>
      <c r="D272" s="12"/>
      <c r="E272" s="12"/>
      <c r="F272" s="11"/>
    </row>
    <row r="273" spans="1:55" x14ac:dyDescent="0.4">
      <c r="A273" s="53"/>
      <c r="B273" s="48"/>
      <c r="C273" s="48"/>
      <c r="D273" s="48"/>
      <c r="E273" s="48"/>
      <c r="F273" s="48"/>
    </row>
    <row r="274" spans="1:55" x14ac:dyDescent="0.4">
      <c r="A274" s="22" t="s">
        <v>5</v>
      </c>
      <c r="B274" s="23">
        <v>20</v>
      </c>
      <c r="C274" s="23">
        <v>40</v>
      </c>
      <c r="D274" s="23">
        <v>50</v>
      </c>
      <c r="E274" s="28">
        <v>20</v>
      </c>
      <c r="F274" s="51">
        <v>20</v>
      </c>
      <c r="H274" s="22" t="s">
        <v>5</v>
      </c>
      <c r="I274" s="23">
        <v>20</v>
      </c>
      <c r="J274" s="23">
        <v>0</v>
      </c>
      <c r="K274" s="23">
        <v>50</v>
      </c>
      <c r="L274" s="28">
        <v>20</v>
      </c>
      <c r="M274" s="51">
        <v>20</v>
      </c>
      <c r="O274" s="22" t="s">
        <v>5</v>
      </c>
      <c r="P274" s="23">
        <v>20</v>
      </c>
      <c r="Q274" s="23">
        <v>0</v>
      </c>
      <c r="R274" s="23">
        <v>40</v>
      </c>
      <c r="S274" s="28">
        <v>20</v>
      </c>
      <c r="T274" s="51">
        <v>20</v>
      </c>
      <c r="V274" s="22" t="s">
        <v>5</v>
      </c>
      <c r="W274" s="23">
        <v>0</v>
      </c>
      <c r="X274" s="23">
        <v>0</v>
      </c>
      <c r="Y274" s="23">
        <v>40</v>
      </c>
      <c r="Z274" s="28">
        <v>20</v>
      </c>
      <c r="AA274" s="51">
        <v>20</v>
      </c>
      <c r="AC274" s="22" t="s">
        <v>5</v>
      </c>
      <c r="AD274" s="23">
        <v>0</v>
      </c>
      <c r="AE274" s="23">
        <v>0</v>
      </c>
      <c r="AF274" s="23">
        <v>40</v>
      </c>
      <c r="AG274" s="28">
        <v>0</v>
      </c>
      <c r="AH274" s="51">
        <v>20</v>
      </c>
      <c r="AJ274" s="22" t="s">
        <v>5</v>
      </c>
      <c r="AK274" s="23">
        <v>0</v>
      </c>
      <c r="AL274" s="23">
        <v>0</v>
      </c>
      <c r="AM274" s="23">
        <v>40</v>
      </c>
      <c r="AN274" s="28">
        <v>0</v>
      </c>
      <c r="AO274" s="51">
        <v>0</v>
      </c>
      <c r="AQ274" s="22" t="s">
        <v>5</v>
      </c>
      <c r="AR274" s="23">
        <v>0</v>
      </c>
      <c r="AS274" s="23">
        <v>0</v>
      </c>
      <c r="AT274" s="23">
        <v>10</v>
      </c>
      <c r="AU274" s="28">
        <v>0</v>
      </c>
      <c r="AV274" s="51">
        <v>0</v>
      </c>
      <c r="AX274" s="22" t="s">
        <v>5</v>
      </c>
      <c r="AY274" s="23">
        <v>0</v>
      </c>
      <c r="AZ274" s="23">
        <v>0</v>
      </c>
      <c r="BA274" s="23">
        <v>0</v>
      </c>
      <c r="BB274" s="28">
        <v>0</v>
      </c>
      <c r="BC274" s="51">
        <v>0</v>
      </c>
    </row>
    <row r="275" spans="1:55" x14ac:dyDescent="0.4">
      <c r="A275" s="114">
        <v>0</v>
      </c>
      <c r="B275" s="15">
        <v>1</v>
      </c>
      <c r="C275" s="13">
        <v>2</v>
      </c>
      <c r="D275" s="13">
        <v>3</v>
      </c>
      <c r="E275" s="13">
        <v>1</v>
      </c>
      <c r="F275" s="30">
        <v>1</v>
      </c>
      <c r="H275" s="114">
        <v>0</v>
      </c>
      <c r="I275" s="15">
        <v>1</v>
      </c>
      <c r="J275" s="13">
        <v>2</v>
      </c>
      <c r="K275" s="13">
        <v>3</v>
      </c>
      <c r="L275" s="13">
        <v>1</v>
      </c>
      <c r="M275" s="30">
        <v>1</v>
      </c>
      <c r="O275" s="114">
        <v>0</v>
      </c>
      <c r="P275" s="15">
        <v>1</v>
      </c>
      <c r="Q275" s="13">
        <v>2</v>
      </c>
      <c r="R275" s="13">
        <v>3</v>
      </c>
      <c r="S275" s="13">
        <v>1</v>
      </c>
      <c r="T275" s="30">
        <v>1</v>
      </c>
      <c r="V275" s="114">
        <v>0</v>
      </c>
      <c r="W275" s="15">
        <v>1</v>
      </c>
      <c r="X275" s="13">
        <v>2</v>
      </c>
      <c r="Y275" s="13">
        <v>3</v>
      </c>
      <c r="Z275" s="13">
        <v>1</v>
      </c>
      <c r="AA275" s="30">
        <v>1</v>
      </c>
      <c r="AC275" s="114">
        <v>0</v>
      </c>
      <c r="AD275" s="15">
        <v>1</v>
      </c>
      <c r="AE275" s="13">
        <v>2</v>
      </c>
      <c r="AF275" s="13">
        <v>3</v>
      </c>
      <c r="AG275" s="13">
        <v>1</v>
      </c>
      <c r="AH275" s="30">
        <v>1</v>
      </c>
      <c r="AJ275" s="114">
        <v>0</v>
      </c>
      <c r="AK275" s="15">
        <v>1</v>
      </c>
      <c r="AL275" s="13">
        <v>2</v>
      </c>
      <c r="AM275" s="13">
        <v>3</v>
      </c>
      <c r="AN275" s="13">
        <v>1</v>
      </c>
      <c r="AO275" s="30">
        <v>1</v>
      </c>
      <c r="AQ275" s="114">
        <v>0</v>
      </c>
      <c r="AR275" s="15">
        <v>1</v>
      </c>
      <c r="AS275" s="13">
        <v>2</v>
      </c>
      <c r="AT275" s="13">
        <v>3</v>
      </c>
      <c r="AU275" s="13">
        <v>1</v>
      </c>
      <c r="AV275" s="30">
        <v>1</v>
      </c>
      <c r="AX275" s="114">
        <v>0</v>
      </c>
      <c r="AY275" s="15">
        <v>1</v>
      </c>
      <c r="AZ275" s="13">
        <v>2</v>
      </c>
      <c r="BA275" s="13">
        <v>3</v>
      </c>
      <c r="BB275" s="13">
        <v>1</v>
      </c>
      <c r="BC275" s="30">
        <v>1</v>
      </c>
    </row>
    <row r="276" spans="1:55" x14ac:dyDescent="0.4">
      <c r="A276" s="115"/>
      <c r="B276" s="16">
        <v>20</v>
      </c>
      <c r="C276" s="14"/>
      <c r="D276" s="14"/>
      <c r="E276" s="14"/>
      <c r="F276" s="30"/>
      <c r="H276" s="115"/>
      <c r="I276" s="16">
        <v>20</v>
      </c>
      <c r="J276" s="14"/>
      <c r="K276" s="14"/>
      <c r="L276" s="14"/>
      <c r="M276" s="30"/>
      <c r="O276" s="115"/>
      <c r="P276" s="16">
        <v>20</v>
      </c>
      <c r="Q276" s="14"/>
      <c r="R276" s="14"/>
      <c r="S276" s="14"/>
      <c r="T276" s="30"/>
      <c r="V276" s="115"/>
      <c r="W276" s="16">
        <v>20</v>
      </c>
      <c r="X276" s="14"/>
      <c r="Y276" s="14"/>
      <c r="Z276" s="14"/>
      <c r="AA276" s="30"/>
      <c r="AC276" s="115"/>
      <c r="AD276" s="16">
        <v>20</v>
      </c>
      <c r="AE276" s="14"/>
      <c r="AF276" s="14"/>
      <c r="AG276" s="14"/>
      <c r="AH276" s="30"/>
      <c r="AJ276" s="115"/>
      <c r="AK276" s="16">
        <v>20</v>
      </c>
      <c r="AL276" s="14"/>
      <c r="AM276" s="14"/>
      <c r="AN276" s="14"/>
      <c r="AO276" s="30"/>
      <c r="AQ276" s="115"/>
      <c r="AR276" s="16">
        <v>20</v>
      </c>
      <c r="AS276" s="14"/>
      <c r="AT276" s="14"/>
      <c r="AU276" s="14"/>
      <c r="AV276" s="30"/>
      <c r="AX276" s="115"/>
      <c r="AY276" s="16">
        <v>20</v>
      </c>
      <c r="AZ276" s="14"/>
      <c r="BA276" s="14"/>
      <c r="BB276" s="14"/>
      <c r="BC276" s="30"/>
    </row>
    <row r="277" spans="1:55" x14ac:dyDescent="0.4">
      <c r="A277" s="114">
        <v>50</v>
      </c>
      <c r="B277" s="8">
        <v>4</v>
      </c>
      <c r="C277" s="8">
        <v>2</v>
      </c>
      <c r="D277" s="8">
        <v>2</v>
      </c>
      <c r="E277" s="5">
        <v>9</v>
      </c>
      <c r="F277" s="26">
        <v>9</v>
      </c>
      <c r="H277" s="114">
        <v>10</v>
      </c>
      <c r="I277" s="8">
        <v>4</v>
      </c>
      <c r="J277" s="15">
        <v>2</v>
      </c>
      <c r="K277" s="8">
        <v>2</v>
      </c>
      <c r="L277" s="5">
        <v>9</v>
      </c>
      <c r="M277" s="26">
        <v>9</v>
      </c>
      <c r="O277" s="114">
        <v>0</v>
      </c>
      <c r="P277" s="13">
        <v>4</v>
      </c>
      <c r="Q277" s="15">
        <v>2</v>
      </c>
      <c r="R277" s="15">
        <v>2</v>
      </c>
      <c r="S277" s="54">
        <v>9</v>
      </c>
      <c r="T277" s="31">
        <v>9</v>
      </c>
      <c r="V277" s="114">
        <v>0</v>
      </c>
      <c r="W277" s="13">
        <v>4</v>
      </c>
      <c r="X277" s="15">
        <v>2</v>
      </c>
      <c r="Y277" s="15">
        <v>2</v>
      </c>
      <c r="Z277" s="54">
        <v>9</v>
      </c>
      <c r="AA277" s="31">
        <v>9</v>
      </c>
      <c r="AC277" s="114">
        <v>0</v>
      </c>
      <c r="AD277" s="13">
        <v>4</v>
      </c>
      <c r="AE277" s="15">
        <v>2</v>
      </c>
      <c r="AF277" s="15">
        <v>2</v>
      </c>
      <c r="AG277" s="54">
        <v>9</v>
      </c>
      <c r="AH277" s="31">
        <v>9</v>
      </c>
      <c r="AJ277" s="114">
        <v>0</v>
      </c>
      <c r="AK277" s="13">
        <v>4</v>
      </c>
      <c r="AL277" s="15">
        <v>2</v>
      </c>
      <c r="AM277" s="15">
        <v>2</v>
      </c>
      <c r="AN277" s="54">
        <v>9</v>
      </c>
      <c r="AO277" s="31">
        <v>9</v>
      </c>
      <c r="AQ277" s="114">
        <v>0</v>
      </c>
      <c r="AR277" s="13">
        <v>4</v>
      </c>
      <c r="AS277" s="15">
        <v>2</v>
      </c>
      <c r="AT277" s="15">
        <v>2</v>
      </c>
      <c r="AU277" s="54">
        <v>9</v>
      </c>
      <c r="AV277" s="31">
        <v>9</v>
      </c>
      <c r="AX277" s="114">
        <v>0</v>
      </c>
      <c r="AY277" s="13">
        <v>4</v>
      </c>
      <c r="AZ277" s="15">
        <v>2</v>
      </c>
      <c r="BA277" s="15">
        <v>2</v>
      </c>
      <c r="BB277" s="54">
        <v>9</v>
      </c>
      <c r="BC277" s="31">
        <v>9</v>
      </c>
    </row>
    <row r="278" spans="1:55" x14ac:dyDescent="0.4">
      <c r="A278" s="115"/>
      <c r="B278" s="12"/>
      <c r="C278" s="12"/>
      <c r="D278" s="12"/>
      <c r="E278" s="50"/>
      <c r="F278" s="11"/>
      <c r="H278" s="115"/>
      <c r="I278" s="12"/>
      <c r="J278" s="16">
        <v>40</v>
      </c>
      <c r="K278" s="12"/>
      <c r="L278" s="50"/>
      <c r="M278" s="11"/>
      <c r="O278" s="115"/>
      <c r="P278" s="14"/>
      <c r="Q278" s="16">
        <v>40</v>
      </c>
      <c r="R278" s="16">
        <v>10</v>
      </c>
      <c r="S278" s="55"/>
      <c r="T278" s="29"/>
      <c r="V278" s="115"/>
      <c r="W278" s="14"/>
      <c r="X278" s="16">
        <v>40</v>
      </c>
      <c r="Y278" s="16">
        <v>10</v>
      </c>
      <c r="Z278" s="55"/>
      <c r="AA278" s="29"/>
      <c r="AC278" s="115"/>
      <c r="AD278" s="14"/>
      <c r="AE278" s="16">
        <v>40</v>
      </c>
      <c r="AF278" s="16">
        <v>10</v>
      </c>
      <c r="AG278" s="55"/>
      <c r="AH278" s="29"/>
      <c r="AJ278" s="115"/>
      <c r="AK278" s="14"/>
      <c r="AL278" s="16">
        <v>40</v>
      </c>
      <c r="AM278" s="16">
        <v>10</v>
      </c>
      <c r="AN278" s="55"/>
      <c r="AO278" s="29"/>
      <c r="AQ278" s="115"/>
      <c r="AR278" s="14"/>
      <c r="AS278" s="16">
        <v>40</v>
      </c>
      <c r="AT278" s="16">
        <v>10</v>
      </c>
      <c r="AU278" s="55"/>
      <c r="AV278" s="29"/>
      <c r="AX278" s="115"/>
      <c r="AY278" s="14"/>
      <c r="AZ278" s="16">
        <v>40</v>
      </c>
      <c r="BA278" s="16">
        <v>10</v>
      </c>
      <c r="BB278" s="55"/>
      <c r="BC278" s="29"/>
    </row>
    <row r="279" spans="1:55" x14ac:dyDescent="0.4">
      <c r="A279" s="114">
        <v>50</v>
      </c>
      <c r="B279" s="10">
        <v>5</v>
      </c>
      <c r="C279" s="10">
        <v>7</v>
      </c>
      <c r="D279" s="10">
        <v>10</v>
      </c>
      <c r="E279" s="10">
        <v>5</v>
      </c>
      <c r="F279" s="9" t="s">
        <v>104</v>
      </c>
      <c r="H279" s="114">
        <v>50</v>
      </c>
      <c r="I279" s="10">
        <v>5</v>
      </c>
      <c r="J279" s="18">
        <v>7</v>
      </c>
      <c r="K279" s="10">
        <v>10</v>
      </c>
      <c r="L279" s="10">
        <v>5</v>
      </c>
      <c r="M279" s="9" t="s">
        <v>104</v>
      </c>
      <c r="O279" s="114">
        <v>50</v>
      </c>
      <c r="P279" s="10">
        <v>5</v>
      </c>
      <c r="Q279" s="18">
        <v>7</v>
      </c>
      <c r="R279" s="21">
        <v>10</v>
      </c>
      <c r="S279" s="10">
        <v>5</v>
      </c>
      <c r="T279" s="9" t="s">
        <v>104</v>
      </c>
      <c r="V279" s="114">
        <v>50</v>
      </c>
      <c r="W279" s="18">
        <v>5</v>
      </c>
      <c r="X279" s="18">
        <v>7</v>
      </c>
      <c r="Y279" s="21">
        <v>10</v>
      </c>
      <c r="Z279" s="10">
        <v>5</v>
      </c>
      <c r="AA279" s="9" t="s">
        <v>104</v>
      </c>
      <c r="AC279" s="114">
        <v>30</v>
      </c>
      <c r="AD279" s="18">
        <v>5</v>
      </c>
      <c r="AE279" s="18">
        <v>7</v>
      </c>
      <c r="AF279" s="21">
        <v>10</v>
      </c>
      <c r="AG279" s="17">
        <v>5</v>
      </c>
      <c r="AH279" s="9" t="s">
        <v>104</v>
      </c>
      <c r="AJ279" s="114">
        <v>30</v>
      </c>
      <c r="AK279" s="18">
        <v>5</v>
      </c>
      <c r="AL279" s="18">
        <v>7</v>
      </c>
      <c r="AM279" s="21">
        <v>10</v>
      </c>
      <c r="AN279" s="17">
        <v>5</v>
      </c>
      <c r="AO279" s="30" t="s">
        <v>104</v>
      </c>
      <c r="AQ279" s="114">
        <v>0</v>
      </c>
      <c r="AR279" s="18">
        <v>5</v>
      </c>
      <c r="AS279" s="18">
        <v>7</v>
      </c>
      <c r="AT279" s="17">
        <v>10</v>
      </c>
      <c r="AU279" s="17">
        <v>5</v>
      </c>
      <c r="AV279" s="30" t="s">
        <v>104</v>
      </c>
      <c r="AX279" s="114">
        <v>0</v>
      </c>
      <c r="AY279" s="18">
        <v>5</v>
      </c>
      <c r="AZ279" s="18">
        <v>7</v>
      </c>
      <c r="BA279" s="17">
        <v>10</v>
      </c>
      <c r="BB279" s="17">
        <v>5</v>
      </c>
      <c r="BC279" s="30" t="s">
        <v>104</v>
      </c>
    </row>
    <row r="280" spans="1:55" x14ac:dyDescent="0.4">
      <c r="A280" s="115"/>
      <c r="B280" s="38"/>
      <c r="C280" s="38"/>
      <c r="D280" s="38"/>
      <c r="E280" s="38"/>
      <c r="F280" s="11"/>
      <c r="H280" s="115"/>
      <c r="I280" s="38"/>
      <c r="J280" s="39"/>
      <c r="K280" s="38"/>
      <c r="L280" s="38"/>
      <c r="M280" s="11"/>
      <c r="O280" s="115"/>
      <c r="P280" s="38"/>
      <c r="Q280" s="39"/>
      <c r="R280" s="58"/>
      <c r="S280" s="38"/>
      <c r="T280" s="11"/>
      <c r="V280" s="115"/>
      <c r="W280" s="39"/>
      <c r="X280" s="39"/>
      <c r="Y280" s="58"/>
      <c r="Z280" s="38"/>
      <c r="AA280" s="11"/>
      <c r="AC280" s="115"/>
      <c r="AD280" s="39"/>
      <c r="AE280" s="39"/>
      <c r="AF280" s="58"/>
      <c r="AG280" s="40">
        <v>20</v>
      </c>
      <c r="AH280" s="11"/>
      <c r="AJ280" s="115"/>
      <c r="AK280" s="39"/>
      <c r="AL280" s="39"/>
      <c r="AM280" s="58"/>
      <c r="AN280" s="40">
        <v>20</v>
      </c>
      <c r="AO280" s="29"/>
      <c r="AQ280" s="115"/>
      <c r="AR280" s="39"/>
      <c r="AS280" s="39"/>
      <c r="AT280" s="40">
        <v>30</v>
      </c>
      <c r="AU280" s="40">
        <v>20</v>
      </c>
      <c r="AV280" s="29"/>
      <c r="AX280" s="115"/>
      <c r="AY280" s="39"/>
      <c r="AZ280" s="39"/>
      <c r="BA280" s="40">
        <v>30</v>
      </c>
      <c r="BB280" s="40">
        <v>20</v>
      </c>
      <c r="BC280" s="29"/>
    </row>
    <row r="281" spans="1:55" x14ac:dyDescent="0.4">
      <c r="A281" s="114">
        <v>40</v>
      </c>
      <c r="B281" s="8">
        <v>4</v>
      </c>
      <c r="C281" s="8">
        <v>15</v>
      </c>
      <c r="D281" s="8">
        <v>13</v>
      </c>
      <c r="E281" s="8">
        <v>6</v>
      </c>
      <c r="F281" s="9">
        <v>6</v>
      </c>
      <c r="H281" s="114">
        <v>40</v>
      </c>
      <c r="I281" s="8">
        <v>4</v>
      </c>
      <c r="J281" s="13">
        <v>15</v>
      </c>
      <c r="K281" s="8">
        <v>13</v>
      </c>
      <c r="L281" s="8">
        <v>6</v>
      </c>
      <c r="M281" s="9">
        <v>6</v>
      </c>
      <c r="O281" s="114">
        <v>40</v>
      </c>
      <c r="P281" s="8">
        <v>4</v>
      </c>
      <c r="Q281" s="13">
        <v>15</v>
      </c>
      <c r="R281" s="19">
        <v>13</v>
      </c>
      <c r="S281" s="8">
        <v>6</v>
      </c>
      <c r="T281" s="9">
        <v>6</v>
      </c>
      <c r="V281" s="114">
        <v>20</v>
      </c>
      <c r="W281" s="15">
        <v>4</v>
      </c>
      <c r="X281" s="13">
        <v>15</v>
      </c>
      <c r="Y281" s="19">
        <v>13</v>
      </c>
      <c r="Z281" s="8">
        <v>6</v>
      </c>
      <c r="AA281" s="9">
        <v>6</v>
      </c>
      <c r="AC281" s="114">
        <v>20</v>
      </c>
      <c r="AD281" s="15">
        <v>4</v>
      </c>
      <c r="AE281" s="13">
        <v>15</v>
      </c>
      <c r="AF281" s="19">
        <v>13</v>
      </c>
      <c r="AG281" s="13">
        <v>6</v>
      </c>
      <c r="AH281" s="9">
        <v>6</v>
      </c>
      <c r="AJ281" s="114">
        <v>0</v>
      </c>
      <c r="AK281" s="15">
        <v>4</v>
      </c>
      <c r="AL281" s="13">
        <v>15</v>
      </c>
      <c r="AM281" s="13">
        <v>13</v>
      </c>
      <c r="AN281" s="13">
        <v>6</v>
      </c>
      <c r="AO281" s="32">
        <v>6</v>
      </c>
      <c r="AQ281" s="114">
        <v>0</v>
      </c>
      <c r="AR281" s="15">
        <v>4</v>
      </c>
      <c r="AS281" s="13">
        <v>15</v>
      </c>
      <c r="AT281" s="13">
        <v>13</v>
      </c>
      <c r="AU281" s="13">
        <v>6</v>
      </c>
      <c r="AV281" s="32">
        <v>6</v>
      </c>
      <c r="AX281" s="114">
        <v>0</v>
      </c>
      <c r="AY281" s="15">
        <v>4</v>
      </c>
      <c r="AZ281" s="13">
        <v>15</v>
      </c>
      <c r="BA281" s="13">
        <v>13</v>
      </c>
      <c r="BB281" s="13">
        <v>6</v>
      </c>
      <c r="BC281" s="32">
        <v>6</v>
      </c>
    </row>
    <row r="282" spans="1:55" x14ac:dyDescent="0.4">
      <c r="A282" s="115"/>
      <c r="B282" s="12"/>
      <c r="C282" s="12"/>
      <c r="D282" s="12"/>
      <c r="E282" s="12"/>
      <c r="F282" s="11"/>
      <c r="H282" s="115"/>
      <c r="I282" s="12"/>
      <c r="J282" s="14"/>
      <c r="K282" s="12"/>
      <c r="L282" s="12"/>
      <c r="M282" s="11"/>
      <c r="O282" s="115"/>
      <c r="P282" s="12"/>
      <c r="Q282" s="14"/>
      <c r="R282" s="20"/>
      <c r="S282" s="12"/>
      <c r="T282" s="11"/>
      <c r="V282" s="115"/>
      <c r="W282" s="16">
        <v>20</v>
      </c>
      <c r="X282" s="14"/>
      <c r="Y282" s="20"/>
      <c r="Z282" s="12"/>
      <c r="AA282" s="11"/>
      <c r="AC282" s="115"/>
      <c r="AD282" s="16">
        <v>20</v>
      </c>
      <c r="AE282" s="14"/>
      <c r="AF282" s="20"/>
      <c r="AG282" s="14"/>
      <c r="AH282" s="12"/>
      <c r="AJ282" s="115"/>
      <c r="AK282" s="16">
        <v>20</v>
      </c>
      <c r="AL282" s="14"/>
      <c r="AM282" s="14"/>
      <c r="AN282" s="14"/>
      <c r="AO282" s="16">
        <v>20</v>
      </c>
      <c r="AQ282" s="115"/>
      <c r="AR282" s="16">
        <v>20</v>
      </c>
      <c r="AS282" s="14"/>
      <c r="AT282" s="14"/>
      <c r="AU282" s="14"/>
      <c r="AV282" s="16">
        <v>20</v>
      </c>
      <c r="AX282" s="115"/>
      <c r="AY282" s="16">
        <v>20</v>
      </c>
      <c r="AZ282" s="14"/>
      <c r="BA282" s="14"/>
      <c r="BB282" s="14"/>
      <c r="BC282" s="16">
        <v>20</v>
      </c>
    </row>
    <row r="283" spans="1:55" x14ac:dyDescent="0.4">
      <c r="A283" s="116">
        <v>10</v>
      </c>
      <c r="B283" s="24">
        <v>0</v>
      </c>
      <c r="C283" s="26">
        <v>0</v>
      </c>
      <c r="D283" s="24">
        <v>0</v>
      </c>
      <c r="E283" s="26">
        <v>0</v>
      </c>
      <c r="F283" s="25">
        <v>0</v>
      </c>
      <c r="H283" s="116">
        <v>10</v>
      </c>
      <c r="I283" s="24">
        <v>0</v>
      </c>
      <c r="J283" s="31">
        <v>0</v>
      </c>
      <c r="K283" s="24">
        <v>0</v>
      </c>
      <c r="L283" s="26">
        <v>0</v>
      </c>
      <c r="M283" s="25">
        <v>0</v>
      </c>
      <c r="O283" s="116">
        <v>10</v>
      </c>
      <c r="P283" s="24">
        <v>0</v>
      </c>
      <c r="Q283" s="31">
        <v>0</v>
      </c>
      <c r="R283" s="59">
        <v>0</v>
      </c>
      <c r="S283" s="26">
        <v>0</v>
      </c>
      <c r="T283" s="25">
        <v>0</v>
      </c>
      <c r="V283" s="116">
        <v>10</v>
      </c>
      <c r="W283" s="56">
        <v>0</v>
      </c>
      <c r="X283" s="31">
        <v>0</v>
      </c>
      <c r="Y283" s="59">
        <v>0</v>
      </c>
      <c r="Z283" s="26">
        <v>0</v>
      </c>
      <c r="AA283" s="25">
        <v>0</v>
      </c>
      <c r="AC283" s="116">
        <v>10</v>
      </c>
      <c r="AD283" s="56">
        <v>0</v>
      </c>
      <c r="AE283" s="31">
        <v>0</v>
      </c>
      <c r="AF283" s="59">
        <v>0</v>
      </c>
      <c r="AG283" s="31">
        <v>0</v>
      </c>
      <c r="AH283" s="25">
        <v>0</v>
      </c>
      <c r="AJ283" s="116">
        <v>10</v>
      </c>
      <c r="AK283" s="56">
        <v>0</v>
      </c>
      <c r="AL283" s="31">
        <v>0</v>
      </c>
      <c r="AM283" s="59">
        <v>0</v>
      </c>
      <c r="AN283" s="31">
        <v>0</v>
      </c>
      <c r="AO283" s="61">
        <v>0</v>
      </c>
      <c r="AQ283" s="116">
        <v>10</v>
      </c>
      <c r="AR283" s="56">
        <v>0</v>
      </c>
      <c r="AS283" s="31">
        <v>0</v>
      </c>
      <c r="AT283" s="59">
        <v>0</v>
      </c>
      <c r="AU283" s="31">
        <v>0</v>
      </c>
      <c r="AV283" s="61">
        <v>0</v>
      </c>
      <c r="AX283" s="116">
        <v>0</v>
      </c>
      <c r="AY283" s="56">
        <v>0</v>
      </c>
      <c r="AZ283" s="31">
        <v>0</v>
      </c>
      <c r="BA283" s="65">
        <v>0</v>
      </c>
      <c r="BB283" s="31">
        <v>0</v>
      </c>
      <c r="BC283" s="61">
        <v>0</v>
      </c>
    </row>
    <row r="284" spans="1:55" x14ac:dyDescent="0.4">
      <c r="A284" s="117"/>
      <c r="B284" s="6"/>
      <c r="C284" s="11"/>
      <c r="D284" s="6"/>
      <c r="E284" s="11"/>
      <c r="F284" s="7"/>
      <c r="H284" s="117"/>
      <c r="I284" s="6"/>
      <c r="J284" s="29"/>
      <c r="K284" s="6"/>
      <c r="L284" s="11"/>
      <c r="M284" s="7"/>
      <c r="O284" s="117"/>
      <c r="P284" s="6"/>
      <c r="Q284" s="29"/>
      <c r="R284" s="60"/>
      <c r="S284" s="11"/>
      <c r="T284" s="7"/>
      <c r="V284" s="117"/>
      <c r="W284" s="57"/>
      <c r="X284" s="29"/>
      <c r="Y284" s="60"/>
      <c r="Z284" s="11"/>
      <c r="AA284" s="7"/>
      <c r="AC284" s="117"/>
      <c r="AD284" s="57"/>
      <c r="AE284" s="29"/>
      <c r="AF284" s="60"/>
      <c r="AG284" s="29"/>
      <c r="AH284" s="7"/>
      <c r="AJ284" s="117"/>
      <c r="AK284" s="57"/>
      <c r="AL284" s="29"/>
      <c r="AM284" s="60"/>
      <c r="AN284" s="29"/>
      <c r="AO284" s="62"/>
      <c r="AQ284" s="117"/>
      <c r="AR284" s="57"/>
      <c r="AS284" s="29"/>
      <c r="AT284" s="60"/>
      <c r="AU284" s="29"/>
      <c r="AV284" s="62"/>
      <c r="AX284" s="117"/>
      <c r="AY284" s="57"/>
      <c r="AZ284" s="29"/>
      <c r="BA284" s="66">
        <v>10</v>
      </c>
      <c r="BB284" s="29"/>
      <c r="BC284" s="62"/>
    </row>
    <row r="286" spans="1:55" x14ac:dyDescent="0.4">
      <c r="A286" s="1" t="s">
        <v>42</v>
      </c>
    </row>
    <row r="288" spans="1:55" x14ac:dyDescent="0.4">
      <c r="A288" s="22" t="s">
        <v>5</v>
      </c>
      <c r="B288" s="23">
        <v>0</v>
      </c>
      <c r="C288" s="23">
        <v>0</v>
      </c>
      <c r="D288" s="23">
        <v>0</v>
      </c>
      <c r="E288" s="28">
        <v>0</v>
      </c>
      <c r="F288" s="51">
        <v>0</v>
      </c>
    </row>
    <row r="289" spans="1:15" x14ac:dyDescent="0.4">
      <c r="A289" s="114">
        <v>0</v>
      </c>
      <c r="B289" s="15">
        <v>1</v>
      </c>
      <c r="C289" s="13">
        <v>2</v>
      </c>
      <c r="D289" s="13">
        <v>3</v>
      </c>
      <c r="E289" s="13">
        <v>1</v>
      </c>
      <c r="F289" s="30">
        <v>1</v>
      </c>
    </row>
    <row r="290" spans="1:15" x14ac:dyDescent="0.4">
      <c r="A290" s="115"/>
      <c r="B290" s="16">
        <v>20</v>
      </c>
      <c r="C290" s="14"/>
      <c r="D290" s="14"/>
      <c r="E290" s="14"/>
      <c r="F290" s="39">
        <v>0</v>
      </c>
    </row>
    <row r="291" spans="1:15" x14ac:dyDescent="0.4">
      <c r="A291" s="114">
        <v>0</v>
      </c>
      <c r="B291" s="13">
        <v>4</v>
      </c>
      <c r="C291" s="15">
        <v>2</v>
      </c>
      <c r="D291" s="15">
        <v>2</v>
      </c>
      <c r="E291" s="54">
        <v>9</v>
      </c>
      <c r="F291" s="31">
        <v>9</v>
      </c>
    </row>
    <row r="292" spans="1:15" x14ac:dyDescent="0.4">
      <c r="A292" s="115"/>
      <c r="B292" s="14"/>
      <c r="C292" s="16">
        <v>40</v>
      </c>
      <c r="D292" s="16">
        <v>10</v>
      </c>
      <c r="E292" s="55"/>
      <c r="F292" s="29"/>
    </row>
    <row r="293" spans="1:15" x14ac:dyDescent="0.4">
      <c r="A293" s="114">
        <v>0</v>
      </c>
      <c r="B293" s="18">
        <v>5</v>
      </c>
      <c r="C293" s="18">
        <v>7</v>
      </c>
      <c r="D293" s="17">
        <v>10</v>
      </c>
      <c r="E293" s="17">
        <v>5</v>
      </c>
      <c r="F293" s="30" t="s">
        <v>104</v>
      </c>
    </row>
    <row r="294" spans="1:15" x14ac:dyDescent="0.4">
      <c r="A294" s="115"/>
      <c r="B294" s="39"/>
      <c r="C294" s="39"/>
      <c r="D294" s="40">
        <v>30</v>
      </c>
      <c r="E294" s="40">
        <v>20</v>
      </c>
      <c r="F294" s="29"/>
    </row>
    <row r="295" spans="1:15" x14ac:dyDescent="0.4">
      <c r="A295" s="114">
        <v>0</v>
      </c>
      <c r="B295" s="15">
        <v>4</v>
      </c>
      <c r="C295" s="13">
        <v>15</v>
      </c>
      <c r="D295" s="13">
        <v>13</v>
      </c>
      <c r="E295" s="13">
        <v>6</v>
      </c>
      <c r="F295" s="32">
        <v>6</v>
      </c>
    </row>
    <row r="296" spans="1:15" x14ac:dyDescent="0.4">
      <c r="A296" s="115"/>
      <c r="B296" s="16">
        <v>20</v>
      </c>
      <c r="C296" s="14"/>
      <c r="D296" s="14"/>
      <c r="E296" s="14"/>
      <c r="F296" s="16">
        <v>20</v>
      </c>
    </row>
    <row r="297" spans="1:15" x14ac:dyDescent="0.4">
      <c r="A297" s="116">
        <v>0</v>
      </c>
      <c r="B297" s="56">
        <v>0</v>
      </c>
      <c r="C297" s="31">
        <v>0</v>
      </c>
      <c r="D297" s="65">
        <v>0</v>
      </c>
      <c r="E297" s="31">
        <v>0</v>
      </c>
      <c r="F297" s="67">
        <v>0</v>
      </c>
    </row>
    <row r="298" spans="1:15" x14ac:dyDescent="0.4">
      <c r="A298" s="117"/>
      <c r="B298" s="57"/>
      <c r="C298" s="29"/>
      <c r="D298" s="66">
        <v>10</v>
      </c>
      <c r="E298" s="29"/>
      <c r="F298" s="68">
        <v>0</v>
      </c>
    </row>
    <row r="300" spans="1:15" x14ac:dyDescent="0.4">
      <c r="A300" s="53" t="s">
        <v>117</v>
      </c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</row>
    <row r="301" spans="1:15" x14ac:dyDescent="0.4">
      <c r="A301" s="53" t="s">
        <v>118</v>
      </c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</row>
    <row r="302" spans="1:15" x14ac:dyDescent="0.4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</row>
    <row r="303" spans="1:15" x14ac:dyDescent="0.4">
      <c r="A303" s="53" t="s">
        <v>10</v>
      </c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</row>
    <row r="304" spans="1:15" x14ac:dyDescent="0.4">
      <c r="G304" s="53"/>
      <c r="H304" s="53"/>
      <c r="I304" s="53"/>
      <c r="J304" s="53"/>
      <c r="K304" s="53"/>
      <c r="L304" s="53"/>
      <c r="M304" s="53"/>
      <c r="N304" s="53"/>
      <c r="O304" s="53"/>
    </row>
    <row r="305" spans="1:15" x14ac:dyDescent="0.4">
      <c r="A305" s="22" t="s">
        <v>5</v>
      </c>
      <c r="B305" s="23" t="s">
        <v>19</v>
      </c>
      <c r="C305" s="23" t="s">
        <v>20</v>
      </c>
      <c r="D305" s="23" t="s">
        <v>21</v>
      </c>
      <c r="E305" s="28" t="s">
        <v>105</v>
      </c>
      <c r="F305" s="51" t="s">
        <v>106</v>
      </c>
      <c r="G305" s="53"/>
      <c r="H305" s="53"/>
      <c r="I305" s="53"/>
      <c r="J305" s="53"/>
      <c r="K305" s="53"/>
      <c r="L305" s="53"/>
      <c r="M305" s="53"/>
      <c r="N305" s="53"/>
      <c r="O305" s="53"/>
    </row>
    <row r="306" spans="1:15" x14ac:dyDescent="0.4">
      <c r="A306" s="34" t="s">
        <v>23</v>
      </c>
      <c r="B306" s="15">
        <v>1</v>
      </c>
      <c r="C306" s="13">
        <v>2</v>
      </c>
      <c r="D306" s="13">
        <v>3</v>
      </c>
      <c r="E306" s="13">
        <v>1</v>
      </c>
      <c r="F306" s="30">
        <v>1</v>
      </c>
      <c r="G306" s="53"/>
      <c r="H306" s="53"/>
      <c r="I306" s="53"/>
      <c r="J306" s="53"/>
      <c r="K306" s="53"/>
      <c r="L306" s="53"/>
      <c r="M306" s="53"/>
      <c r="N306" s="53"/>
      <c r="O306" s="53"/>
    </row>
    <row r="307" spans="1:15" x14ac:dyDescent="0.4">
      <c r="A307" s="35"/>
      <c r="B307" s="16">
        <v>20</v>
      </c>
      <c r="C307" s="14" t="s">
        <v>28</v>
      </c>
      <c r="D307" s="14"/>
      <c r="E307" s="14"/>
      <c r="F307" s="14" t="s">
        <v>111</v>
      </c>
      <c r="G307" s="53"/>
      <c r="H307" s="53"/>
      <c r="I307" s="53"/>
      <c r="J307" s="53"/>
      <c r="K307" s="53"/>
      <c r="L307" s="53"/>
      <c r="M307" s="53"/>
      <c r="N307" s="53"/>
      <c r="O307" s="53"/>
    </row>
    <row r="308" spans="1:15" x14ac:dyDescent="0.4">
      <c r="A308" s="34" t="s">
        <v>24</v>
      </c>
      <c r="B308" s="13">
        <v>4</v>
      </c>
      <c r="C308" s="15">
        <v>2</v>
      </c>
      <c r="D308" s="15">
        <v>2</v>
      </c>
      <c r="E308" s="54">
        <v>9</v>
      </c>
      <c r="F308" s="31">
        <v>9</v>
      </c>
      <c r="G308" s="53"/>
      <c r="H308" s="53"/>
      <c r="I308" s="53"/>
      <c r="J308" s="53"/>
      <c r="K308" s="53"/>
      <c r="L308" s="53"/>
      <c r="M308" s="53"/>
      <c r="N308" s="53"/>
      <c r="O308" s="53"/>
    </row>
    <row r="309" spans="1:15" x14ac:dyDescent="0.4">
      <c r="A309" s="35"/>
      <c r="B309" s="14"/>
      <c r="C309" s="16">
        <v>40</v>
      </c>
      <c r="D309" s="16">
        <v>10</v>
      </c>
      <c r="E309" s="55"/>
      <c r="F309" s="29"/>
      <c r="G309" s="53"/>
      <c r="H309" s="53"/>
      <c r="I309" s="53"/>
      <c r="J309" s="53"/>
      <c r="K309" s="53"/>
      <c r="L309" s="53"/>
      <c r="M309" s="53"/>
      <c r="N309" s="53"/>
      <c r="O309" s="53"/>
    </row>
    <row r="310" spans="1:15" x14ac:dyDescent="0.4">
      <c r="A310" s="34" t="s">
        <v>107</v>
      </c>
      <c r="B310" s="18">
        <v>5</v>
      </c>
      <c r="C310" s="18">
        <v>7</v>
      </c>
      <c r="D310" s="17">
        <v>10</v>
      </c>
      <c r="E310" s="17">
        <v>5</v>
      </c>
      <c r="F310" s="30" t="s">
        <v>104</v>
      </c>
      <c r="G310" s="53"/>
      <c r="H310" s="53"/>
      <c r="I310" s="53"/>
      <c r="J310" s="53"/>
      <c r="K310" s="53"/>
      <c r="L310" s="53"/>
      <c r="M310" s="53"/>
      <c r="N310" s="53"/>
      <c r="O310" s="53"/>
    </row>
    <row r="311" spans="1:15" x14ac:dyDescent="0.4">
      <c r="A311" s="35"/>
      <c r="B311" s="39" t="s">
        <v>119</v>
      </c>
      <c r="C311" s="39" t="s">
        <v>112</v>
      </c>
      <c r="D311" s="40" t="s">
        <v>120</v>
      </c>
      <c r="E311" s="40">
        <v>20</v>
      </c>
      <c r="F311" s="29"/>
      <c r="G311" s="53"/>
      <c r="H311" s="53"/>
      <c r="I311" s="53"/>
      <c r="J311" s="53"/>
      <c r="K311" s="53"/>
      <c r="L311" s="53"/>
      <c r="M311" s="53"/>
      <c r="N311" s="53"/>
      <c r="O311" s="53"/>
    </row>
    <row r="312" spans="1:15" x14ac:dyDescent="0.4">
      <c r="A312" s="34" t="s">
        <v>108</v>
      </c>
      <c r="B312" s="15">
        <v>4</v>
      </c>
      <c r="C312" s="13">
        <v>15</v>
      </c>
      <c r="D312" s="13">
        <v>13</v>
      </c>
      <c r="E312" s="13">
        <v>6</v>
      </c>
      <c r="F312" s="32">
        <v>6</v>
      </c>
      <c r="G312" s="53"/>
      <c r="H312" s="53"/>
      <c r="I312" s="53"/>
      <c r="J312" s="53"/>
      <c r="K312" s="53"/>
      <c r="L312" s="53"/>
      <c r="M312" s="53"/>
      <c r="N312" s="53"/>
      <c r="O312" s="53"/>
    </row>
    <row r="313" spans="1:15" x14ac:dyDescent="0.4">
      <c r="A313" s="35"/>
      <c r="B313" s="16" t="s">
        <v>114</v>
      </c>
      <c r="C313" s="14"/>
      <c r="D313" s="14"/>
      <c r="E313" s="14"/>
      <c r="F313" s="16" t="s">
        <v>116</v>
      </c>
      <c r="G313" s="53"/>
      <c r="H313" s="53"/>
      <c r="I313" s="53"/>
      <c r="J313" s="53"/>
      <c r="K313" s="53"/>
      <c r="L313" s="53"/>
      <c r="M313" s="53"/>
      <c r="N313" s="53"/>
      <c r="O313" s="53"/>
    </row>
    <row r="314" spans="1:15" x14ac:dyDescent="0.4">
      <c r="A314" s="63" t="s">
        <v>27</v>
      </c>
      <c r="B314" s="56">
        <v>0</v>
      </c>
      <c r="C314" s="31">
        <v>0</v>
      </c>
      <c r="D314" s="65">
        <v>0</v>
      </c>
      <c r="E314" s="31">
        <v>0</v>
      </c>
      <c r="F314" s="67">
        <v>0</v>
      </c>
      <c r="G314" s="53"/>
      <c r="H314" s="53"/>
      <c r="I314" s="53"/>
      <c r="J314" s="53"/>
      <c r="K314" s="53"/>
      <c r="L314" s="53"/>
      <c r="M314" s="53"/>
      <c r="N314" s="53"/>
      <c r="O314" s="53"/>
    </row>
    <row r="315" spans="1:15" x14ac:dyDescent="0.4">
      <c r="A315" s="64"/>
      <c r="B315" s="57"/>
      <c r="C315" s="29"/>
      <c r="D315" s="66" t="s">
        <v>41</v>
      </c>
      <c r="E315" s="29"/>
      <c r="F315" s="68" t="s">
        <v>47</v>
      </c>
      <c r="G315" s="53"/>
      <c r="H315" s="53" t="s">
        <v>121</v>
      </c>
      <c r="I315" s="53"/>
      <c r="J315" s="53"/>
      <c r="K315" s="53"/>
      <c r="L315" s="53"/>
      <c r="M315" s="53"/>
      <c r="N315" s="53"/>
      <c r="O315" s="53"/>
    </row>
    <row r="316" spans="1:15" x14ac:dyDescent="0.4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</row>
    <row r="317" spans="1:15" x14ac:dyDescent="0.4">
      <c r="A317" s="53" t="s">
        <v>42</v>
      </c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</row>
    <row r="318" spans="1:15" x14ac:dyDescent="0.4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</row>
    <row r="319" spans="1:15" x14ac:dyDescent="0.4">
      <c r="A319" s="22" t="s">
        <v>5</v>
      </c>
      <c r="B319" s="23">
        <v>0</v>
      </c>
      <c r="C319" s="23">
        <v>0</v>
      </c>
      <c r="D319" s="23">
        <v>0</v>
      </c>
      <c r="E319" s="28">
        <v>0</v>
      </c>
      <c r="F319" s="51">
        <v>0</v>
      </c>
      <c r="G319" s="53"/>
      <c r="H319" s="53"/>
      <c r="I319" s="53"/>
      <c r="J319" s="53"/>
      <c r="K319" s="53"/>
      <c r="L319" s="53"/>
      <c r="M319" s="53"/>
      <c r="N319" s="53"/>
      <c r="O319" s="53"/>
    </row>
    <row r="320" spans="1:15" x14ac:dyDescent="0.4">
      <c r="A320" s="34">
        <v>0</v>
      </c>
      <c r="B320" s="15">
        <v>1</v>
      </c>
      <c r="C320" s="13">
        <v>2</v>
      </c>
      <c r="D320" s="13">
        <v>3</v>
      </c>
      <c r="E320" s="13">
        <v>1</v>
      </c>
      <c r="F320" s="30">
        <v>1</v>
      </c>
      <c r="G320" s="53"/>
      <c r="H320" s="53"/>
      <c r="I320" s="53"/>
      <c r="J320" s="53"/>
      <c r="K320" s="53"/>
      <c r="L320" s="53"/>
      <c r="M320" s="53"/>
      <c r="N320" s="53"/>
      <c r="O320" s="53"/>
    </row>
    <row r="321" spans="1:15" x14ac:dyDescent="0.4">
      <c r="A321" s="35"/>
      <c r="B321" s="16">
        <v>20</v>
      </c>
      <c r="C321" s="14" t="s">
        <v>28</v>
      </c>
      <c r="D321" s="14"/>
      <c r="E321" s="14"/>
      <c r="F321" s="14"/>
      <c r="G321" s="53"/>
      <c r="H321" s="53"/>
      <c r="I321" s="53"/>
      <c r="J321" s="53"/>
      <c r="K321" s="53"/>
      <c r="L321" s="53"/>
      <c r="M321" s="53"/>
      <c r="N321" s="53"/>
      <c r="O321" s="53"/>
    </row>
    <row r="322" spans="1:15" x14ac:dyDescent="0.4">
      <c r="A322" s="34">
        <v>0</v>
      </c>
      <c r="B322" s="13">
        <v>4</v>
      </c>
      <c r="C322" s="15">
        <v>2</v>
      </c>
      <c r="D322" s="15">
        <v>2</v>
      </c>
      <c r="E322" s="54">
        <v>9</v>
      </c>
      <c r="F322" s="31">
        <v>9</v>
      </c>
      <c r="G322" s="53"/>
      <c r="H322" s="53"/>
      <c r="I322" s="53"/>
      <c r="J322" s="53"/>
      <c r="K322" s="53"/>
      <c r="L322" s="53"/>
      <c r="M322" s="53"/>
      <c r="N322" s="53"/>
      <c r="O322" s="53"/>
    </row>
    <row r="323" spans="1:15" x14ac:dyDescent="0.4">
      <c r="A323" s="35"/>
      <c r="B323" s="14"/>
      <c r="C323" s="16">
        <v>40</v>
      </c>
      <c r="D323" s="16">
        <v>10</v>
      </c>
      <c r="E323" s="55"/>
      <c r="F323" s="29"/>
      <c r="G323" s="53"/>
      <c r="H323" s="53"/>
      <c r="I323" s="53"/>
      <c r="J323" s="53"/>
      <c r="K323" s="53"/>
      <c r="L323" s="53"/>
      <c r="M323" s="53"/>
      <c r="N323" s="53"/>
      <c r="O323" s="53"/>
    </row>
    <row r="324" spans="1:15" x14ac:dyDescent="0.4">
      <c r="A324" s="34">
        <v>0</v>
      </c>
      <c r="B324" s="17">
        <v>5</v>
      </c>
      <c r="C324" s="18">
        <v>7</v>
      </c>
      <c r="D324" s="17">
        <v>10</v>
      </c>
      <c r="E324" s="17">
        <v>5</v>
      </c>
      <c r="F324" s="30" t="s">
        <v>104</v>
      </c>
      <c r="G324" s="53"/>
      <c r="H324" s="53"/>
      <c r="I324" s="53"/>
      <c r="J324" s="53"/>
      <c r="K324" s="53"/>
      <c r="L324" s="53"/>
      <c r="M324" s="53"/>
      <c r="N324" s="53"/>
      <c r="O324" s="53"/>
    </row>
    <row r="325" spans="1:15" x14ac:dyDescent="0.4">
      <c r="A325" s="35"/>
      <c r="B325" s="40">
        <v>0</v>
      </c>
      <c r="C325" s="39"/>
      <c r="D325" s="40">
        <v>30</v>
      </c>
      <c r="E325" s="40">
        <v>20</v>
      </c>
      <c r="F325" s="29"/>
      <c r="G325" s="53"/>
      <c r="H325" s="53"/>
      <c r="I325" s="53"/>
      <c r="J325" s="53"/>
      <c r="K325" s="53"/>
      <c r="L325" s="53"/>
      <c r="M325" s="53"/>
      <c r="N325" s="53"/>
      <c r="O325" s="53"/>
    </row>
    <row r="326" spans="1:15" x14ac:dyDescent="0.4">
      <c r="A326" s="34">
        <v>0</v>
      </c>
      <c r="B326" s="15">
        <v>4</v>
      </c>
      <c r="C326" s="13">
        <v>15</v>
      </c>
      <c r="D326" s="13">
        <v>13</v>
      </c>
      <c r="E326" s="13">
        <v>6</v>
      </c>
      <c r="F326" s="32">
        <v>6</v>
      </c>
      <c r="G326" s="53"/>
      <c r="H326" s="53"/>
      <c r="I326" s="53"/>
      <c r="J326" s="53"/>
      <c r="K326" s="53"/>
      <c r="L326" s="53"/>
      <c r="M326" s="53"/>
      <c r="N326" s="53"/>
      <c r="O326" s="53"/>
    </row>
    <row r="327" spans="1:15" x14ac:dyDescent="0.4">
      <c r="A327" s="35"/>
      <c r="B327" s="16">
        <v>20</v>
      </c>
      <c r="C327" s="14"/>
      <c r="D327" s="14"/>
      <c r="E327" s="14"/>
      <c r="F327" s="16">
        <v>20</v>
      </c>
      <c r="G327" s="53"/>
      <c r="H327" s="53"/>
      <c r="I327" s="53"/>
      <c r="J327" s="53"/>
      <c r="K327" s="53"/>
      <c r="L327" s="53"/>
      <c r="M327" s="53"/>
      <c r="N327" s="53"/>
      <c r="O327" s="53"/>
    </row>
    <row r="328" spans="1:15" x14ac:dyDescent="0.4">
      <c r="A328" s="63">
        <v>0</v>
      </c>
      <c r="B328" s="56">
        <v>0</v>
      </c>
      <c r="C328" s="31">
        <v>0</v>
      </c>
      <c r="D328" s="65">
        <v>0</v>
      </c>
      <c r="E328" s="31">
        <v>0</v>
      </c>
      <c r="F328" s="61">
        <v>0</v>
      </c>
      <c r="G328" s="53"/>
      <c r="H328" s="53"/>
      <c r="I328" s="53"/>
      <c r="J328" s="53"/>
      <c r="K328" s="53"/>
      <c r="L328" s="53"/>
      <c r="M328" s="53"/>
      <c r="N328" s="53"/>
      <c r="O328" s="53"/>
    </row>
    <row r="329" spans="1:15" x14ac:dyDescent="0.4">
      <c r="A329" s="64"/>
      <c r="B329" s="57"/>
      <c r="C329" s="29"/>
      <c r="D329" s="66">
        <v>10</v>
      </c>
      <c r="E329" s="29"/>
      <c r="F329" s="69">
        <v>0</v>
      </c>
      <c r="G329" s="53"/>
      <c r="H329" s="53"/>
      <c r="I329" s="53"/>
      <c r="J329" s="53"/>
      <c r="K329" s="53"/>
      <c r="L329" s="53"/>
      <c r="M329" s="53"/>
      <c r="N329" s="53"/>
      <c r="O329" s="53"/>
    </row>
    <row r="330" spans="1:15" x14ac:dyDescent="0.4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</row>
    <row r="331" spans="1:15" x14ac:dyDescent="0.4">
      <c r="A331" s="53" t="s">
        <v>10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</row>
    <row r="332" spans="1:15" x14ac:dyDescent="0.4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</row>
    <row r="333" spans="1:15" x14ac:dyDescent="0.4">
      <c r="A333" s="22"/>
      <c r="B333" s="23" t="s">
        <v>19</v>
      </c>
      <c r="C333" s="23" t="s">
        <v>128</v>
      </c>
      <c r="D333" s="23" t="s">
        <v>129</v>
      </c>
      <c r="E333" s="28" t="s">
        <v>22</v>
      </c>
      <c r="F333" s="51" t="s">
        <v>106</v>
      </c>
      <c r="G333" s="53"/>
      <c r="H333" s="53" t="s">
        <v>11</v>
      </c>
      <c r="I333" s="53"/>
      <c r="J333" s="53"/>
      <c r="K333" s="53"/>
      <c r="L333" s="53"/>
      <c r="M333" s="53"/>
      <c r="N333" s="53"/>
      <c r="O333" s="53"/>
    </row>
    <row r="334" spans="1:15" x14ac:dyDescent="0.4">
      <c r="A334" s="34" t="s">
        <v>23</v>
      </c>
      <c r="B334" s="15">
        <v>1</v>
      </c>
      <c r="C334" s="13">
        <v>2</v>
      </c>
      <c r="D334" s="13">
        <v>3</v>
      </c>
      <c r="E334" s="13">
        <v>1</v>
      </c>
      <c r="F334" s="30">
        <v>1</v>
      </c>
      <c r="G334" s="53"/>
      <c r="H334" s="53" t="s">
        <v>122</v>
      </c>
      <c r="I334" s="53"/>
      <c r="J334" s="53"/>
      <c r="K334" s="53"/>
      <c r="L334" s="53"/>
      <c r="M334" s="53"/>
      <c r="N334" s="53"/>
      <c r="O334" s="53"/>
    </row>
    <row r="335" spans="1:15" x14ac:dyDescent="0.4">
      <c r="A335" s="35"/>
      <c r="B335" s="16">
        <v>20</v>
      </c>
      <c r="C335" s="14" t="s">
        <v>113</v>
      </c>
      <c r="D335" s="14" t="s">
        <v>112</v>
      </c>
      <c r="E335" s="14"/>
      <c r="F335" s="14" t="s">
        <v>111</v>
      </c>
      <c r="G335" s="53"/>
      <c r="H335" s="53" t="s">
        <v>123</v>
      </c>
      <c r="I335" s="53"/>
      <c r="J335" s="53"/>
      <c r="K335" s="53"/>
      <c r="L335" s="53"/>
      <c r="M335" s="53"/>
      <c r="N335" s="53"/>
      <c r="O335" s="53"/>
    </row>
    <row r="336" spans="1:15" x14ac:dyDescent="0.4">
      <c r="A336" s="34" t="s">
        <v>130</v>
      </c>
      <c r="B336" s="13">
        <v>4</v>
      </c>
      <c r="C336" s="15">
        <v>2</v>
      </c>
      <c r="D336" s="15">
        <v>2</v>
      </c>
      <c r="E336" s="54">
        <v>9</v>
      </c>
      <c r="F336" s="31">
        <v>9</v>
      </c>
      <c r="G336" s="53"/>
      <c r="H336" s="53" t="s">
        <v>124</v>
      </c>
      <c r="I336" s="53"/>
      <c r="J336" s="53"/>
      <c r="K336" s="53"/>
      <c r="L336" s="53"/>
      <c r="M336" s="53"/>
      <c r="N336" s="53"/>
      <c r="O336" s="53"/>
    </row>
    <row r="337" spans="1:15" x14ac:dyDescent="0.4">
      <c r="A337" s="35"/>
      <c r="B337" s="14"/>
      <c r="C337" s="16">
        <v>40</v>
      </c>
      <c r="D337" s="16">
        <v>10</v>
      </c>
      <c r="E337" s="55"/>
      <c r="F337" s="29"/>
      <c r="G337" s="53"/>
      <c r="H337" s="53" t="s">
        <v>125</v>
      </c>
      <c r="I337" s="53"/>
      <c r="J337" s="53"/>
      <c r="K337" s="53"/>
      <c r="L337" s="53"/>
      <c r="M337" s="53"/>
      <c r="N337" s="53"/>
      <c r="O337" s="53"/>
    </row>
    <row r="338" spans="1:15" x14ac:dyDescent="0.4">
      <c r="A338" s="34" t="s">
        <v>25</v>
      </c>
      <c r="B338" s="17">
        <v>5</v>
      </c>
      <c r="C338" s="18">
        <v>7</v>
      </c>
      <c r="D338" s="17">
        <v>10</v>
      </c>
      <c r="E338" s="17">
        <v>5</v>
      </c>
      <c r="F338" s="30" t="s">
        <v>104</v>
      </c>
      <c r="G338" s="53"/>
      <c r="H338" s="53" t="s">
        <v>126</v>
      </c>
      <c r="I338" s="53"/>
      <c r="J338" s="53"/>
      <c r="K338" s="53"/>
      <c r="L338" s="53"/>
      <c r="M338" s="53"/>
      <c r="N338" s="53"/>
      <c r="O338" s="53"/>
    </row>
    <row r="339" spans="1:15" x14ac:dyDescent="0.4">
      <c r="A339" s="35"/>
      <c r="B339" s="40">
        <v>0</v>
      </c>
      <c r="C339" s="39" t="s">
        <v>112</v>
      </c>
      <c r="D339" s="40">
        <v>30</v>
      </c>
      <c r="E339" s="40">
        <v>20</v>
      </c>
      <c r="F339" s="29"/>
      <c r="G339" s="53"/>
      <c r="H339" s="53" t="s">
        <v>127</v>
      </c>
      <c r="I339" s="53"/>
      <c r="J339" s="53"/>
      <c r="K339" s="53"/>
      <c r="L339" s="53"/>
      <c r="M339" s="53"/>
      <c r="N339" s="53"/>
      <c r="O339" s="53"/>
    </row>
    <row r="340" spans="1:15" x14ac:dyDescent="0.4">
      <c r="A340" s="34" t="s">
        <v>108</v>
      </c>
      <c r="B340" s="15">
        <v>4</v>
      </c>
      <c r="C340" s="13">
        <v>15</v>
      </c>
      <c r="D340" s="13">
        <v>13</v>
      </c>
      <c r="E340" s="13">
        <v>6</v>
      </c>
      <c r="F340" s="32">
        <v>6</v>
      </c>
      <c r="G340" s="53"/>
      <c r="H340" s="53" t="s">
        <v>109</v>
      </c>
      <c r="I340" s="53"/>
      <c r="J340" s="53"/>
      <c r="K340" s="53"/>
      <c r="L340" s="53"/>
      <c r="M340" s="53"/>
      <c r="N340" s="53"/>
      <c r="O340" s="53"/>
    </row>
    <row r="341" spans="1:15" x14ac:dyDescent="0.4">
      <c r="A341" s="35"/>
      <c r="B341" s="16">
        <v>20</v>
      </c>
      <c r="C341" s="14"/>
      <c r="D341" s="14"/>
      <c r="E341" s="14"/>
      <c r="F341" s="16">
        <v>20</v>
      </c>
      <c r="G341" s="53"/>
      <c r="H341" s="53" t="s">
        <v>110</v>
      </c>
      <c r="I341" s="53"/>
      <c r="J341" s="53"/>
      <c r="K341" s="53"/>
      <c r="L341" s="53"/>
      <c r="M341" s="53"/>
      <c r="N341" s="53"/>
      <c r="O341" s="53"/>
    </row>
    <row r="342" spans="1:15" x14ac:dyDescent="0.4">
      <c r="A342" s="63" t="s">
        <v>131</v>
      </c>
      <c r="B342" s="56">
        <v>0</v>
      </c>
      <c r="C342" s="31">
        <v>0</v>
      </c>
      <c r="D342" s="65">
        <v>0</v>
      </c>
      <c r="E342" s="31">
        <v>0</v>
      </c>
      <c r="F342" s="61">
        <v>0</v>
      </c>
      <c r="G342" s="53"/>
      <c r="H342" s="53"/>
      <c r="I342" s="53"/>
      <c r="J342" s="53"/>
      <c r="K342" s="53"/>
      <c r="L342" s="53"/>
      <c r="M342" s="53"/>
      <c r="N342" s="53"/>
      <c r="O342" s="53"/>
    </row>
    <row r="343" spans="1:15" x14ac:dyDescent="0.4">
      <c r="A343" s="64"/>
      <c r="B343" s="57"/>
      <c r="C343" s="29"/>
      <c r="D343" s="66">
        <v>10</v>
      </c>
      <c r="E343" s="29"/>
      <c r="F343" s="69">
        <v>0</v>
      </c>
      <c r="G343" s="53"/>
      <c r="H343" s="53"/>
      <c r="I343" s="53"/>
      <c r="J343" s="53"/>
      <c r="K343" s="53"/>
      <c r="L343" s="53"/>
      <c r="M343" s="53"/>
      <c r="N343" s="53"/>
      <c r="O343" s="53"/>
    </row>
    <row r="344" spans="1:15" x14ac:dyDescent="0.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</row>
    <row r="345" spans="1:15" x14ac:dyDescent="0.4">
      <c r="A345" s="53" t="s">
        <v>132</v>
      </c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</row>
    <row r="346" spans="1:15" x14ac:dyDescent="0.4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</row>
    <row r="347" spans="1:15" x14ac:dyDescent="0.4">
      <c r="A347" s="22"/>
      <c r="B347" s="23" t="s">
        <v>19</v>
      </c>
      <c r="C347" s="23" t="s">
        <v>128</v>
      </c>
      <c r="D347" s="23" t="s">
        <v>129</v>
      </c>
      <c r="E347" s="28" t="s">
        <v>22</v>
      </c>
      <c r="F347" s="51" t="s">
        <v>106</v>
      </c>
      <c r="G347" s="53"/>
      <c r="H347" s="53"/>
      <c r="I347" s="53"/>
      <c r="J347" s="53"/>
      <c r="K347" s="53"/>
      <c r="L347" s="53"/>
      <c r="M347" s="53"/>
      <c r="N347" s="53"/>
      <c r="O347" s="53"/>
    </row>
    <row r="348" spans="1:15" x14ac:dyDescent="0.4">
      <c r="A348" s="34" t="s">
        <v>23</v>
      </c>
      <c r="B348" s="15">
        <v>1</v>
      </c>
      <c r="C348" s="13">
        <v>2</v>
      </c>
      <c r="D348" s="13">
        <v>3</v>
      </c>
      <c r="E348" s="13">
        <v>1</v>
      </c>
      <c r="F348" s="30">
        <v>1</v>
      </c>
      <c r="G348" s="53"/>
      <c r="H348" s="53"/>
      <c r="I348" s="53"/>
      <c r="J348" s="53"/>
      <c r="K348" s="53"/>
      <c r="L348" s="53"/>
      <c r="M348" s="53"/>
      <c r="N348" s="53"/>
      <c r="O348" s="53"/>
    </row>
    <row r="349" spans="1:15" x14ac:dyDescent="0.4">
      <c r="A349" s="35"/>
      <c r="B349" s="16" t="s">
        <v>114</v>
      </c>
      <c r="C349" s="14" t="s">
        <v>133</v>
      </c>
      <c r="D349" s="14" t="s">
        <v>112</v>
      </c>
      <c r="E349" s="14"/>
      <c r="F349" s="14" t="s">
        <v>111</v>
      </c>
      <c r="G349" s="53"/>
      <c r="H349" s="53"/>
      <c r="I349" s="53"/>
      <c r="J349" s="53"/>
      <c r="K349" s="53"/>
      <c r="L349" s="53"/>
      <c r="M349" s="53"/>
      <c r="N349" s="53"/>
      <c r="O349" s="53"/>
    </row>
    <row r="350" spans="1:15" x14ac:dyDescent="0.4">
      <c r="A350" s="34" t="s">
        <v>130</v>
      </c>
      <c r="B350" s="13">
        <v>4</v>
      </c>
      <c r="C350" s="15">
        <v>2</v>
      </c>
      <c r="D350" s="15">
        <v>2</v>
      </c>
      <c r="E350" s="54">
        <v>9</v>
      </c>
      <c r="F350" s="31">
        <v>9</v>
      </c>
      <c r="G350" s="53"/>
      <c r="H350" s="53"/>
      <c r="I350" s="53"/>
      <c r="J350" s="53"/>
      <c r="K350" s="53"/>
      <c r="L350" s="53"/>
      <c r="M350" s="53"/>
      <c r="N350" s="53"/>
      <c r="O350" s="53"/>
    </row>
    <row r="351" spans="1:15" x14ac:dyDescent="0.4">
      <c r="A351" s="35"/>
      <c r="B351" s="14"/>
      <c r="C351" s="16" t="s">
        <v>39</v>
      </c>
      <c r="D351" s="16" t="s">
        <v>41</v>
      </c>
      <c r="E351" s="55"/>
      <c r="F351" s="29"/>
      <c r="G351" s="53"/>
      <c r="H351" s="53"/>
      <c r="I351" s="53"/>
      <c r="J351" s="53"/>
      <c r="K351" s="53"/>
      <c r="L351" s="53"/>
      <c r="M351" s="53"/>
      <c r="N351" s="53"/>
      <c r="O351" s="53"/>
    </row>
    <row r="352" spans="1:15" x14ac:dyDescent="0.4">
      <c r="A352" s="34" t="s">
        <v>25</v>
      </c>
      <c r="B352" s="17">
        <v>5</v>
      </c>
      <c r="C352" s="18">
        <v>7</v>
      </c>
      <c r="D352" s="17">
        <v>10</v>
      </c>
      <c r="E352" s="17">
        <v>5</v>
      </c>
      <c r="F352" s="30" t="s">
        <v>104</v>
      </c>
      <c r="G352" s="53"/>
      <c r="H352" s="53"/>
      <c r="I352" s="53"/>
      <c r="J352" s="53"/>
      <c r="K352" s="53"/>
      <c r="L352" s="53"/>
      <c r="M352" s="53"/>
      <c r="N352" s="53"/>
      <c r="O352" s="53"/>
    </row>
    <row r="353" spans="1:8" x14ac:dyDescent="0.4">
      <c r="A353" s="35"/>
      <c r="B353" s="40" t="s">
        <v>37</v>
      </c>
      <c r="C353" s="39" t="s">
        <v>112</v>
      </c>
      <c r="D353" s="40" t="s">
        <v>120</v>
      </c>
      <c r="E353" s="40">
        <v>20</v>
      </c>
      <c r="F353" s="29"/>
    </row>
    <row r="354" spans="1:8" x14ac:dyDescent="0.4">
      <c r="A354" s="34" t="s">
        <v>108</v>
      </c>
      <c r="B354" s="15">
        <v>4</v>
      </c>
      <c r="C354" s="13">
        <v>15</v>
      </c>
      <c r="D354" s="13">
        <v>13</v>
      </c>
      <c r="E354" s="13">
        <v>6</v>
      </c>
      <c r="F354" s="32">
        <v>6</v>
      </c>
    </row>
    <row r="355" spans="1:8" x14ac:dyDescent="0.4">
      <c r="A355" s="35"/>
      <c r="B355" s="16">
        <v>20</v>
      </c>
      <c r="C355" s="14"/>
      <c r="D355" s="14"/>
      <c r="E355" s="14"/>
      <c r="F355" s="16">
        <v>20</v>
      </c>
    </row>
    <row r="356" spans="1:8" x14ac:dyDescent="0.4">
      <c r="A356" s="63" t="s">
        <v>131</v>
      </c>
      <c r="B356" s="56">
        <v>0</v>
      </c>
      <c r="C356" s="31">
        <v>0</v>
      </c>
      <c r="D356" s="65">
        <v>0</v>
      </c>
      <c r="E356" s="31">
        <v>0</v>
      </c>
      <c r="F356" s="61">
        <v>0</v>
      </c>
    </row>
    <row r="357" spans="1:8" x14ac:dyDescent="0.4">
      <c r="A357" s="64"/>
      <c r="B357" s="57"/>
      <c r="C357" s="29"/>
      <c r="D357" s="66">
        <v>10</v>
      </c>
      <c r="E357" s="29"/>
      <c r="F357" s="69">
        <v>0</v>
      </c>
      <c r="H357" s="1" t="s">
        <v>134</v>
      </c>
    </row>
    <row r="359" spans="1:8" x14ac:dyDescent="0.4">
      <c r="A359" s="1" t="s">
        <v>42</v>
      </c>
    </row>
    <row r="361" spans="1:8" x14ac:dyDescent="0.4">
      <c r="A361" s="22" t="s">
        <v>5</v>
      </c>
      <c r="B361" s="23">
        <v>0</v>
      </c>
      <c r="C361" s="23">
        <v>0</v>
      </c>
      <c r="D361" s="23">
        <v>0</v>
      </c>
      <c r="E361" s="28">
        <v>0</v>
      </c>
      <c r="F361" s="51">
        <v>0</v>
      </c>
      <c r="H361" s="41"/>
    </row>
    <row r="362" spans="1:8" x14ac:dyDescent="0.4">
      <c r="A362" s="34">
        <v>0</v>
      </c>
      <c r="B362" s="13">
        <v>1</v>
      </c>
      <c r="C362" s="15">
        <v>2</v>
      </c>
      <c r="D362" s="13">
        <v>3</v>
      </c>
      <c r="E362" s="13">
        <v>1</v>
      </c>
      <c r="F362" s="30">
        <v>1</v>
      </c>
      <c r="H362" s="41"/>
    </row>
    <row r="363" spans="1:8" x14ac:dyDescent="0.4">
      <c r="A363" s="35"/>
      <c r="B363" s="14"/>
      <c r="C363" s="16">
        <v>20</v>
      </c>
      <c r="D363" s="14"/>
      <c r="E363" s="14"/>
      <c r="F363" s="14"/>
      <c r="H363" s="41"/>
    </row>
    <row r="364" spans="1:8" x14ac:dyDescent="0.4">
      <c r="A364" s="34">
        <v>0</v>
      </c>
      <c r="B364" s="13">
        <v>4</v>
      </c>
      <c r="C364" s="15">
        <v>2</v>
      </c>
      <c r="D364" s="15">
        <v>2</v>
      </c>
      <c r="E364" s="54">
        <v>9</v>
      </c>
      <c r="F364" s="31">
        <v>9</v>
      </c>
      <c r="H364" s="41"/>
    </row>
    <row r="365" spans="1:8" x14ac:dyDescent="0.4">
      <c r="A365" s="35"/>
      <c r="B365" s="14"/>
      <c r="C365" s="16">
        <v>20</v>
      </c>
      <c r="D365" s="16">
        <v>30</v>
      </c>
      <c r="E365" s="55"/>
      <c r="F365" s="29"/>
      <c r="H365" s="41"/>
    </row>
    <row r="366" spans="1:8" x14ac:dyDescent="0.4">
      <c r="A366" s="34">
        <v>0</v>
      </c>
      <c r="B366" s="17">
        <v>5</v>
      </c>
      <c r="C366" s="18">
        <v>7</v>
      </c>
      <c r="D366" s="17">
        <v>10</v>
      </c>
      <c r="E366" s="17">
        <v>5</v>
      </c>
      <c r="F366" s="30" t="s">
        <v>104</v>
      </c>
      <c r="H366" s="41"/>
    </row>
    <row r="367" spans="1:8" x14ac:dyDescent="0.4">
      <c r="A367" s="35"/>
      <c r="B367" s="40">
        <v>20</v>
      </c>
      <c r="C367" s="39"/>
      <c r="D367" s="40">
        <v>10</v>
      </c>
      <c r="E367" s="40">
        <v>20</v>
      </c>
      <c r="F367" s="29"/>
      <c r="H367" s="41"/>
    </row>
    <row r="368" spans="1:8" x14ac:dyDescent="0.4">
      <c r="A368" s="34">
        <v>0</v>
      </c>
      <c r="B368" s="15">
        <v>4</v>
      </c>
      <c r="C368" s="13">
        <v>15</v>
      </c>
      <c r="D368" s="13">
        <v>13</v>
      </c>
      <c r="E368" s="13">
        <v>6</v>
      </c>
      <c r="F368" s="32">
        <v>6</v>
      </c>
      <c r="H368" s="41"/>
    </row>
    <row r="369" spans="1:8" x14ac:dyDescent="0.4">
      <c r="A369" s="35"/>
      <c r="B369" s="16">
        <v>20</v>
      </c>
      <c r="C369" s="14"/>
      <c r="D369" s="14"/>
      <c r="E369" s="14"/>
      <c r="F369" s="16">
        <v>20</v>
      </c>
      <c r="H369" s="41"/>
    </row>
    <row r="370" spans="1:8" x14ac:dyDescent="0.4">
      <c r="A370" s="63">
        <v>0</v>
      </c>
      <c r="B370" s="56">
        <v>0</v>
      </c>
      <c r="C370" s="31">
        <v>0</v>
      </c>
      <c r="D370" s="65">
        <v>0</v>
      </c>
      <c r="E370" s="31">
        <v>0</v>
      </c>
      <c r="F370" s="61">
        <v>0</v>
      </c>
    </row>
    <row r="371" spans="1:8" x14ac:dyDescent="0.4">
      <c r="A371" s="64"/>
      <c r="B371" s="57"/>
      <c r="C371" s="29"/>
      <c r="D371" s="66">
        <v>10</v>
      </c>
      <c r="E371" s="29"/>
      <c r="F371" s="69">
        <v>0</v>
      </c>
    </row>
    <row r="373" spans="1:8" x14ac:dyDescent="0.4">
      <c r="A373" s="1" t="s">
        <v>10</v>
      </c>
    </row>
    <row r="375" spans="1:8" x14ac:dyDescent="0.4">
      <c r="A375" s="22" t="s">
        <v>5</v>
      </c>
      <c r="B375" s="23" t="s">
        <v>140</v>
      </c>
      <c r="C375" s="23" t="s">
        <v>77</v>
      </c>
      <c r="D375" s="23" t="s">
        <v>78</v>
      </c>
      <c r="E375" s="28" t="s">
        <v>141</v>
      </c>
      <c r="F375" s="51" t="s">
        <v>142</v>
      </c>
      <c r="H375" s="1" t="s">
        <v>72</v>
      </c>
    </row>
    <row r="376" spans="1:8" x14ac:dyDescent="0.4">
      <c r="A376" s="34" t="s">
        <v>23</v>
      </c>
      <c r="B376" s="13">
        <v>1</v>
      </c>
      <c r="C376" s="15">
        <v>2</v>
      </c>
      <c r="D376" s="13">
        <v>3</v>
      </c>
      <c r="E376" s="13">
        <v>1</v>
      </c>
      <c r="F376" s="30">
        <v>1</v>
      </c>
      <c r="H376" s="1" t="s">
        <v>73</v>
      </c>
    </row>
    <row r="377" spans="1:8" x14ac:dyDescent="0.4">
      <c r="A377" s="35"/>
      <c r="B377" s="14"/>
      <c r="C377" s="16">
        <v>20</v>
      </c>
      <c r="D377" s="14"/>
      <c r="E377" s="14"/>
      <c r="F377" s="14"/>
      <c r="H377" s="1" t="s">
        <v>74</v>
      </c>
    </row>
    <row r="378" spans="1:8" x14ac:dyDescent="0.4">
      <c r="A378" s="34" t="s">
        <v>79</v>
      </c>
      <c r="B378" s="13">
        <v>4</v>
      </c>
      <c r="C378" s="15">
        <v>2</v>
      </c>
      <c r="D378" s="15">
        <v>2</v>
      </c>
      <c r="E378" s="54">
        <v>9</v>
      </c>
      <c r="F378" s="31">
        <v>9</v>
      </c>
      <c r="H378" s="1" t="s">
        <v>135</v>
      </c>
    </row>
    <row r="379" spans="1:8" x14ac:dyDescent="0.4">
      <c r="A379" s="35"/>
      <c r="B379" s="14"/>
      <c r="C379" s="16">
        <v>20</v>
      </c>
      <c r="D379" s="16">
        <v>30</v>
      </c>
      <c r="E379" s="55"/>
      <c r="F379" s="29"/>
      <c r="H379" s="1" t="s">
        <v>136</v>
      </c>
    </row>
    <row r="380" spans="1:8" x14ac:dyDescent="0.4">
      <c r="A380" s="34" t="s">
        <v>143</v>
      </c>
      <c r="B380" s="17">
        <v>5</v>
      </c>
      <c r="C380" s="18">
        <v>7</v>
      </c>
      <c r="D380" s="17">
        <v>10</v>
      </c>
      <c r="E380" s="17">
        <v>5</v>
      </c>
      <c r="F380" s="30" t="s">
        <v>104</v>
      </c>
      <c r="H380" s="1" t="s">
        <v>137</v>
      </c>
    </row>
    <row r="381" spans="1:8" x14ac:dyDescent="0.4">
      <c r="A381" s="35"/>
      <c r="B381" s="40">
        <v>20</v>
      </c>
      <c r="C381" s="39" t="s">
        <v>112</v>
      </c>
      <c r="D381" s="40">
        <v>10</v>
      </c>
      <c r="E381" s="40">
        <v>20</v>
      </c>
      <c r="F381" s="29"/>
      <c r="H381" s="1" t="s">
        <v>138</v>
      </c>
    </row>
    <row r="382" spans="1:8" x14ac:dyDescent="0.4">
      <c r="A382" s="34" t="s">
        <v>144</v>
      </c>
      <c r="B382" s="15">
        <v>4</v>
      </c>
      <c r="C382" s="13">
        <v>15</v>
      </c>
      <c r="D382" s="13">
        <v>13</v>
      </c>
      <c r="E382" s="13">
        <v>6</v>
      </c>
      <c r="F382" s="32">
        <v>6</v>
      </c>
      <c r="H382" s="1" t="s">
        <v>139</v>
      </c>
    </row>
    <row r="383" spans="1:8" x14ac:dyDescent="0.4">
      <c r="A383" s="35"/>
      <c r="B383" s="16">
        <v>20</v>
      </c>
      <c r="C383" s="14"/>
      <c r="D383" s="14"/>
      <c r="E383" s="14"/>
      <c r="F383" s="16">
        <v>20</v>
      </c>
      <c r="H383" s="1" t="s">
        <v>75</v>
      </c>
    </row>
    <row r="384" spans="1:8" x14ac:dyDescent="0.4">
      <c r="A384" s="63" t="s">
        <v>81</v>
      </c>
      <c r="B384" s="56">
        <v>0</v>
      </c>
      <c r="C384" s="31">
        <v>0</v>
      </c>
      <c r="D384" s="65">
        <v>0</v>
      </c>
      <c r="E384" s="31">
        <v>0</v>
      </c>
      <c r="F384" s="61">
        <v>0</v>
      </c>
    </row>
    <row r="385" spans="1:8" x14ac:dyDescent="0.4">
      <c r="A385" s="64"/>
      <c r="B385" s="57"/>
      <c r="C385" s="29"/>
      <c r="D385" s="66">
        <v>10</v>
      </c>
      <c r="E385" s="29"/>
      <c r="F385" s="69">
        <v>0</v>
      </c>
    </row>
    <row r="387" spans="1:8" x14ac:dyDescent="0.4">
      <c r="A387" s="1" t="s">
        <v>145</v>
      </c>
    </row>
    <row r="389" spans="1:8" x14ac:dyDescent="0.4">
      <c r="A389" s="22"/>
      <c r="B389" s="23" t="s">
        <v>140</v>
      </c>
      <c r="C389" s="23" t="s">
        <v>77</v>
      </c>
      <c r="D389" s="23" t="s">
        <v>78</v>
      </c>
      <c r="E389" s="28" t="s">
        <v>141</v>
      </c>
      <c r="F389" s="51" t="s">
        <v>142</v>
      </c>
    </row>
    <row r="390" spans="1:8" x14ac:dyDescent="0.4">
      <c r="A390" s="34" t="s">
        <v>23</v>
      </c>
      <c r="B390" s="13">
        <v>1</v>
      </c>
      <c r="C390" s="15">
        <v>2</v>
      </c>
      <c r="D390" s="13">
        <v>3</v>
      </c>
      <c r="E390" s="13">
        <v>1</v>
      </c>
      <c r="F390" s="30">
        <v>1</v>
      </c>
    </row>
    <row r="391" spans="1:8" x14ac:dyDescent="0.4">
      <c r="A391" s="35"/>
      <c r="B391" s="14"/>
      <c r="C391" s="16">
        <v>20</v>
      </c>
      <c r="D391" s="14"/>
      <c r="E391" s="14"/>
      <c r="F391" s="14"/>
    </row>
    <row r="392" spans="1:8" x14ac:dyDescent="0.4">
      <c r="A392" s="34" t="s">
        <v>79</v>
      </c>
      <c r="B392" s="13">
        <v>4</v>
      </c>
      <c r="C392" s="15">
        <v>2</v>
      </c>
      <c r="D392" s="15">
        <v>2</v>
      </c>
      <c r="E392" s="54">
        <v>9</v>
      </c>
      <c r="F392" s="31">
        <v>9</v>
      </c>
    </row>
    <row r="393" spans="1:8" x14ac:dyDescent="0.4">
      <c r="A393" s="35"/>
      <c r="B393" s="14"/>
      <c r="C393" s="16" t="s">
        <v>114</v>
      </c>
      <c r="D393" s="16" t="s">
        <v>115</v>
      </c>
      <c r="E393" s="55"/>
      <c r="F393" s="29"/>
    </row>
    <row r="394" spans="1:8" x14ac:dyDescent="0.4">
      <c r="A394" s="34" t="s">
        <v>143</v>
      </c>
      <c r="B394" s="17">
        <v>5</v>
      </c>
      <c r="C394" s="18">
        <v>7</v>
      </c>
      <c r="D394" s="17">
        <v>10</v>
      </c>
      <c r="E394" s="17">
        <v>5</v>
      </c>
      <c r="F394" s="30" t="s">
        <v>104</v>
      </c>
    </row>
    <row r="395" spans="1:8" x14ac:dyDescent="0.4">
      <c r="A395" s="35"/>
      <c r="B395" s="40">
        <v>20</v>
      </c>
      <c r="C395" s="39" t="s">
        <v>119</v>
      </c>
      <c r="D395" s="40" t="s">
        <v>49</v>
      </c>
      <c r="E395" s="40">
        <v>20</v>
      </c>
      <c r="F395" s="29"/>
    </row>
    <row r="396" spans="1:8" x14ac:dyDescent="0.4">
      <c r="A396" s="34" t="s">
        <v>144</v>
      </c>
      <c r="B396" s="15">
        <v>4</v>
      </c>
      <c r="C396" s="13">
        <v>15</v>
      </c>
      <c r="D396" s="13">
        <v>13</v>
      </c>
      <c r="E396" s="13">
        <v>6</v>
      </c>
      <c r="F396" s="32">
        <v>6</v>
      </c>
    </row>
    <row r="397" spans="1:8" x14ac:dyDescent="0.4">
      <c r="A397" s="35"/>
      <c r="B397" s="16">
        <v>20</v>
      </c>
      <c r="C397" s="14"/>
      <c r="D397" s="14"/>
      <c r="E397" s="14"/>
      <c r="F397" s="16">
        <v>20</v>
      </c>
    </row>
    <row r="398" spans="1:8" x14ac:dyDescent="0.4">
      <c r="A398" s="63" t="s">
        <v>81</v>
      </c>
      <c r="B398" s="56">
        <v>0</v>
      </c>
      <c r="C398" s="31">
        <v>0</v>
      </c>
      <c r="D398" s="65">
        <v>0</v>
      </c>
      <c r="E398" s="31">
        <v>0</v>
      </c>
      <c r="F398" s="61">
        <v>0</v>
      </c>
    </row>
    <row r="399" spans="1:8" x14ac:dyDescent="0.4">
      <c r="A399" s="64"/>
      <c r="B399" s="57"/>
      <c r="C399" s="29"/>
      <c r="D399" s="66">
        <v>10</v>
      </c>
      <c r="E399" s="29"/>
      <c r="F399" s="69">
        <v>0</v>
      </c>
      <c r="H399" s="1" t="s">
        <v>146</v>
      </c>
    </row>
    <row r="401" spans="1:6" x14ac:dyDescent="0.4">
      <c r="A401" s="1" t="s">
        <v>42</v>
      </c>
    </row>
    <row r="403" spans="1:6" x14ac:dyDescent="0.4">
      <c r="A403" s="22" t="s">
        <v>5</v>
      </c>
      <c r="B403" s="23">
        <v>0</v>
      </c>
      <c r="C403" s="23">
        <v>0</v>
      </c>
      <c r="D403" s="23">
        <v>0</v>
      </c>
      <c r="E403" s="28">
        <v>0</v>
      </c>
      <c r="F403" s="51">
        <v>0</v>
      </c>
    </row>
    <row r="404" spans="1:6" x14ac:dyDescent="0.4">
      <c r="A404" s="34">
        <v>0</v>
      </c>
      <c r="B404" s="13">
        <v>1</v>
      </c>
      <c r="C404" s="15">
        <v>2</v>
      </c>
      <c r="D404" s="13">
        <v>3</v>
      </c>
      <c r="E404" s="13">
        <v>1</v>
      </c>
      <c r="F404" s="30">
        <v>1</v>
      </c>
    </row>
    <row r="405" spans="1:6" x14ac:dyDescent="0.4">
      <c r="A405" s="35"/>
      <c r="B405" s="14"/>
      <c r="C405" s="16">
        <v>20</v>
      </c>
      <c r="D405" s="14"/>
      <c r="E405" s="14"/>
      <c r="F405" s="14"/>
    </row>
    <row r="406" spans="1:6" x14ac:dyDescent="0.4">
      <c r="A406" s="34">
        <v>0</v>
      </c>
      <c r="B406" s="13">
        <v>4</v>
      </c>
      <c r="C406" s="15">
        <v>2</v>
      </c>
      <c r="D406" s="15">
        <v>2</v>
      </c>
      <c r="E406" s="54">
        <v>9</v>
      </c>
      <c r="F406" s="31">
        <v>9</v>
      </c>
    </row>
    <row r="407" spans="1:6" x14ac:dyDescent="0.4">
      <c r="A407" s="35"/>
      <c r="B407" s="14"/>
      <c r="C407" s="16">
        <v>10</v>
      </c>
      <c r="D407" s="16">
        <v>40</v>
      </c>
      <c r="E407" s="55"/>
      <c r="F407" s="29"/>
    </row>
    <row r="408" spans="1:6" x14ac:dyDescent="0.4">
      <c r="A408" s="34">
        <v>0</v>
      </c>
      <c r="B408" s="17">
        <v>5</v>
      </c>
      <c r="C408" s="17">
        <v>7</v>
      </c>
      <c r="D408" s="18">
        <v>10</v>
      </c>
      <c r="E408" s="17">
        <v>5</v>
      </c>
      <c r="F408" s="30" t="s">
        <v>104</v>
      </c>
    </row>
    <row r="409" spans="1:6" x14ac:dyDescent="0.4">
      <c r="A409" s="35"/>
      <c r="B409" s="40">
        <v>20</v>
      </c>
      <c r="C409" s="40">
        <v>10</v>
      </c>
      <c r="D409" s="39"/>
      <c r="E409" s="40">
        <v>20</v>
      </c>
      <c r="F409" s="29"/>
    </row>
    <row r="410" spans="1:6" x14ac:dyDescent="0.4">
      <c r="A410" s="34">
        <v>0</v>
      </c>
      <c r="B410" s="15">
        <v>4</v>
      </c>
      <c r="C410" s="13">
        <v>15</v>
      </c>
      <c r="D410" s="13">
        <v>13</v>
      </c>
      <c r="E410" s="13">
        <v>6</v>
      </c>
      <c r="F410" s="32">
        <v>6</v>
      </c>
    </row>
    <row r="411" spans="1:6" x14ac:dyDescent="0.4">
      <c r="A411" s="35"/>
      <c r="B411" s="16">
        <v>20</v>
      </c>
      <c r="C411" s="14"/>
      <c r="D411" s="14"/>
      <c r="E411" s="14"/>
      <c r="F411" s="16">
        <v>20</v>
      </c>
    </row>
    <row r="412" spans="1:6" x14ac:dyDescent="0.4">
      <c r="A412" s="63">
        <v>0</v>
      </c>
      <c r="B412" s="56">
        <v>0</v>
      </c>
      <c r="C412" s="31">
        <v>0</v>
      </c>
      <c r="D412" s="65">
        <v>0</v>
      </c>
      <c r="E412" s="31">
        <v>0</v>
      </c>
      <c r="F412" s="61">
        <v>0</v>
      </c>
    </row>
    <row r="413" spans="1:6" x14ac:dyDescent="0.4">
      <c r="A413" s="64"/>
      <c r="B413" s="57"/>
      <c r="C413" s="29"/>
      <c r="D413" s="66">
        <v>10</v>
      </c>
      <c r="E413" s="29"/>
      <c r="F413" s="69">
        <v>0</v>
      </c>
    </row>
    <row r="415" spans="1:6" x14ac:dyDescent="0.4">
      <c r="A415" s="1" t="s">
        <v>10</v>
      </c>
    </row>
    <row r="417" spans="1:8" x14ac:dyDescent="0.4">
      <c r="A417" s="22"/>
      <c r="B417" s="23" t="s">
        <v>147</v>
      </c>
      <c r="C417" s="23" t="s">
        <v>77</v>
      </c>
      <c r="D417" s="23" t="s">
        <v>78</v>
      </c>
      <c r="E417" s="28" t="s">
        <v>87</v>
      </c>
      <c r="F417" s="51" t="s">
        <v>148</v>
      </c>
      <c r="H417" s="1" t="s">
        <v>72</v>
      </c>
    </row>
    <row r="418" spans="1:8" x14ac:dyDescent="0.4">
      <c r="A418" s="34" t="s">
        <v>23</v>
      </c>
      <c r="B418" s="13">
        <v>1</v>
      </c>
      <c r="C418" s="15">
        <v>2</v>
      </c>
      <c r="D418" s="13">
        <v>3</v>
      </c>
      <c r="E418" s="13">
        <v>1</v>
      </c>
      <c r="F418" s="30">
        <v>1</v>
      </c>
      <c r="H418" s="1" t="s">
        <v>73</v>
      </c>
    </row>
    <row r="419" spans="1:8" x14ac:dyDescent="0.4">
      <c r="A419" s="35"/>
      <c r="B419" s="14"/>
      <c r="C419" s="16">
        <v>20</v>
      </c>
      <c r="D419" s="14"/>
      <c r="E419" s="14"/>
      <c r="F419" s="14"/>
      <c r="H419" s="1" t="s">
        <v>74</v>
      </c>
    </row>
    <row r="420" spans="1:8" x14ac:dyDescent="0.4">
      <c r="A420" s="34" t="s">
        <v>79</v>
      </c>
      <c r="B420" s="13">
        <v>4</v>
      </c>
      <c r="C420" s="15">
        <v>2</v>
      </c>
      <c r="D420" s="15">
        <v>2</v>
      </c>
      <c r="E420" s="54">
        <v>9</v>
      </c>
      <c r="F420" s="31">
        <v>9</v>
      </c>
      <c r="H420" s="1" t="s">
        <v>75</v>
      </c>
    </row>
    <row r="421" spans="1:8" x14ac:dyDescent="0.4">
      <c r="A421" s="35"/>
      <c r="B421" s="14"/>
      <c r="C421" s="16">
        <v>10</v>
      </c>
      <c r="D421" s="16">
        <v>40</v>
      </c>
      <c r="E421" s="55"/>
      <c r="F421" s="29"/>
      <c r="H421" s="1" t="s">
        <v>76</v>
      </c>
    </row>
    <row r="422" spans="1:8" x14ac:dyDescent="0.4">
      <c r="A422" s="34" t="s">
        <v>80</v>
      </c>
      <c r="B422" s="17">
        <v>5</v>
      </c>
      <c r="C422" s="17">
        <v>7</v>
      </c>
      <c r="D422" s="18">
        <v>10</v>
      </c>
      <c r="E422" s="17">
        <v>5</v>
      </c>
      <c r="F422" s="30" t="s">
        <v>104</v>
      </c>
      <c r="H422" s="1" t="s">
        <v>151</v>
      </c>
    </row>
    <row r="423" spans="1:8" x14ac:dyDescent="0.4">
      <c r="A423" s="35"/>
      <c r="B423" s="40">
        <v>20</v>
      </c>
      <c r="C423" s="40">
        <v>10</v>
      </c>
      <c r="D423" s="39"/>
      <c r="E423" s="40">
        <v>20</v>
      </c>
      <c r="F423" s="29"/>
      <c r="H423" s="1" t="s">
        <v>152</v>
      </c>
    </row>
    <row r="424" spans="1:8" x14ac:dyDescent="0.4">
      <c r="A424" s="34" t="s">
        <v>149</v>
      </c>
      <c r="B424" s="15">
        <v>4</v>
      </c>
      <c r="C424" s="13">
        <v>15</v>
      </c>
      <c r="D424" s="13">
        <v>13</v>
      </c>
      <c r="E424" s="13">
        <v>6</v>
      </c>
      <c r="F424" s="32">
        <v>6</v>
      </c>
      <c r="H424" s="1" t="s">
        <v>153</v>
      </c>
    </row>
    <row r="425" spans="1:8" x14ac:dyDescent="0.4">
      <c r="A425" s="35"/>
      <c r="B425" s="16">
        <v>20</v>
      </c>
      <c r="C425" s="14"/>
      <c r="D425" s="14"/>
      <c r="E425" s="14"/>
      <c r="F425" s="16">
        <v>20</v>
      </c>
      <c r="H425" s="1" t="s">
        <v>83</v>
      </c>
    </row>
    <row r="426" spans="1:8" x14ac:dyDescent="0.4">
      <c r="A426" s="63" t="s">
        <v>81</v>
      </c>
      <c r="B426" s="56">
        <v>0</v>
      </c>
      <c r="C426" s="31">
        <v>0</v>
      </c>
      <c r="D426" s="65">
        <v>0</v>
      </c>
      <c r="E426" s="31">
        <v>0</v>
      </c>
      <c r="F426" s="61">
        <v>0</v>
      </c>
    </row>
    <row r="427" spans="1:8" x14ac:dyDescent="0.4">
      <c r="A427" s="64"/>
      <c r="B427" s="57"/>
      <c r="C427" s="29"/>
      <c r="D427" s="66">
        <v>10</v>
      </c>
      <c r="E427" s="29"/>
      <c r="F427" s="69">
        <v>0</v>
      </c>
    </row>
    <row r="429" spans="1:8" x14ac:dyDescent="0.4">
      <c r="A429" s="1" t="s">
        <v>150</v>
      </c>
    </row>
    <row r="431" spans="1:8" x14ac:dyDescent="0.4">
      <c r="A431" s="22"/>
      <c r="B431" s="23" t="s">
        <v>147</v>
      </c>
      <c r="C431" s="23" t="s">
        <v>77</v>
      </c>
      <c r="D431" s="23" t="s">
        <v>78</v>
      </c>
      <c r="E431" s="28" t="s">
        <v>87</v>
      </c>
      <c r="F431" s="51" t="s">
        <v>148</v>
      </c>
    </row>
    <row r="432" spans="1:8" x14ac:dyDescent="0.4">
      <c r="A432" s="34" t="s">
        <v>23</v>
      </c>
      <c r="B432" s="13">
        <v>1</v>
      </c>
      <c r="C432" s="15">
        <v>2</v>
      </c>
      <c r="D432" s="13">
        <v>3</v>
      </c>
      <c r="E432" s="13">
        <v>1</v>
      </c>
      <c r="F432" s="30">
        <v>1</v>
      </c>
    </row>
    <row r="433" spans="1:8" x14ac:dyDescent="0.4">
      <c r="A433" s="35"/>
      <c r="B433" s="14"/>
      <c r="C433" s="16" t="s">
        <v>114</v>
      </c>
      <c r="D433" s="14"/>
      <c r="E433" s="14"/>
      <c r="F433" s="14" t="s">
        <v>82</v>
      </c>
    </row>
    <row r="434" spans="1:8" x14ac:dyDescent="0.4">
      <c r="A434" s="34" t="s">
        <v>79</v>
      </c>
      <c r="B434" s="13">
        <v>4</v>
      </c>
      <c r="C434" s="15">
        <v>2</v>
      </c>
      <c r="D434" s="15">
        <v>2</v>
      </c>
      <c r="E434" s="54">
        <v>9</v>
      </c>
      <c r="F434" s="31">
        <v>9</v>
      </c>
    </row>
    <row r="435" spans="1:8" x14ac:dyDescent="0.4">
      <c r="A435" s="35"/>
      <c r="B435" s="14"/>
      <c r="C435" s="16">
        <v>10</v>
      </c>
      <c r="D435" s="16">
        <v>40</v>
      </c>
      <c r="E435" s="55"/>
      <c r="F435" s="29"/>
    </row>
    <row r="436" spans="1:8" x14ac:dyDescent="0.4">
      <c r="A436" s="34" t="s">
        <v>80</v>
      </c>
      <c r="B436" s="17">
        <v>5</v>
      </c>
      <c r="C436" s="17">
        <v>7</v>
      </c>
      <c r="D436" s="18">
        <v>10</v>
      </c>
      <c r="E436" s="17">
        <v>5</v>
      </c>
      <c r="F436" s="30" t="s">
        <v>104</v>
      </c>
    </row>
    <row r="437" spans="1:8" x14ac:dyDescent="0.4">
      <c r="A437" s="35"/>
      <c r="B437" s="40" t="s">
        <v>114</v>
      </c>
      <c r="C437" s="40" t="s">
        <v>41</v>
      </c>
      <c r="D437" s="39"/>
      <c r="E437" s="40">
        <v>20</v>
      </c>
      <c r="F437" s="29"/>
    </row>
    <row r="438" spans="1:8" x14ac:dyDescent="0.4">
      <c r="A438" s="34" t="s">
        <v>149</v>
      </c>
      <c r="B438" s="15">
        <v>4</v>
      </c>
      <c r="C438" s="13">
        <v>15</v>
      </c>
      <c r="D438" s="13">
        <v>13</v>
      </c>
      <c r="E438" s="13">
        <v>6</v>
      </c>
      <c r="F438" s="32">
        <v>6</v>
      </c>
    </row>
    <row r="439" spans="1:8" x14ac:dyDescent="0.4">
      <c r="A439" s="35"/>
      <c r="B439" s="16" t="s">
        <v>116</v>
      </c>
      <c r="C439" s="14"/>
      <c r="D439" s="14"/>
      <c r="E439" s="14"/>
      <c r="F439" s="16" t="s">
        <v>114</v>
      </c>
    </row>
    <row r="440" spans="1:8" x14ac:dyDescent="0.4">
      <c r="A440" s="63" t="s">
        <v>81</v>
      </c>
      <c r="B440" s="56">
        <v>0</v>
      </c>
      <c r="C440" s="31">
        <v>0</v>
      </c>
      <c r="D440" s="65">
        <v>0</v>
      </c>
      <c r="E440" s="31">
        <v>0</v>
      </c>
      <c r="F440" s="61">
        <v>0</v>
      </c>
    </row>
    <row r="441" spans="1:8" x14ac:dyDescent="0.4">
      <c r="A441" s="64"/>
      <c r="B441" s="57"/>
      <c r="C441" s="29"/>
      <c r="D441" s="66">
        <v>10</v>
      </c>
      <c r="E441" s="29"/>
      <c r="F441" s="69">
        <v>0</v>
      </c>
      <c r="H441" s="1" t="s">
        <v>154</v>
      </c>
    </row>
    <row r="443" spans="1:8" x14ac:dyDescent="0.4">
      <c r="A443" s="1" t="s">
        <v>42</v>
      </c>
    </row>
    <row r="445" spans="1:8" x14ac:dyDescent="0.4">
      <c r="A445" s="22" t="s">
        <v>5</v>
      </c>
      <c r="B445" s="23">
        <v>0</v>
      </c>
      <c r="C445" s="23">
        <v>0</v>
      </c>
      <c r="D445" s="23">
        <v>0</v>
      </c>
      <c r="E445" s="28">
        <v>0</v>
      </c>
      <c r="F445" s="51">
        <v>0</v>
      </c>
    </row>
    <row r="446" spans="1:8" x14ac:dyDescent="0.4">
      <c r="A446" s="34">
        <v>0</v>
      </c>
      <c r="B446" s="13">
        <v>1</v>
      </c>
      <c r="C446" s="13">
        <v>2</v>
      </c>
      <c r="D446" s="13">
        <v>3</v>
      </c>
      <c r="E446" s="13">
        <v>1</v>
      </c>
      <c r="F446" s="32">
        <v>1</v>
      </c>
    </row>
    <row r="447" spans="1:8" x14ac:dyDescent="0.4">
      <c r="A447" s="35"/>
      <c r="B447" s="14"/>
      <c r="C447" s="14"/>
      <c r="D447" s="14"/>
      <c r="E447" s="14"/>
      <c r="F447" s="16">
        <v>20</v>
      </c>
    </row>
    <row r="448" spans="1:8" x14ac:dyDescent="0.4">
      <c r="A448" s="34">
        <v>0</v>
      </c>
      <c r="B448" s="13">
        <v>4</v>
      </c>
      <c r="C448" s="15">
        <v>2</v>
      </c>
      <c r="D448" s="15">
        <v>2</v>
      </c>
      <c r="E448" s="54">
        <v>9</v>
      </c>
      <c r="F448" s="31">
        <v>9</v>
      </c>
    </row>
    <row r="449" spans="1:8" x14ac:dyDescent="0.4">
      <c r="A449" s="35"/>
      <c r="B449" s="14"/>
      <c r="C449" s="16">
        <v>10</v>
      </c>
      <c r="D449" s="16">
        <v>40</v>
      </c>
      <c r="E449" s="55"/>
      <c r="F449" s="29"/>
    </row>
    <row r="450" spans="1:8" x14ac:dyDescent="0.4">
      <c r="A450" s="34">
        <v>0</v>
      </c>
      <c r="B450" s="17">
        <v>5</v>
      </c>
      <c r="C450" s="17">
        <v>7</v>
      </c>
      <c r="D450" s="18">
        <v>10</v>
      </c>
      <c r="E450" s="17">
        <v>5</v>
      </c>
      <c r="F450" s="30" t="s">
        <v>104</v>
      </c>
    </row>
    <row r="451" spans="1:8" x14ac:dyDescent="0.4">
      <c r="A451" s="35"/>
      <c r="B451" s="40">
        <v>0</v>
      </c>
      <c r="C451" s="40">
        <v>30</v>
      </c>
      <c r="D451" s="39"/>
      <c r="E451" s="40">
        <v>20</v>
      </c>
      <c r="F451" s="29"/>
    </row>
    <row r="452" spans="1:8" x14ac:dyDescent="0.4">
      <c r="A452" s="34">
        <v>0</v>
      </c>
      <c r="B452" s="15">
        <v>4</v>
      </c>
      <c r="C452" s="13">
        <v>15</v>
      </c>
      <c r="D452" s="13">
        <v>13</v>
      </c>
      <c r="E452" s="13">
        <v>6</v>
      </c>
      <c r="F452" s="32">
        <v>6</v>
      </c>
    </row>
    <row r="453" spans="1:8" x14ac:dyDescent="0.4">
      <c r="A453" s="35"/>
      <c r="B453" s="16">
        <v>40</v>
      </c>
      <c r="C453" s="14"/>
      <c r="D453" s="14"/>
      <c r="E453" s="14"/>
      <c r="F453" s="16">
        <v>0</v>
      </c>
    </row>
    <row r="454" spans="1:8" x14ac:dyDescent="0.4">
      <c r="A454" s="63">
        <v>0</v>
      </c>
      <c r="B454" s="56">
        <v>0</v>
      </c>
      <c r="C454" s="31">
        <v>0</v>
      </c>
      <c r="D454" s="65">
        <v>0</v>
      </c>
      <c r="E454" s="31">
        <v>0</v>
      </c>
      <c r="F454" s="61">
        <v>0</v>
      </c>
    </row>
    <row r="455" spans="1:8" x14ac:dyDescent="0.4">
      <c r="A455" s="64"/>
      <c r="B455" s="57"/>
      <c r="C455" s="29"/>
      <c r="D455" s="66">
        <v>10</v>
      </c>
      <c r="E455" s="29"/>
      <c r="F455" s="69">
        <v>0</v>
      </c>
    </row>
    <row r="457" spans="1:8" x14ac:dyDescent="0.4">
      <c r="A457" s="1" t="s">
        <v>10</v>
      </c>
    </row>
    <row r="459" spans="1:8" x14ac:dyDescent="0.4">
      <c r="A459" s="22"/>
      <c r="B459" s="23" t="s">
        <v>53</v>
      </c>
      <c r="C459" s="23" t="s">
        <v>155</v>
      </c>
      <c r="D459" s="23" t="s">
        <v>156</v>
      </c>
      <c r="E459" s="28" t="s">
        <v>157</v>
      </c>
      <c r="F459" s="51" t="s">
        <v>158</v>
      </c>
      <c r="H459" s="1" t="s">
        <v>162</v>
      </c>
    </row>
    <row r="460" spans="1:8" x14ac:dyDescent="0.4">
      <c r="A460" s="34" t="s">
        <v>23</v>
      </c>
      <c r="B460" s="13">
        <v>1</v>
      </c>
      <c r="C460" s="13">
        <v>2</v>
      </c>
      <c r="D460" s="13">
        <v>3</v>
      </c>
      <c r="E460" s="13">
        <v>1</v>
      </c>
      <c r="F460" s="32">
        <v>1</v>
      </c>
      <c r="H460" s="1" t="s">
        <v>163</v>
      </c>
    </row>
    <row r="461" spans="1:8" x14ac:dyDescent="0.4">
      <c r="A461" s="35"/>
      <c r="B461" s="14"/>
      <c r="C461" s="14"/>
      <c r="D461" s="14"/>
      <c r="E461" s="14"/>
      <c r="F461" s="16">
        <v>20</v>
      </c>
      <c r="H461" s="1" t="s">
        <v>61</v>
      </c>
    </row>
    <row r="462" spans="1:8" x14ac:dyDescent="0.4">
      <c r="A462" s="34" t="s">
        <v>159</v>
      </c>
      <c r="B462" s="13">
        <v>4</v>
      </c>
      <c r="C462" s="15">
        <v>2</v>
      </c>
      <c r="D462" s="15">
        <v>2</v>
      </c>
      <c r="E462" s="54">
        <v>9</v>
      </c>
      <c r="F462" s="31">
        <v>9</v>
      </c>
      <c r="H462" s="1" t="s">
        <v>164</v>
      </c>
    </row>
    <row r="463" spans="1:8" x14ac:dyDescent="0.4">
      <c r="A463" s="35"/>
      <c r="B463" s="14"/>
      <c r="C463" s="16">
        <v>10</v>
      </c>
      <c r="D463" s="16">
        <v>40</v>
      </c>
      <c r="E463" s="55"/>
      <c r="F463" s="29"/>
      <c r="H463" s="1" t="s">
        <v>165</v>
      </c>
    </row>
    <row r="464" spans="1:8" x14ac:dyDescent="0.4">
      <c r="A464" s="34" t="s">
        <v>160</v>
      </c>
      <c r="B464" s="17">
        <v>5</v>
      </c>
      <c r="C464" s="17">
        <v>7</v>
      </c>
      <c r="D464" s="18">
        <v>10</v>
      </c>
      <c r="E464" s="17">
        <v>5</v>
      </c>
      <c r="F464" s="30" t="s">
        <v>104</v>
      </c>
      <c r="H464" s="1" t="s">
        <v>166</v>
      </c>
    </row>
    <row r="465" spans="1:8" x14ac:dyDescent="0.4">
      <c r="A465" s="35"/>
      <c r="B465" s="40">
        <v>0</v>
      </c>
      <c r="C465" s="40">
        <v>30</v>
      </c>
      <c r="D465" s="39"/>
      <c r="E465" s="40">
        <v>20</v>
      </c>
      <c r="F465" s="29"/>
      <c r="H465" s="1" t="s">
        <v>167</v>
      </c>
    </row>
    <row r="466" spans="1:8" x14ac:dyDescent="0.4">
      <c r="A466" s="34" t="s">
        <v>58</v>
      </c>
      <c r="B466" s="15">
        <v>4</v>
      </c>
      <c r="C466" s="13">
        <v>15</v>
      </c>
      <c r="D466" s="13">
        <v>13</v>
      </c>
      <c r="E466" s="13">
        <v>6</v>
      </c>
      <c r="F466" s="32">
        <v>6</v>
      </c>
      <c r="H466" s="1" t="s">
        <v>168</v>
      </c>
    </row>
    <row r="467" spans="1:8" x14ac:dyDescent="0.4">
      <c r="A467" s="35"/>
      <c r="B467" s="16">
        <v>40</v>
      </c>
      <c r="C467" s="14"/>
      <c r="D467" s="14"/>
      <c r="E467" s="14"/>
      <c r="F467" s="16">
        <v>0</v>
      </c>
      <c r="H467" s="1" t="s">
        <v>169</v>
      </c>
    </row>
    <row r="468" spans="1:8" x14ac:dyDescent="0.4">
      <c r="A468" s="63" t="s">
        <v>161</v>
      </c>
      <c r="B468" s="56">
        <v>0</v>
      </c>
      <c r="C468" s="31">
        <v>0</v>
      </c>
      <c r="D468" s="65">
        <v>0</v>
      </c>
      <c r="E468" s="31">
        <v>0</v>
      </c>
      <c r="F468" s="61">
        <v>0</v>
      </c>
    </row>
    <row r="469" spans="1:8" x14ac:dyDescent="0.4">
      <c r="A469" s="64"/>
      <c r="B469" s="57"/>
      <c r="C469" s="29"/>
      <c r="D469" s="66">
        <v>10</v>
      </c>
      <c r="E469" s="29"/>
      <c r="F469" s="69">
        <v>0</v>
      </c>
    </row>
    <row r="471" spans="1:8" x14ac:dyDescent="0.4">
      <c r="A471" s="1" t="s">
        <v>89</v>
      </c>
    </row>
    <row r="472" spans="1:8" x14ac:dyDescent="0.4">
      <c r="A472" s="1" t="s">
        <v>170</v>
      </c>
    </row>
    <row r="474" spans="1:8" x14ac:dyDescent="0.4">
      <c r="A474" s="1" t="s">
        <v>93</v>
      </c>
    </row>
    <row r="475" spans="1:8" x14ac:dyDescent="0.4">
      <c r="A475" s="1" t="s">
        <v>171</v>
      </c>
    </row>
    <row r="476" spans="1:8" x14ac:dyDescent="0.4">
      <c r="A476" s="1" t="s">
        <v>95</v>
      </c>
    </row>
    <row r="477" spans="1:8" x14ac:dyDescent="0.4">
      <c r="A477" s="1" t="s">
        <v>172</v>
      </c>
    </row>
    <row r="478" spans="1:8" x14ac:dyDescent="0.4">
      <c r="A478" s="1" t="s">
        <v>98</v>
      </c>
    </row>
    <row r="479" spans="1:8" x14ac:dyDescent="0.4">
      <c r="A479" s="1" t="s">
        <v>91</v>
      </c>
    </row>
    <row r="480" spans="1:8" x14ac:dyDescent="0.4">
      <c r="A480" s="1" t="s">
        <v>94</v>
      </c>
    </row>
    <row r="481" spans="1:6" x14ac:dyDescent="0.4">
      <c r="A481" s="1" t="s">
        <v>173</v>
      </c>
    </row>
    <row r="483" spans="1:6" x14ac:dyDescent="0.4">
      <c r="A483" s="1" t="s">
        <v>174</v>
      </c>
    </row>
    <row r="485" spans="1:6" x14ac:dyDescent="0.4">
      <c r="A485" s="22"/>
      <c r="B485" s="23">
        <v>0</v>
      </c>
      <c r="C485" s="23">
        <v>0</v>
      </c>
      <c r="D485" s="23">
        <v>0</v>
      </c>
      <c r="E485" s="28">
        <v>0</v>
      </c>
      <c r="F485" s="48"/>
    </row>
    <row r="486" spans="1:6" x14ac:dyDescent="0.4">
      <c r="A486" s="34">
        <v>0</v>
      </c>
      <c r="B486" s="13">
        <v>1</v>
      </c>
      <c r="C486" s="15">
        <v>2</v>
      </c>
      <c r="D486" s="13">
        <v>3</v>
      </c>
      <c r="E486" s="15">
        <v>1</v>
      </c>
      <c r="F486" s="48"/>
    </row>
    <row r="487" spans="1:6" x14ac:dyDescent="0.4">
      <c r="A487" s="35"/>
      <c r="B487" s="14"/>
      <c r="C487" s="16">
        <v>20</v>
      </c>
      <c r="D487" s="14"/>
      <c r="E487" s="16">
        <v>20</v>
      </c>
      <c r="F487" s="49"/>
    </row>
    <row r="488" spans="1:6" x14ac:dyDescent="0.4">
      <c r="A488" s="34">
        <v>0</v>
      </c>
      <c r="B488" s="13">
        <v>4</v>
      </c>
      <c r="C488" s="15">
        <v>2</v>
      </c>
      <c r="D488" s="15">
        <v>2</v>
      </c>
      <c r="E488" s="15">
        <v>9</v>
      </c>
      <c r="F488" s="48"/>
    </row>
    <row r="489" spans="1:6" x14ac:dyDescent="0.4">
      <c r="A489" s="35"/>
      <c r="B489" s="14"/>
      <c r="C489" s="16">
        <v>10</v>
      </c>
      <c r="D489" s="16">
        <v>40</v>
      </c>
      <c r="E489" s="16">
        <v>0</v>
      </c>
      <c r="F489" s="48"/>
    </row>
    <row r="490" spans="1:6" x14ac:dyDescent="0.4">
      <c r="A490" s="34">
        <v>0</v>
      </c>
      <c r="B490" s="17">
        <v>5</v>
      </c>
      <c r="C490" s="17">
        <v>7</v>
      </c>
      <c r="D490" s="18">
        <v>10</v>
      </c>
      <c r="E490" s="17">
        <v>5</v>
      </c>
      <c r="F490" s="48"/>
    </row>
    <row r="491" spans="1:6" x14ac:dyDescent="0.4">
      <c r="A491" s="35"/>
      <c r="B491" s="40">
        <v>0</v>
      </c>
      <c r="C491" s="40">
        <v>30</v>
      </c>
      <c r="D491" s="39"/>
      <c r="E491" s="40">
        <v>20</v>
      </c>
      <c r="F491" s="48"/>
    </row>
    <row r="492" spans="1:6" x14ac:dyDescent="0.4">
      <c r="A492" s="34">
        <v>0</v>
      </c>
      <c r="B492" s="15">
        <v>4</v>
      </c>
      <c r="C492" s="13">
        <v>15</v>
      </c>
      <c r="D492" s="13">
        <v>13</v>
      </c>
      <c r="E492" s="15">
        <v>6</v>
      </c>
      <c r="F492" s="48"/>
    </row>
    <row r="493" spans="1:6" x14ac:dyDescent="0.4">
      <c r="A493" s="35"/>
      <c r="B493" s="16">
        <v>40</v>
      </c>
      <c r="C493" s="14"/>
      <c r="D493" s="14"/>
      <c r="E493" s="16">
        <v>0</v>
      </c>
      <c r="F493" s="49"/>
    </row>
    <row r="494" spans="1:6" x14ac:dyDescent="0.4">
      <c r="A494" s="52"/>
      <c r="B494" s="48"/>
      <c r="C494" s="48"/>
      <c r="D494" s="48"/>
      <c r="E494" s="48"/>
      <c r="F494" s="48"/>
    </row>
    <row r="495" spans="1:6" x14ac:dyDescent="0.4">
      <c r="A495" s="49" t="s">
        <v>175</v>
      </c>
      <c r="B495" s="48"/>
      <c r="C495" s="48"/>
      <c r="D495" s="49"/>
      <c r="E495" s="48"/>
      <c r="F495" s="49"/>
    </row>
    <row r="496" spans="1:6" x14ac:dyDescent="0.4">
      <c r="F496" s="70"/>
    </row>
    <row r="497" spans="1:11" x14ac:dyDescent="0.4">
      <c r="A497" s="22" t="s">
        <v>5</v>
      </c>
      <c r="B497" s="22">
        <v>40</v>
      </c>
      <c r="C497" s="22">
        <v>60</v>
      </c>
      <c r="D497" s="22">
        <v>50</v>
      </c>
      <c r="E497" s="22">
        <v>40</v>
      </c>
      <c r="G497" s="22" t="s">
        <v>5</v>
      </c>
      <c r="H497" s="22">
        <f>SUM(H498:H502)</f>
        <v>40</v>
      </c>
      <c r="I497" s="22">
        <f t="shared" ref="I497" si="2">SUM(I498:I502)</f>
        <v>60</v>
      </c>
      <c r="J497" s="22">
        <f t="shared" ref="J497" si="3">SUM(J498:J502)</f>
        <v>50</v>
      </c>
      <c r="K497" s="22">
        <f t="shared" ref="K497" si="4">SUM(K498:K502)</f>
        <v>40</v>
      </c>
    </row>
    <row r="498" spans="1:11" x14ac:dyDescent="0.4">
      <c r="A498" s="22">
        <v>40</v>
      </c>
      <c r="B498" s="43">
        <v>1</v>
      </c>
      <c r="C498" s="43">
        <v>2</v>
      </c>
      <c r="D498" s="43">
        <v>3</v>
      </c>
      <c r="E498" s="43">
        <v>1</v>
      </c>
      <c r="G498" s="22">
        <f>SUM(H498:K498)</f>
        <v>40</v>
      </c>
      <c r="H498" s="43">
        <v>0</v>
      </c>
      <c r="I498" s="43">
        <v>20</v>
      </c>
      <c r="J498" s="43">
        <v>0</v>
      </c>
      <c r="K498" s="43">
        <v>20</v>
      </c>
    </row>
    <row r="499" spans="1:11" x14ac:dyDescent="0.4">
      <c r="A499" s="22">
        <v>50</v>
      </c>
      <c r="B499" s="43">
        <v>4</v>
      </c>
      <c r="C499" s="43">
        <v>2</v>
      </c>
      <c r="D499" s="43">
        <v>2</v>
      </c>
      <c r="E499" s="43">
        <v>9</v>
      </c>
      <c r="G499" s="22">
        <f t="shared" ref="G499:G502" si="5">SUM(H499:K499)</f>
        <v>50</v>
      </c>
      <c r="H499" s="43">
        <v>0</v>
      </c>
      <c r="I499" s="43">
        <v>4</v>
      </c>
      <c r="J499" s="43">
        <v>46</v>
      </c>
      <c r="K499" s="43">
        <v>0</v>
      </c>
    </row>
    <row r="500" spans="1:11" x14ac:dyDescent="0.4">
      <c r="A500" s="22">
        <v>50</v>
      </c>
      <c r="B500" s="43">
        <v>5</v>
      </c>
      <c r="C500" s="43">
        <v>7</v>
      </c>
      <c r="D500" s="43">
        <v>10</v>
      </c>
      <c r="E500" s="43">
        <v>5</v>
      </c>
      <c r="G500" s="22">
        <f t="shared" si="5"/>
        <v>50</v>
      </c>
      <c r="H500" s="43">
        <v>0</v>
      </c>
      <c r="I500" s="43">
        <v>30</v>
      </c>
      <c r="J500" s="43">
        <v>0</v>
      </c>
      <c r="K500" s="43">
        <v>20</v>
      </c>
    </row>
    <row r="501" spans="1:11" x14ac:dyDescent="0.4">
      <c r="A501" s="22">
        <v>40</v>
      </c>
      <c r="B501" s="43">
        <v>4</v>
      </c>
      <c r="C501" s="43">
        <v>15</v>
      </c>
      <c r="D501" s="43">
        <v>13</v>
      </c>
      <c r="E501" s="43">
        <v>6</v>
      </c>
      <c r="G501" s="22">
        <f t="shared" si="5"/>
        <v>40</v>
      </c>
      <c r="H501" s="43">
        <v>40</v>
      </c>
      <c r="I501" s="43">
        <v>0</v>
      </c>
      <c r="J501" s="43">
        <v>0</v>
      </c>
      <c r="K501" s="43">
        <v>0</v>
      </c>
    </row>
    <row r="502" spans="1:11" x14ac:dyDescent="0.4">
      <c r="A502" s="44">
        <v>10</v>
      </c>
      <c r="B502" s="45">
        <v>0</v>
      </c>
      <c r="C502" s="45">
        <v>0</v>
      </c>
      <c r="D502" s="45">
        <v>0</v>
      </c>
      <c r="E502" s="45">
        <v>0</v>
      </c>
      <c r="G502" s="22">
        <f t="shared" si="5"/>
        <v>10</v>
      </c>
      <c r="H502" s="45">
        <v>0</v>
      </c>
      <c r="I502" s="45">
        <v>6</v>
      </c>
      <c r="J502" s="45">
        <v>4</v>
      </c>
      <c r="K502" s="45">
        <v>0</v>
      </c>
    </row>
    <row r="504" spans="1:11" x14ac:dyDescent="0.4">
      <c r="G504" s="46" t="s">
        <v>100</v>
      </c>
      <c r="H504" s="47">
        <f>SUMPRODUCT(B498:E502,H498:K502)</f>
        <v>630</v>
      </c>
    </row>
  </sheetData>
  <scenarios current="0">
    <scenario name="Task 1" count="20" user="Vladislav" comment="Created by Vladislav on 11/1/2024">
      <inputCells r="H252" val="0"/>
      <inputCells r="I252" val="40"/>
      <inputCells r="J252" val="0"/>
      <inputCells r="K252" val="0"/>
      <inputCells r="H253" val="0"/>
      <inputCells r="I253" val="6"/>
      <inputCells r="J253" val="44"/>
      <inputCells r="K253" val="0"/>
      <inputCells r="H254" val="0"/>
      <inputCells r="I254" val="10"/>
      <inputCells r="J254" val="0"/>
      <inputCells r="K254" val="40"/>
      <inputCells r="H255" val="40"/>
      <inputCells r="I255" val="0"/>
      <inputCells r="J255" val="0"/>
      <inputCells r="K255" val="0"/>
      <inputCells r="H256" val="0"/>
      <inputCells r="I256" val="4"/>
      <inputCells r="J256" val="6"/>
      <inputCells r="K256" val="0"/>
    </scenario>
  </scenarios>
  <mergeCells count="150">
    <mergeCell ref="E16:H16"/>
    <mergeCell ref="E17:H17"/>
    <mergeCell ref="E18:H18"/>
    <mergeCell ref="E19:H19"/>
    <mergeCell ref="A15:R15"/>
    <mergeCell ref="A10:XFD10"/>
    <mergeCell ref="A1:XFD1"/>
    <mergeCell ref="A16:D16"/>
    <mergeCell ref="A17:D17"/>
    <mergeCell ref="A18:D18"/>
    <mergeCell ref="H4:J4"/>
    <mergeCell ref="H3:J3"/>
    <mergeCell ref="H5:J5"/>
    <mergeCell ref="A47:A48"/>
    <mergeCell ref="A49:A50"/>
    <mergeCell ref="A20:XFD20"/>
    <mergeCell ref="A27:A28"/>
    <mergeCell ref="A29:A30"/>
    <mergeCell ref="A31:A32"/>
    <mergeCell ref="A33:A34"/>
    <mergeCell ref="G27:G28"/>
    <mergeCell ref="A19:D19"/>
    <mergeCell ref="AK27:AK28"/>
    <mergeCell ref="AK29:AK30"/>
    <mergeCell ref="AK31:AK32"/>
    <mergeCell ref="AK33:AK34"/>
    <mergeCell ref="AK35:AK36"/>
    <mergeCell ref="S27:S28"/>
    <mergeCell ref="S29:S30"/>
    <mergeCell ref="S31:S32"/>
    <mergeCell ref="S33:S34"/>
    <mergeCell ref="S35:S36"/>
    <mergeCell ref="Y27:Y28"/>
    <mergeCell ref="Y29:Y30"/>
    <mergeCell ref="Y31:Y32"/>
    <mergeCell ref="Y33:Y34"/>
    <mergeCell ref="Y35:Y36"/>
    <mergeCell ref="A86:A87"/>
    <mergeCell ref="A88:A89"/>
    <mergeCell ref="A90:A91"/>
    <mergeCell ref="A92:A93"/>
    <mergeCell ref="A94:A95"/>
    <mergeCell ref="A128:A129"/>
    <mergeCell ref="AE27:AE28"/>
    <mergeCell ref="AE29:AE30"/>
    <mergeCell ref="AE31:AE32"/>
    <mergeCell ref="AE33:AE34"/>
    <mergeCell ref="AE35:AE36"/>
    <mergeCell ref="G29:G30"/>
    <mergeCell ref="G31:G32"/>
    <mergeCell ref="G33:G34"/>
    <mergeCell ref="G35:G36"/>
    <mergeCell ref="M27:M28"/>
    <mergeCell ref="M29:M30"/>
    <mergeCell ref="M31:M32"/>
    <mergeCell ref="M33:M34"/>
    <mergeCell ref="M35:M36"/>
    <mergeCell ref="A35:A36"/>
    <mergeCell ref="A41:A42"/>
    <mergeCell ref="A43:A44"/>
    <mergeCell ref="A45:A46"/>
    <mergeCell ref="A156:A157"/>
    <mergeCell ref="A158:A159"/>
    <mergeCell ref="A160:A161"/>
    <mergeCell ref="A162:A163"/>
    <mergeCell ref="A164:A165"/>
    <mergeCell ref="A146:A147"/>
    <mergeCell ref="A148:A149"/>
    <mergeCell ref="A150:A151"/>
    <mergeCell ref="A130:A131"/>
    <mergeCell ref="A132:A133"/>
    <mergeCell ref="A134:A135"/>
    <mergeCell ref="A136:A137"/>
    <mergeCell ref="A142:A143"/>
    <mergeCell ref="A144:A145"/>
    <mergeCell ref="A186:A187"/>
    <mergeCell ref="A188:A189"/>
    <mergeCell ref="A190:A191"/>
    <mergeCell ref="A192:A193"/>
    <mergeCell ref="A198:A199"/>
    <mergeCell ref="A200:A201"/>
    <mergeCell ref="A170:A171"/>
    <mergeCell ref="A172:A173"/>
    <mergeCell ref="A174:A175"/>
    <mergeCell ref="A176:A177"/>
    <mergeCell ref="A178:A179"/>
    <mergeCell ref="A184:A185"/>
    <mergeCell ref="A260:XFD260"/>
    <mergeCell ref="A234:A235"/>
    <mergeCell ref="A218:A219"/>
    <mergeCell ref="A220:A221"/>
    <mergeCell ref="A226:A227"/>
    <mergeCell ref="A228:A229"/>
    <mergeCell ref="A230:A231"/>
    <mergeCell ref="A232:A233"/>
    <mergeCell ref="A202:A203"/>
    <mergeCell ref="A204:A205"/>
    <mergeCell ref="A206:A207"/>
    <mergeCell ref="A212:A213"/>
    <mergeCell ref="A214:A215"/>
    <mergeCell ref="A216:A217"/>
    <mergeCell ref="H275:H276"/>
    <mergeCell ref="H277:H278"/>
    <mergeCell ref="H279:H280"/>
    <mergeCell ref="H281:H282"/>
    <mergeCell ref="H283:H284"/>
    <mergeCell ref="A265:A266"/>
    <mergeCell ref="A267:A268"/>
    <mergeCell ref="A269:A270"/>
    <mergeCell ref="A271:A272"/>
    <mergeCell ref="A275:A276"/>
    <mergeCell ref="AX275:AX276"/>
    <mergeCell ref="AX277:AX278"/>
    <mergeCell ref="AX279:AX280"/>
    <mergeCell ref="AX281:AX282"/>
    <mergeCell ref="AX283:AX284"/>
    <mergeCell ref="AC275:AC276"/>
    <mergeCell ref="AC277:AC278"/>
    <mergeCell ref="AC279:AC280"/>
    <mergeCell ref="AC281:AC282"/>
    <mergeCell ref="AC283:AC284"/>
    <mergeCell ref="AJ275:AJ276"/>
    <mergeCell ref="AJ277:AJ278"/>
    <mergeCell ref="AJ279:AJ280"/>
    <mergeCell ref="AJ281:AJ282"/>
    <mergeCell ref="AJ283:AJ284"/>
    <mergeCell ref="A289:A290"/>
    <mergeCell ref="A291:A292"/>
    <mergeCell ref="A293:A294"/>
    <mergeCell ref="A295:A296"/>
    <mergeCell ref="A297:A298"/>
    <mergeCell ref="AQ275:AQ276"/>
    <mergeCell ref="AQ277:AQ278"/>
    <mergeCell ref="AQ279:AQ280"/>
    <mergeCell ref="AQ281:AQ282"/>
    <mergeCell ref="AQ283:AQ284"/>
    <mergeCell ref="O275:O276"/>
    <mergeCell ref="O277:O278"/>
    <mergeCell ref="O279:O280"/>
    <mergeCell ref="O281:O282"/>
    <mergeCell ref="O283:O284"/>
    <mergeCell ref="V275:V276"/>
    <mergeCell ref="V277:V278"/>
    <mergeCell ref="V279:V280"/>
    <mergeCell ref="V281:V282"/>
    <mergeCell ref="V283:V284"/>
    <mergeCell ref="A277:A278"/>
    <mergeCell ref="A279:A280"/>
    <mergeCell ref="A281:A282"/>
    <mergeCell ref="A283:A28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934F-B0A8-40A8-B6B4-830AD47FDEE9}">
  <dimension ref="A1:AV180"/>
  <sheetViews>
    <sheetView zoomScale="85" zoomScaleNormal="85" workbookViewId="0">
      <selection activeCell="U14" sqref="U14"/>
    </sheetView>
  </sheetViews>
  <sheetFormatPr defaultRowHeight="16.2" x14ac:dyDescent="0.4"/>
  <cols>
    <col min="1" max="16384" width="8.88671875" style="47"/>
  </cols>
  <sheetData>
    <row r="1" spans="1:11" s="118" customFormat="1" x14ac:dyDescent="0.4">
      <c r="A1" s="118" t="s">
        <v>0</v>
      </c>
    </row>
    <row r="2" spans="1:11" s="101" customFormat="1" x14ac:dyDescent="0.4"/>
    <row r="13" spans="1:11" s="118" customFormat="1" x14ac:dyDescent="0.4">
      <c r="A13" s="118" t="s">
        <v>176</v>
      </c>
    </row>
    <row r="15" spans="1:11" x14ac:dyDescent="0.4">
      <c r="D15" s="47" t="s">
        <v>177</v>
      </c>
    </row>
    <row r="16" spans="1:11" x14ac:dyDescent="0.4">
      <c r="D16" s="47" t="s">
        <v>255</v>
      </c>
      <c r="G16" s="47" t="s">
        <v>193</v>
      </c>
      <c r="K16" s="47" t="s">
        <v>258</v>
      </c>
    </row>
    <row r="17" spans="1:11" x14ac:dyDescent="0.4">
      <c r="D17" s="47" t="s">
        <v>256</v>
      </c>
      <c r="G17" s="47" t="s">
        <v>194</v>
      </c>
      <c r="K17" s="47" t="s">
        <v>259</v>
      </c>
    </row>
    <row r="18" spans="1:11" x14ac:dyDescent="0.4">
      <c r="D18" s="47" t="s">
        <v>257</v>
      </c>
      <c r="K18" s="47" t="s">
        <v>260</v>
      </c>
    </row>
    <row r="19" spans="1:11" x14ac:dyDescent="0.4">
      <c r="K19" s="47" t="s">
        <v>261</v>
      </c>
    </row>
    <row r="20" spans="1:11" x14ac:dyDescent="0.4">
      <c r="D20" s="47" t="s">
        <v>178</v>
      </c>
      <c r="E20" s="47" t="s">
        <v>179</v>
      </c>
      <c r="F20" s="47" t="s">
        <v>180</v>
      </c>
    </row>
    <row r="23" spans="1:11" ht="16.8" thickBot="1" x14ac:dyDescent="0.45">
      <c r="A23" s="125" t="s">
        <v>191</v>
      </c>
      <c r="B23" s="125"/>
      <c r="C23" s="125"/>
      <c r="D23" s="125"/>
      <c r="F23" s="125" t="s">
        <v>192</v>
      </c>
      <c r="G23" s="125"/>
      <c r="H23" s="125"/>
      <c r="I23" s="125"/>
      <c r="J23" s="125"/>
      <c r="K23" s="125"/>
    </row>
    <row r="24" spans="1:11" ht="16.8" thickBot="1" x14ac:dyDescent="0.45">
      <c r="A24" s="89"/>
      <c r="B24" s="90" t="s">
        <v>183</v>
      </c>
      <c r="C24" s="91" t="s">
        <v>184</v>
      </c>
      <c r="D24" s="92"/>
      <c r="F24" s="89"/>
      <c r="G24" s="90" t="s">
        <v>186</v>
      </c>
      <c r="H24" s="91" t="s">
        <v>187</v>
      </c>
      <c r="I24" s="91" t="s">
        <v>188</v>
      </c>
      <c r="J24" s="91" t="s">
        <v>189</v>
      </c>
      <c r="K24" s="92"/>
    </row>
    <row r="25" spans="1:11" x14ac:dyDescent="0.4">
      <c r="A25" s="87" t="s">
        <v>181</v>
      </c>
      <c r="B25" s="74">
        <v>14</v>
      </c>
      <c r="C25" s="76">
        <v>18</v>
      </c>
      <c r="D25" s="95">
        <v>340</v>
      </c>
      <c r="F25" s="87" t="s">
        <v>183</v>
      </c>
      <c r="G25" s="74">
        <v>8</v>
      </c>
      <c r="H25" s="75">
        <v>6</v>
      </c>
      <c r="I25" s="75">
        <v>4</v>
      </c>
      <c r="J25" s="76">
        <v>2</v>
      </c>
      <c r="K25" s="95">
        <v>350</v>
      </c>
    </row>
    <row r="26" spans="1:11" ht="16.8" thickBot="1" x14ac:dyDescent="0.45">
      <c r="A26" s="85" t="s">
        <v>182</v>
      </c>
      <c r="B26" s="77">
        <v>16</v>
      </c>
      <c r="C26" s="78">
        <v>12</v>
      </c>
      <c r="D26" s="96">
        <v>150</v>
      </c>
      <c r="F26" s="85" t="s">
        <v>184</v>
      </c>
      <c r="G26" s="79">
        <v>10</v>
      </c>
      <c r="H26" s="80">
        <v>8</v>
      </c>
      <c r="I26" s="80">
        <v>6</v>
      </c>
      <c r="J26" s="81">
        <v>3</v>
      </c>
      <c r="K26" s="96">
        <v>450</v>
      </c>
    </row>
    <row r="27" spans="1:11" ht="16.8" thickBot="1" x14ac:dyDescent="0.45">
      <c r="A27" s="85" t="s">
        <v>185</v>
      </c>
      <c r="B27" s="79">
        <v>10</v>
      </c>
      <c r="C27" s="81">
        <v>14</v>
      </c>
      <c r="D27" s="96">
        <v>100</v>
      </c>
      <c r="F27" s="86"/>
      <c r="G27" s="97">
        <v>200</v>
      </c>
      <c r="H27" s="98">
        <v>160</v>
      </c>
      <c r="I27" s="98">
        <v>130</v>
      </c>
      <c r="J27" s="98">
        <v>100</v>
      </c>
      <c r="K27" s="81"/>
    </row>
    <row r="28" spans="1:11" ht="16.8" thickBot="1" x14ac:dyDescent="0.45">
      <c r="A28" s="86"/>
      <c r="B28" s="97">
        <v>350</v>
      </c>
      <c r="C28" s="98">
        <v>450</v>
      </c>
      <c r="D28" s="81"/>
    </row>
    <row r="30" spans="1:11" ht="16.8" thickBot="1" x14ac:dyDescent="0.45">
      <c r="A30" s="47" t="s">
        <v>190</v>
      </c>
    </row>
    <row r="31" spans="1:11" ht="16.8" thickBot="1" x14ac:dyDescent="0.45"/>
    <row r="32" spans="1:11" ht="16.8" thickBot="1" x14ac:dyDescent="0.45">
      <c r="A32" s="89"/>
      <c r="B32" s="90" t="s">
        <v>183</v>
      </c>
      <c r="C32" s="92" t="s">
        <v>184</v>
      </c>
      <c r="D32" s="93" t="s">
        <v>186</v>
      </c>
      <c r="E32" s="91" t="s">
        <v>187</v>
      </c>
      <c r="F32" s="91" t="s">
        <v>188</v>
      </c>
      <c r="G32" s="92" t="s">
        <v>189</v>
      </c>
    </row>
    <row r="33" spans="1:9" x14ac:dyDescent="0.4">
      <c r="A33" s="87" t="s">
        <v>181</v>
      </c>
      <c r="B33" s="72">
        <v>14</v>
      </c>
      <c r="C33" s="88">
        <v>18</v>
      </c>
      <c r="D33" s="94">
        <v>100</v>
      </c>
      <c r="E33" s="12">
        <v>100</v>
      </c>
      <c r="F33" s="12">
        <v>100</v>
      </c>
      <c r="G33" s="88">
        <v>100</v>
      </c>
    </row>
    <row r="34" spans="1:9" x14ac:dyDescent="0.4">
      <c r="A34" s="85" t="s">
        <v>182</v>
      </c>
      <c r="B34" s="73">
        <v>16</v>
      </c>
      <c r="C34" s="78">
        <v>12</v>
      </c>
      <c r="D34" s="77">
        <v>100</v>
      </c>
      <c r="E34" s="71">
        <v>100</v>
      </c>
      <c r="F34" s="71">
        <v>100</v>
      </c>
      <c r="G34" s="78">
        <v>100</v>
      </c>
    </row>
    <row r="35" spans="1:9" ht="16.8" thickBot="1" x14ac:dyDescent="0.45">
      <c r="A35" s="86" t="s">
        <v>185</v>
      </c>
      <c r="B35" s="83">
        <v>10</v>
      </c>
      <c r="C35" s="81">
        <v>14</v>
      </c>
      <c r="D35" s="79">
        <v>100</v>
      </c>
      <c r="E35" s="80">
        <v>100</v>
      </c>
      <c r="F35" s="80">
        <v>100</v>
      </c>
      <c r="G35" s="81">
        <v>100</v>
      </c>
    </row>
    <row r="36" spans="1:9" x14ac:dyDescent="0.4">
      <c r="A36" s="84" t="s">
        <v>183</v>
      </c>
      <c r="B36" s="82">
        <v>0</v>
      </c>
      <c r="C36" s="76">
        <v>100</v>
      </c>
      <c r="D36" s="74">
        <v>8</v>
      </c>
      <c r="E36" s="75">
        <v>6</v>
      </c>
      <c r="F36" s="75">
        <v>4</v>
      </c>
      <c r="G36" s="76">
        <v>2</v>
      </c>
    </row>
    <row r="37" spans="1:9" ht="16.8" thickBot="1" x14ac:dyDescent="0.45">
      <c r="A37" s="86" t="s">
        <v>184</v>
      </c>
      <c r="B37" s="83">
        <v>100</v>
      </c>
      <c r="C37" s="81">
        <v>0</v>
      </c>
      <c r="D37" s="79">
        <v>10</v>
      </c>
      <c r="E37" s="80">
        <v>8</v>
      </c>
      <c r="F37" s="80">
        <v>6</v>
      </c>
      <c r="G37" s="81">
        <v>3</v>
      </c>
    </row>
    <row r="39" spans="1:9" ht="16.8" thickBot="1" x14ac:dyDescent="0.45">
      <c r="A39" s="47" t="s">
        <v>195</v>
      </c>
    </row>
    <row r="40" spans="1:9" ht="16.8" thickBot="1" x14ac:dyDescent="0.45"/>
    <row r="41" spans="1:9" ht="16.8" thickBot="1" x14ac:dyDescent="0.45">
      <c r="A41" s="89"/>
      <c r="B41" s="90" t="s">
        <v>183</v>
      </c>
      <c r="C41" s="92" t="s">
        <v>184</v>
      </c>
      <c r="D41" s="93" t="s">
        <v>186</v>
      </c>
      <c r="E41" s="91" t="s">
        <v>187</v>
      </c>
      <c r="F41" s="91" t="s">
        <v>188</v>
      </c>
      <c r="G41" s="92" t="s">
        <v>189</v>
      </c>
      <c r="I41" s="47">
        <f>SUM(I42:I46)</f>
        <v>1390</v>
      </c>
    </row>
    <row r="42" spans="1:9" x14ac:dyDescent="0.4">
      <c r="A42" s="87" t="s">
        <v>181</v>
      </c>
      <c r="B42" s="72">
        <v>250</v>
      </c>
      <c r="C42" s="88">
        <v>90</v>
      </c>
      <c r="D42" s="94">
        <v>0</v>
      </c>
      <c r="E42" s="12">
        <v>0</v>
      </c>
      <c r="F42" s="12">
        <v>0</v>
      </c>
      <c r="G42" s="88">
        <v>0</v>
      </c>
      <c r="H42" s="47">
        <f>SUM(B42:G42)</f>
        <v>340</v>
      </c>
      <c r="I42" s="47">
        <v>340</v>
      </c>
    </row>
    <row r="43" spans="1:9" x14ac:dyDescent="0.4">
      <c r="A43" s="85" t="s">
        <v>182</v>
      </c>
      <c r="B43" s="73">
        <v>0</v>
      </c>
      <c r="C43" s="78">
        <v>150</v>
      </c>
      <c r="D43" s="77">
        <v>0</v>
      </c>
      <c r="E43" s="71">
        <v>0</v>
      </c>
      <c r="F43" s="71">
        <v>0</v>
      </c>
      <c r="G43" s="78">
        <v>0</v>
      </c>
      <c r="H43" s="47">
        <f t="shared" ref="H43:H46" si="0">SUM(B43:G43)</f>
        <v>150</v>
      </c>
      <c r="I43" s="47">
        <v>150</v>
      </c>
    </row>
    <row r="44" spans="1:9" ht="16.8" thickBot="1" x14ac:dyDescent="0.45">
      <c r="A44" s="86" t="s">
        <v>185</v>
      </c>
      <c r="B44" s="83">
        <v>100</v>
      </c>
      <c r="C44" s="81">
        <v>0</v>
      </c>
      <c r="D44" s="79">
        <v>0</v>
      </c>
      <c r="E44" s="80">
        <v>0</v>
      </c>
      <c r="F44" s="80">
        <v>0</v>
      </c>
      <c r="G44" s="81">
        <v>0</v>
      </c>
      <c r="H44" s="47">
        <f t="shared" si="0"/>
        <v>100</v>
      </c>
      <c r="I44" s="47">
        <v>100</v>
      </c>
    </row>
    <row r="45" spans="1:9" x14ac:dyDescent="0.4">
      <c r="A45" s="84" t="s">
        <v>183</v>
      </c>
      <c r="B45" s="82">
        <v>0</v>
      </c>
      <c r="C45" s="76">
        <v>0</v>
      </c>
      <c r="D45" s="74">
        <v>60</v>
      </c>
      <c r="E45" s="75">
        <v>160</v>
      </c>
      <c r="F45" s="75">
        <v>130</v>
      </c>
      <c r="G45" s="76">
        <v>0</v>
      </c>
      <c r="H45" s="47">
        <f t="shared" si="0"/>
        <v>350</v>
      </c>
      <c r="I45" s="47">
        <v>350</v>
      </c>
    </row>
    <row r="46" spans="1:9" ht="16.8" thickBot="1" x14ac:dyDescent="0.45">
      <c r="A46" s="86" t="s">
        <v>184</v>
      </c>
      <c r="B46" s="83">
        <v>0</v>
      </c>
      <c r="C46" s="81">
        <v>210</v>
      </c>
      <c r="D46" s="79">
        <v>140</v>
      </c>
      <c r="E46" s="80">
        <v>0</v>
      </c>
      <c r="F46" s="80">
        <v>0</v>
      </c>
      <c r="G46" s="81">
        <v>100</v>
      </c>
      <c r="H46" s="47">
        <f t="shared" si="0"/>
        <v>450</v>
      </c>
      <c r="I46" s="47">
        <v>450</v>
      </c>
    </row>
    <row r="47" spans="1:9" x14ac:dyDescent="0.4">
      <c r="B47" s="47">
        <f>SUM(B42:B46)</f>
        <v>350</v>
      </c>
      <c r="C47" s="47">
        <f t="shared" ref="C47:G47" si="1">SUM(C42:C46)</f>
        <v>450</v>
      </c>
      <c r="D47" s="47">
        <f t="shared" si="1"/>
        <v>200</v>
      </c>
      <c r="E47" s="47">
        <f t="shared" si="1"/>
        <v>160</v>
      </c>
      <c r="F47" s="47">
        <f t="shared" si="1"/>
        <v>130</v>
      </c>
      <c r="G47" s="47">
        <f t="shared" si="1"/>
        <v>100</v>
      </c>
    </row>
    <row r="48" spans="1:9" x14ac:dyDescent="0.4">
      <c r="A48" s="47">
        <f>SUM(B48:G48)</f>
        <v>1390</v>
      </c>
      <c r="B48" s="47">
        <v>350</v>
      </c>
      <c r="C48" s="47">
        <v>450</v>
      </c>
      <c r="D48" s="47">
        <v>200</v>
      </c>
      <c r="E48" s="47">
        <v>160</v>
      </c>
      <c r="F48" s="47">
        <v>130</v>
      </c>
      <c r="G48" s="47">
        <v>100</v>
      </c>
      <c r="I48" s="47">
        <f>SUMPRODUCT(B33:G37,B42:G46)</f>
        <v>11580</v>
      </c>
    </row>
    <row r="50" spans="1:23" s="118" customFormat="1" x14ac:dyDescent="0.4">
      <c r="A50" s="118" t="s">
        <v>196</v>
      </c>
    </row>
    <row r="51" spans="1:23" x14ac:dyDescent="0.4">
      <c r="A51"/>
    </row>
    <row r="52" spans="1:23" x14ac:dyDescent="0.4">
      <c r="A52" s="22"/>
      <c r="B52" s="23">
        <v>350</v>
      </c>
      <c r="C52" s="28">
        <v>450</v>
      </c>
      <c r="D52" s="27"/>
      <c r="E52" s="22"/>
      <c r="F52" s="23">
        <v>250</v>
      </c>
      <c r="G52" s="28">
        <v>450</v>
      </c>
      <c r="I52" s="22"/>
      <c r="J52" s="23">
        <v>250</v>
      </c>
      <c r="K52" s="28">
        <v>300</v>
      </c>
      <c r="M52" s="22"/>
      <c r="N52" s="23">
        <v>0</v>
      </c>
      <c r="O52" s="28">
        <v>300</v>
      </c>
      <c r="Q52" s="22"/>
      <c r="R52" s="23">
        <v>0</v>
      </c>
      <c r="S52" s="28">
        <v>210</v>
      </c>
      <c r="U52" s="22"/>
      <c r="V52" s="23">
        <v>0</v>
      </c>
      <c r="W52" s="28">
        <v>0</v>
      </c>
    </row>
    <row r="53" spans="1:23" x14ac:dyDescent="0.4">
      <c r="A53" s="99">
        <v>340</v>
      </c>
      <c r="B53" s="19">
        <v>14</v>
      </c>
      <c r="C53" s="19">
        <v>18</v>
      </c>
      <c r="D53" s="102"/>
      <c r="E53" s="99">
        <v>340</v>
      </c>
      <c r="F53" s="19">
        <v>14</v>
      </c>
      <c r="G53" s="19">
        <v>18</v>
      </c>
      <c r="I53" s="99">
        <v>340</v>
      </c>
      <c r="J53" s="19">
        <v>14</v>
      </c>
      <c r="K53" s="19">
        <v>18</v>
      </c>
      <c r="M53" s="99">
        <v>90</v>
      </c>
      <c r="N53" s="15">
        <v>14</v>
      </c>
      <c r="O53" s="19">
        <v>18</v>
      </c>
      <c r="Q53" s="99">
        <v>0</v>
      </c>
      <c r="R53" s="15">
        <v>14</v>
      </c>
      <c r="S53" s="15">
        <v>18</v>
      </c>
      <c r="U53" s="99">
        <v>0</v>
      </c>
      <c r="V53" s="15">
        <v>14</v>
      </c>
      <c r="W53" s="15">
        <v>18</v>
      </c>
    </row>
    <row r="54" spans="1:23" x14ac:dyDescent="0.4">
      <c r="A54" s="100"/>
      <c r="B54" s="20"/>
      <c r="C54" s="20"/>
      <c r="D54" s="49"/>
      <c r="E54" s="100"/>
      <c r="F54" s="20"/>
      <c r="G54" s="20"/>
      <c r="I54" s="100"/>
      <c r="J54" s="20"/>
      <c r="K54" s="20"/>
      <c r="M54" s="100"/>
      <c r="N54" s="16">
        <v>250</v>
      </c>
      <c r="O54" s="20"/>
      <c r="Q54" s="100"/>
      <c r="R54" s="16">
        <v>250</v>
      </c>
      <c r="S54" s="16">
        <v>90</v>
      </c>
      <c r="U54" s="100"/>
      <c r="V54" s="16">
        <v>250</v>
      </c>
      <c r="W54" s="16">
        <v>90</v>
      </c>
    </row>
    <row r="55" spans="1:23" x14ac:dyDescent="0.4">
      <c r="A55" s="99">
        <v>150</v>
      </c>
      <c r="B55" s="19">
        <v>16</v>
      </c>
      <c r="C55" s="19">
        <v>12</v>
      </c>
      <c r="D55" s="102"/>
      <c r="E55" s="99">
        <v>150</v>
      </c>
      <c r="F55" s="19">
        <v>16</v>
      </c>
      <c r="G55" s="19">
        <v>12</v>
      </c>
      <c r="I55" s="99">
        <v>0</v>
      </c>
      <c r="J55" s="13">
        <v>16</v>
      </c>
      <c r="K55" s="15">
        <v>12</v>
      </c>
      <c r="M55" s="99">
        <v>0</v>
      </c>
      <c r="N55" s="13">
        <v>16</v>
      </c>
      <c r="O55" s="15">
        <v>12</v>
      </c>
      <c r="Q55" s="99">
        <v>0</v>
      </c>
      <c r="R55" s="13">
        <v>16</v>
      </c>
      <c r="S55" s="15">
        <v>12</v>
      </c>
      <c r="U55" s="99">
        <v>0</v>
      </c>
      <c r="V55" s="13">
        <v>16</v>
      </c>
      <c r="W55" s="15">
        <v>12</v>
      </c>
    </row>
    <row r="56" spans="1:23" x14ac:dyDescent="0.4">
      <c r="A56" s="100"/>
      <c r="B56" s="20"/>
      <c r="C56" s="20"/>
      <c r="D56" s="49"/>
      <c r="E56" s="100"/>
      <c r="F56" s="20"/>
      <c r="G56" s="20"/>
      <c r="I56" s="100"/>
      <c r="J56" s="14"/>
      <c r="K56" s="16">
        <v>150</v>
      </c>
      <c r="M56" s="100"/>
      <c r="N56" s="14"/>
      <c r="O56" s="16">
        <v>150</v>
      </c>
      <c r="Q56" s="100"/>
      <c r="R56" s="14"/>
      <c r="S56" s="16">
        <v>150</v>
      </c>
      <c r="U56" s="100"/>
      <c r="V56" s="14"/>
      <c r="W56" s="16">
        <v>150</v>
      </c>
    </row>
    <row r="57" spans="1:23" x14ac:dyDescent="0.4">
      <c r="A57" s="99">
        <v>100</v>
      </c>
      <c r="B57" s="21">
        <v>10</v>
      </c>
      <c r="C57" s="21">
        <v>14</v>
      </c>
      <c r="D57" s="102"/>
      <c r="E57" s="99">
        <v>0</v>
      </c>
      <c r="F57" s="17">
        <v>10</v>
      </c>
      <c r="G57" s="18">
        <v>14</v>
      </c>
      <c r="I57" s="99">
        <v>0</v>
      </c>
      <c r="J57" s="17">
        <v>10</v>
      </c>
      <c r="K57" s="18">
        <v>14</v>
      </c>
      <c r="M57" s="99">
        <v>0</v>
      </c>
      <c r="N57" s="17">
        <v>10</v>
      </c>
      <c r="O57" s="18">
        <v>14</v>
      </c>
      <c r="Q57" s="99">
        <v>0</v>
      </c>
      <c r="R57" s="17">
        <v>10</v>
      </c>
      <c r="S57" s="18">
        <v>14</v>
      </c>
      <c r="U57" s="99">
        <v>0</v>
      </c>
      <c r="V57" s="17">
        <v>10</v>
      </c>
      <c r="W57" s="18">
        <v>14</v>
      </c>
    </row>
    <row r="58" spans="1:23" x14ac:dyDescent="0.4">
      <c r="A58" s="100"/>
      <c r="B58" s="58"/>
      <c r="C58" s="58"/>
      <c r="D58" s="49"/>
      <c r="E58" s="100"/>
      <c r="F58" s="40">
        <v>100</v>
      </c>
      <c r="G58" s="39"/>
      <c r="I58" s="100"/>
      <c r="J58" s="40">
        <v>100</v>
      </c>
      <c r="K58" s="39"/>
      <c r="M58" s="100"/>
      <c r="N58" s="40">
        <v>100</v>
      </c>
      <c r="O58" s="39"/>
      <c r="Q58" s="100"/>
      <c r="R58" s="40">
        <v>100</v>
      </c>
      <c r="S58" s="39"/>
      <c r="U58" s="100"/>
      <c r="V58" s="40">
        <v>100</v>
      </c>
      <c r="W58" s="39"/>
    </row>
    <row r="59" spans="1:23" x14ac:dyDescent="0.4">
      <c r="A59" s="99">
        <v>210</v>
      </c>
      <c r="B59" s="19">
        <v>0</v>
      </c>
      <c r="C59" s="19">
        <v>0</v>
      </c>
      <c r="D59" s="102"/>
      <c r="E59" s="99">
        <v>210</v>
      </c>
      <c r="F59" s="19">
        <v>0</v>
      </c>
      <c r="G59" s="19">
        <v>0</v>
      </c>
      <c r="I59" s="99">
        <v>210</v>
      </c>
      <c r="J59" s="19">
        <v>0</v>
      </c>
      <c r="K59" s="19">
        <v>0</v>
      </c>
      <c r="M59" s="99">
        <v>210</v>
      </c>
      <c r="N59" s="13">
        <v>0</v>
      </c>
      <c r="O59" s="19">
        <v>0</v>
      </c>
      <c r="Q59" s="99">
        <v>210</v>
      </c>
      <c r="R59" s="13">
        <v>0</v>
      </c>
      <c r="S59" s="19">
        <v>0</v>
      </c>
      <c r="U59" s="99">
        <v>0</v>
      </c>
      <c r="V59" s="13">
        <v>0</v>
      </c>
      <c r="W59" s="15">
        <v>0</v>
      </c>
    </row>
    <row r="60" spans="1:23" x14ac:dyDescent="0.4">
      <c r="A60" s="100"/>
      <c r="B60" s="20"/>
      <c r="C60" s="20"/>
      <c r="D60" s="49"/>
      <c r="E60" s="100"/>
      <c r="F60" s="20"/>
      <c r="G60" s="20"/>
      <c r="I60" s="100"/>
      <c r="J60" s="20"/>
      <c r="K60" s="20"/>
      <c r="M60" s="100"/>
      <c r="N60" s="14"/>
      <c r="O60" s="20"/>
      <c r="Q60" s="100"/>
      <c r="R60" s="14"/>
      <c r="S60" s="20"/>
      <c r="U60" s="100"/>
      <c r="V60" s="14"/>
      <c r="W60" s="16">
        <v>210</v>
      </c>
    </row>
    <row r="62" spans="1:23" x14ac:dyDescent="0.4">
      <c r="A62" s="47" t="s">
        <v>42</v>
      </c>
    </row>
    <row r="64" spans="1:23" x14ac:dyDescent="0.4">
      <c r="A64" s="22" t="s">
        <v>5</v>
      </c>
      <c r="B64" s="23">
        <v>0</v>
      </c>
      <c r="C64" s="28">
        <v>0</v>
      </c>
    </row>
    <row r="65" spans="1:5" x14ac:dyDescent="0.4">
      <c r="A65" s="99">
        <v>0</v>
      </c>
      <c r="B65" s="15">
        <v>14</v>
      </c>
      <c r="C65" s="15">
        <v>18</v>
      </c>
    </row>
    <row r="66" spans="1:5" x14ac:dyDescent="0.4">
      <c r="A66" s="100"/>
      <c r="B66" s="16">
        <v>250</v>
      </c>
      <c r="C66" s="16">
        <v>90</v>
      </c>
    </row>
    <row r="67" spans="1:5" x14ac:dyDescent="0.4">
      <c r="A67" s="99">
        <v>0</v>
      </c>
      <c r="B67" s="13">
        <v>16</v>
      </c>
      <c r="C67" s="15">
        <v>12</v>
      </c>
    </row>
    <row r="68" spans="1:5" x14ac:dyDescent="0.4">
      <c r="A68" s="100"/>
      <c r="B68" s="14"/>
      <c r="C68" s="16">
        <v>150</v>
      </c>
    </row>
    <row r="69" spans="1:5" x14ac:dyDescent="0.4">
      <c r="A69" s="99">
        <v>0</v>
      </c>
      <c r="B69" s="17">
        <v>10</v>
      </c>
      <c r="C69" s="18">
        <v>14</v>
      </c>
    </row>
    <row r="70" spans="1:5" x14ac:dyDescent="0.4">
      <c r="A70" s="100"/>
      <c r="B70" s="40">
        <v>100</v>
      </c>
      <c r="C70" s="39"/>
    </row>
    <row r="71" spans="1:5" x14ac:dyDescent="0.4">
      <c r="A71" s="99">
        <v>0</v>
      </c>
      <c r="B71" s="13">
        <v>0</v>
      </c>
      <c r="C71" s="15">
        <v>0</v>
      </c>
    </row>
    <row r="72" spans="1:5" x14ac:dyDescent="0.4">
      <c r="A72" s="100"/>
      <c r="B72" s="14"/>
      <c r="C72" s="16">
        <v>210</v>
      </c>
    </row>
    <row r="74" spans="1:5" x14ac:dyDescent="0.4">
      <c r="A74" s="47" t="s">
        <v>197</v>
      </c>
    </row>
    <row r="75" spans="1:5" x14ac:dyDescent="0.4">
      <c r="A75" s="47" t="s">
        <v>198</v>
      </c>
    </row>
    <row r="77" spans="1:5" x14ac:dyDescent="0.4">
      <c r="A77" s="47" t="s">
        <v>10</v>
      </c>
    </row>
    <row r="79" spans="1:5" x14ac:dyDescent="0.4">
      <c r="A79" s="22"/>
      <c r="B79" s="23" t="s">
        <v>204</v>
      </c>
      <c r="C79" s="28" t="s">
        <v>205</v>
      </c>
      <c r="E79" s="47" t="s">
        <v>199</v>
      </c>
    </row>
    <row r="80" spans="1:5" x14ac:dyDescent="0.4">
      <c r="A80" s="99" t="s">
        <v>23</v>
      </c>
      <c r="B80" s="15">
        <v>14</v>
      </c>
      <c r="C80" s="15">
        <v>18</v>
      </c>
      <c r="E80" s="47" t="s">
        <v>200</v>
      </c>
    </row>
    <row r="81" spans="1:48" x14ac:dyDescent="0.4">
      <c r="A81" s="100"/>
      <c r="B81" s="16">
        <v>250</v>
      </c>
      <c r="C81" s="16">
        <v>90</v>
      </c>
      <c r="E81" s="47" t="s">
        <v>201</v>
      </c>
    </row>
    <row r="82" spans="1:48" x14ac:dyDescent="0.4">
      <c r="A82" s="99" t="s">
        <v>56</v>
      </c>
      <c r="B82" s="13">
        <v>16</v>
      </c>
      <c r="C82" s="15">
        <v>12</v>
      </c>
      <c r="E82" s="47" t="s">
        <v>202</v>
      </c>
    </row>
    <row r="83" spans="1:48" x14ac:dyDescent="0.4">
      <c r="A83" s="100"/>
      <c r="B83" s="14"/>
      <c r="C83" s="16">
        <v>150</v>
      </c>
      <c r="E83" s="47" t="s">
        <v>203</v>
      </c>
    </row>
    <row r="84" spans="1:48" x14ac:dyDescent="0.4">
      <c r="A84" s="99" t="s">
        <v>206</v>
      </c>
      <c r="B84" s="17">
        <v>10</v>
      </c>
      <c r="C84" s="18">
        <v>14</v>
      </c>
    </row>
    <row r="85" spans="1:48" x14ac:dyDescent="0.4">
      <c r="A85" s="100"/>
      <c r="B85" s="40">
        <v>100</v>
      </c>
      <c r="C85" s="39"/>
    </row>
    <row r="86" spans="1:48" x14ac:dyDescent="0.4">
      <c r="A86" s="99" t="s">
        <v>207</v>
      </c>
      <c r="B86" s="13">
        <v>0</v>
      </c>
      <c r="C86" s="15">
        <v>0</v>
      </c>
    </row>
    <row r="87" spans="1:48" x14ac:dyDescent="0.4">
      <c r="A87" s="100"/>
      <c r="B87" s="14"/>
      <c r="C87" s="16">
        <v>210</v>
      </c>
    </row>
    <row r="89" spans="1:48" x14ac:dyDescent="0.4">
      <c r="A89" s="47" t="s">
        <v>208</v>
      </c>
    </row>
    <row r="90" spans="1:48" x14ac:dyDescent="0.4">
      <c r="A90" s="47" t="s">
        <v>93</v>
      </c>
    </row>
    <row r="91" spans="1:48" x14ac:dyDescent="0.4">
      <c r="A91" s="47" t="s">
        <v>241</v>
      </c>
    </row>
    <row r="92" spans="1:48" x14ac:dyDescent="0.4">
      <c r="A92" s="47" t="s">
        <v>210</v>
      </c>
    </row>
    <row r="93" spans="1:48" x14ac:dyDescent="0.4">
      <c r="A93" s="47" t="s">
        <v>211</v>
      </c>
    </row>
    <row r="94" spans="1:48" x14ac:dyDescent="0.4">
      <c r="A94" s="47" t="s">
        <v>209</v>
      </c>
    </row>
    <row r="96" spans="1:48" x14ac:dyDescent="0.4">
      <c r="A96" s="22" t="s">
        <v>5</v>
      </c>
      <c r="B96" s="23">
        <v>200</v>
      </c>
      <c r="C96" s="23">
        <v>160</v>
      </c>
      <c r="D96" s="23">
        <v>130</v>
      </c>
      <c r="E96" s="28">
        <v>100</v>
      </c>
      <c r="F96" s="105">
        <v>210</v>
      </c>
      <c r="H96" s="22" t="s">
        <v>5</v>
      </c>
      <c r="I96" s="23">
        <v>200</v>
      </c>
      <c r="J96" s="23">
        <v>160</v>
      </c>
      <c r="K96" s="23">
        <v>130</v>
      </c>
      <c r="L96" s="28">
        <v>0</v>
      </c>
      <c r="M96" s="105">
        <v>210</v>
      </c>
      <c r="O96" s="22" t="s">
        <v>5</v>
      </c>
      <c r="P96" s="23">
        <v>200</v>
      </c>
      <c r="Q96" s="23">
        <v>160</v>
      </c>
      <c r="R96" s="23">
        <v>0</v>
      </c>
      <c r="S96" s="28">
        <v>0</v>
      </c>
      <c r="T96" s="105">
        <v>210</v>
      </c>
      <c r="V96" s="22" t="s">
        <v>5</v>
      </c>
      <c r="W96" s="23">
        <v>200</v>
      </c>
      <c r="X96" s="23">
        <v>40</v>
      </c>
      <c r="Y96" s="23">
        <v>0</v>
      </c>
      <c r="Z96" s="28">
        <v>0</v>
      </c>
      <c r="AA96" s="105">
        <v>210</v>
      </c>
      <c r="AC96" s="22" t="s">
        <v>5</v>
      </c>
      <c r="AD96" s="23">
        <v>200</v>
      </c>
      <c r="AE96" s="23">
        <v>0</v>
      </c>
      <c r="AF96" s="23">
        <v>0</v>
      </c>
      <c r="AG96" s="28">
        <v>0</v>
      </c>
      <c r="AH96" s="105">
        <v>210</v>
      </c>
      <c r="AJ96" s="22" t="s">
        <v>5</v>
      </c>
      <c r="AK96" s="23">
        <v>0</v>
      </c>
      <c r="AL96" s="23">
        <v>0</v>
      </c>
      <c r="AM96" s="23">
        <v>0</v>
      </c>
      <c r="AN96" s="28">
        <v>0</v>
      </c>
      <c r="AO96" s="105">
        <v>210</v>
      </c>
      <c r="AQ96" s="22" t="s">
        <v>5</v>
      </c>
      <c r="AR96" s="23">
        <v>0</v>
      </c>
      <c r="AS96" s="23">
        <v>0</v>
      </c>
      <c r="AT96" s="23">
        <v>0</v>
      </c>
      <c r="AU96" s="28">
        <v>0</v>
      </c>
      <c r="AV96" s="105">
        <v>0</v>
      </c>
    </row>
    <row r="97" spans="1:48" x14ac:dyDescent="0.4">
      <c r="A97" s="114">
        <v>350</v>
      </c>
      <c r="B97" s="8">
        <v>8</v>
      </c>
      <c r="C97" s="8">
        <v>6</v>
      </c>
      <c r="D97" s="8">
        <v>4</v>
      </c>
      <c r="E97" s="8">
        <v>2</v>
      </c>
      <c r="F97" s="106">
        <v>0</v>
      </c>
      <c r="H97" s="114">
        <v>250</v>
      </c>
      <c r="I97" s="8">
        <v>8</v>
      </c>
      <c r="J97" s="8">
        <v>6</v>
      </c>
      <c r="K97" s="8">
        <v>4</v>
      </c>
      <c r="L97" s="15">
        <v>2</v>
      </c>
      <c r="M97" s="106">
        <v>0</v>
      </c>
      <c r="O97" s="114">
        <v>120</v>
      </c>
      <c r="P97" s="8">
        <v>8</v>
      </c>
      <c r="Q97" s="8">
        <v>6</v>
      </c>
      <c r="R97" s="15">
        <v>4</v>
      </c>
      <c r="S97" s="15">
        <v>2</v>
      </c>
      <c r="T97" s="106">
        <v>0</v>
      </c>
      <c r="V97" s="114">
        <v>0</v>
      </c>
      <c r="W97" s="13">
        <v>8</v>
      </c>
      <c r="X97" s="15">
        <v>6</v>
      </c>
      <c r="Y97" s="15">
        <v>4</v>
      </c>
      <c r="Z97" s="15">
        <v>2</v>
      </c>
      <c r="AA97" s="108">
        <v>0</v>
      </c>
      <c r="AC97" s="114">
        <v>0</v>
      </c>
      <c r="AD97" s="13">
        <v>8</v>
      </c>
      <c r="AE97" s="15">
        <v>6</v>
      </c>
      <c r="AF97" s="15">
        <v>4</v>
      </c>
      <c r="AG97" s="15">
        <v>2</v>
      </c>
      <c r="AH97" s="108">
        <v>0</v>
      </c>
      <c r="AJ97" s="114">
        <v>0</v>
      </c>
      <c r="AK97" s="13">
        <v>8</v>
      </c>
      <c r="AL97" s="15">
        <v>6</v>
      </c>
      <c r="AM97" s="15">
        <v>4</v>
      </c>
      <c r="AN97" s="15">
        <v>2</v>
      </c>
      <c r="AO97" s="108">
        <v>0</v>
      </c>
      <c r="AQ97" s="114">
        <v>0</v>
      </c>
      <c r="AR97" s="13">
        <v>8</v>
      </c>
      <c r="AS97" s="15">
        <v>6</v>
      </c>
      <c r="AT97" s="15">
        <v>4</v>
      </c>
      <c r="AU97" s="15">
        <v>2</v>
      </c>
      <c r="AV97" s="108">
        <v>0</v>
      </c>
    </row>
    <row r="98" spans="1:48" x14ac:dyDescent="0.4">
      <c r="A98" s="115"/>
      <c r="B98" s="12"/>
      <c r="C98" s="12"/>
      <c r="D98" s="12"/>
      <c r="E98" s="12"/>
      <c r="F98" s="104"/>
      <c r="H98" s="115"/>
      <c r="I98" s="12"/>
      <c r="J98" s="12"/>
      <c r="K98" s="12"/>
      <c r="L98" s="16">
        <v>100</v>
      </c>
      <c r="M98" s="104"/>
      <c r="O98" s="115"/>
      <c r="P98" s="12"/>
      <c r="Q98" s="12"/>
      <c r="R98" s="16">
        <v>130</v>
      </c>
      <c r="S98" s="16">
        <v>100</v>
      </c>
      <c r="T98" s="104"/>
      <c r="V98" s="115"/>
      <c r="W98" s="14"/>
      <c r="X98" s="16">
        <v>120</v>
      </c>
      <c r="Y98" s="16">
        <v>130</v>
      </c>
      <c r="Z98" s="16">
        <v>100</v>
      </c>
      <c r="AA98" s="109"/>
      <c r="AC98" s="115"/>
      <c r="AD98" s="14"/>
      <c r="AE98" s="16">
        <v>120</v>
      </c>
      <c r="AF98" s="16">
        <v>130</v>
      </c>
      <c r="AG98" s="16">
        <v>100</v>
      </c>
      <c r="AH98" s="109"/>
      <c r="AJ98" s="115"/>
      <c r="AK98" s="14"/>
      <c r="AL98" s="16">
        <v>120</v>
      </c>
      <c r="AM98" s="16">
        <v>130</v>
      </c>
      <c r="AN98" s="16">
        <v>100</v>
      </c>
      <c r="AO98" s="109"/>
      <c r="AQ98" s="115"/>
      <c r="AR98" s="14"/>
      <c r="AS98" s="16">
        <v>120</v>
      </c>
      <c r="AT98" s="16">
        <v>130</v>
      </c>
      <c r="AU98" s="16">
        <v>100</v>
      </c>
      <c r="AV98" s="109"/>
    </row>
    <row r="99" spans="1:48" x14ac:dyDescent="0.4">
      <c r="A99" s="114">
        <v>450</v>
      </c>
      <c r="B99" s="8">
        <v>10</v>
      </c>
      <c r="C99" s="8">
        <v>8</v>
      </c>
      <c r="D99" s="8">
        <v>6</v>
      </c>
      <c r="E99" s="8">
        <v>3</v>
      </c>
      <c r="F99" s="107">
        <v>0</v>
      </c>
      <c r="H99" s="114">
        <v>450</v>
      </c>
      <c r="I99" s="8">
        <v>10</v>
      </c>
      <c r="J99" s="8">
        <v>8</v>
      </c>
      <c r="K99" s="8">
        <v>6</v>
      </c>
      <c r="L99" s="13">
        <v>3</v>
      </c>
      <c r="M99" s="107">
        <v>0</v>
      </c>
      <c r="O99" s="114">
        <v>450</v>
      </c>
      <c r="P99" s="8">
        <v>10</v>
      </c>
      <c r="Q99" s="8">
        <v>8</v>
      </c>
      <c r="R99" s="13">
        <v>6</v>
      </c>
      <c r="S99" s="13">
        <v>3</v>
      </c>
      <c r="T99" s="107">
        <v>0</v>
      </c>
      <c r="V99" s="114">
        <v>450</v>
      </c>
      <c r="W99" s="8">
        <v>10</v>
      </c>
      <c r="X99" s="8">
        <v>8</v>
      </c>
      <c r="Y99" s="13">
        <v>6</v>
      </c>
      <c r="Z99" s="13">
        <v>3</v>
      </c>
      <c r="AA99" s="107">
        <v>0</v>
      </c>
      <c r="AC99" s="114">
        <v>410</v>
      </c>
      <c r="AD99" s="8">
        <v>10</v>
      </c>
      <c r="AE99" s="15">
        <v>8</v>
      </c>
      <c r="AF99" s="13">
        <v>6</v>
      </c>
      <c r="AG99" s="13">
        <v>3</v>
      </c>
      <c r="AH99" s="107">
        <v>0</v>
      </c>
      <c r="AJ99" s="114">
        <v>210</v>
      </c>
      <c r="AK99" s="15">
        <v>10</v>
      </c>
      <c r="AL99" s="15">
        <v>8</v>
      </c>
      <c r="AM99" s="13">
        <v>6</v>
      </c>
      <c r="AN99" s="13">
        <v>3</v>
      </c>
      <c r="AO99" s="107">
        <v>0</v>
      </c>
      <c r="AQ99" s="114">
        <v>0</v>
      </c>
      <c r="AR99" s="15">
        <v>10</v>
      </c>
      <c r="AS99" s="15">
        <v>8</v>
      </c>
      <c r="AT99" s="13">
        <v>6</v>
      </c>
      <c r="AU99" s="13">
        <v>3</v>
      </c>
      <c r="AV99" s="110">
        <v>0</v>
      </c>
    </row>
    <row r="100" spans="1:48" x14ac:dyDescent="0.4">
      <c r="A100" s="115"/>
      <c r="B100" s="12"/>
      <c r="C100" s="12"/>
      <c r="D100" s="12"/>
      <c r="E100" s="12"/>
      <c r="F100" s="104"/>
      <c r="H100" s="115"/>
      <c r="I100" s="12"/>
      <c r="J100" s="12"/>
      <c r="K100" s="12"/>
      <c r="L100" s="14"/>
      <c r="M100" s="104"/>
      <c r="O100" s="115"/>
      <c r="P100" s="12"/>
      <c r="Q100" s="12"/>
      <c r="R100" s="14"/>
      <c r="S100" s="14"/>
      <c r="T100" s="104"/>
      <c r="V100" s="115"/>
      <c r="W100" s="12"/>
      <c r="X100" s="12"/>
      <c r="Y100" s="14"/>
      <c r="Z100" s="14"/>
      <c r="AA100" s="104"/>
      <c r="AC100" s="115"/>
      <c r="AD100" s="12"/>
      <c r="AE100" s="16">
        <v>40</v>
      </c>
      <c r="AF100" s="14"/>
      <c r="AG100" s="14"/>
      <c r="AH100" s="104"/>
      <c r="AJ100" s="115"/>
      <c r="AK100" s="16">
        <v>200</v>
      </c>
      <c r="AL100" s="16">
        <v>40</v>
      </c>
      <c r="AM100" s="14"/>
      <c r="AN100" s="14"/>
      <c r="AO100" s="104"/>
      <c r="AQ100" s="115"/>
      <c r="AR100" s="16">
        <v>200</v>
      </c>
      <c r="AS100" s="16">
        <v>40</v>
      </c>
      <c r="AT100" s="14"/>
      <c r="AU100" s="14"/>
      <c r="AV100" s="111">
        <v>210</v>
      </c>
    </row>
    <row r="101" spans="1:48" x14ac:dyDescent="0.4">
      <c r="A101" s="27"/>
      <c r="B101" s="102"/>
      <c r="C101" s="102"/>
      <c r="D101" s="102"/>
      <c r="E101" s="102"/>
    </row>
    <row r="102" spans="1:48" x14ac:dyDescent="0.4">
      <c r="A102" s="112" t="s">
        <v>42</v>
      </c>
      <c r="B102" s="102"/>
      <c r="C102" s="102"/>
      <c r="D102" s="102"/>
      <c r="E102" s="102"/>
    </row>
    <row r="103" spans="1:48" x14ac:dyDescent="0.4">
      <c r="A103" s="27"/>
      <c r="B103" s="49"/>
      <c r="C103" s="49"/>
      <c r="D103" s="49"/>
      <c r="E103" s="49"/>
    </row>
    <row r="104" spans="1:48" x14ac:dyDescent="0.4">
      <c r="A104" s="22" t="s">
        <v>5</v>
      </c>
      <c r="B104" s="23">
        <v>0</v>
      </c>
      <c r="C104" s="23">
        <v>0</v>
      </c>
      <c r="D104" s="23">
        <v>0</v>
      </c>
      <c r="E104" s="28">
        <v>0</v>
      </c>
      <c r="F104" s="105">
        <v>0</v>
      </c>
    </row>
    <row r="105" spans="1:48" x14ac:dyDescent="0.4">
      <c r="A105" s="114">
        <v>0</v>
      </c>
      <c r="B105" s="13">
        <v>8</v>
      </c>
      <c r="C105" s="15">
        <v>6</v>
      </c>
      <c r="D105" s="15">
        <v>4</v>
      </c>
      <c r="E105" s="15">
        <v>2</v>
      </c>
      <c r="F105" s="108">
        <v>0</v>
      </c>
    </row>
    <row r="106" spans="1:48" x14ac:dyDescent="0.4">
      <c r="A106" s="115"/>
      <c r="B106" s="14"/>
      <c r="C106" s="16">
        <v>120</v>
      </c>
      <c r="D106" s="16">
        <v>130</v>
      </c>
      <c r="E106" s="16">
        <v>100</v>
      </c>
      <c r="F106" s="109"/>
    </row>
    <row r="107" spans="1:48" x14ac:dyDescent="0.4">
      <c r="A107" s="114">
        <v>0</v>
      </c>
      <c r="B107" s="15">
        <v>10</v>
      </c>
      <c r="C107" s="15">
        <v>8</v>
      </c>
      <c r="D107" s="13">
        <v>6</v>
      </c>
      <c r="E107" s="13">
        <v>3</v>
      </c>
      <c r="F107" s="110">
        <v>0</v>
      </c>
    </row>
    <row r="108" spans="1:48" x14ac:dyDescent="0.4">
      <c r="A108" s="115"/>
      <c r="B108" s="16">
        <v>200</v>
      </c>
      <c r="C108" s="16">
        <v>40</v>
      </c>
      <c r="D108" s="14"/>
      <c r="E108" s="14"/>
      <c r="F108" s="111">
        <v>210</v>
      </c>
    </row>
    <row r="110" spans="1:48" x14ac:dyDescent="0.4">
      <c r="A110" s="47" t="s">
        <v>212</v>
      </c>
    </row>
    <row r="111" spans="1:48" x14ac:dyDescent="0.4">
      <c r="A111" s="47" t="s">
        <v>213</v>
      </c>
    </row>
    <row r="113" spans="1:8" x14ac:dyDescent="0.4">
      <c r="A113" s="47" t="s">
        <v>10</v>
      </c>
    </row>
    <row r="115" spans="1:8" x14ac:dyDescent="0.4">
      <c r="A115" s="22"/>
      <c r="B115" s="23" t="s">
        <v>220</v>
      </c>
      <c r="C115" s="23" t="s">
        <v>128</v>
      </c>
      <c r="D115" s="23" t="s">
        <v>221</v>
      </c>
      <c r="E115" s="28" t="s">
        <v>224</v>
      </c>
      <c r="F115" s="105" t="s">
        <v>222</v>
      </c>
      <c r="H115" s="47" t="s">
        <v>214</v>
      </c>
    </row>
    <row r="116" spans="1:8" x14ac:dyDescent="0.4">
      <c r="A116" s="114" t="s">
        <v>23</v>
      </c>
      <c r="B116" s="13">
        <v>8</v>
      </c>
      <c r="C116" s="15">
        <v>6</v>
      </c>
      <c r="D116" s="15">
        <v>4</v>
      </c>
      <c r="E116" s="15">
        <v>2</v>
      </c>
      <c r="F116" s="108">
        <v>0</v>
      </c>
      <c r="H116" s="47" t="s">
        <v>215</v>
      </c>
    </row>
    <row r="117" spans="1:8" x14ac:dyDescent="0.4">
      <c r="A117" s="115"/>
      <c r="B117" s="14"/>
      <c r="C117" s="16">
        <v>120</v>
      </c>
      <c r="D117" s="16">
        <v>130</v>
      </c>
      <c r="E117" s="16">
        <v>100</v>
      </c>
      <c r="F117" s="109"/>
      <c r="H117" s="47" t="s">
        <v>216</v>
      </c>
    </row>
    <row r="118" spans="1:8" x14ac:dyDescent="0.4">
      <c r="A118" s="114" t="s">
        <v>223</v>
      </c>
      <c r="B118" s="15">
        <v>10</v>
      </c>
      <c r="C118" s="15">
        <v>8</v>
      </c>
      <c r="D118" s="13">
        <v>6</v>
      </c>
      <c r="E118" s="13">
        <v>3</v>
      </c>
      <c r="F118" s="110">
        <v>0</v>
      </c>
      <c r="H118" s="47" t="s">
        <v>217</v>
      </c>
    </row>
    <row r="119" spans="1:8" x14ac:dyDescent="0.4">
      <c r="A119" s="115"/>
      <c r="B119" s="16">
        <v>200</v>
      </c>
      <c r="C119" s="16">
        <v>40</v>
      </c>
      <c r="D119" s="14"/>
      <c r="E119" s="14"/>
      <c r="F119" s="111">
        <v>210</v>
      </c>
      <c r="H119" s="47" t="s">
        <v>218</v>
      </c>
    </row>
    <row r="120" spans="1:8" x14ac:dyDescent="0.4">
      <c r="H120" s="47" t="s">
        <v>219</v>
      </c>
    </row>
    <row r="121" spans="1:8" x14ac:dyDescent="0.4">
      <c r="A121" s="47" t="s">
        <v>225</v>
      </c>
    </row>
    <row r="123" spans="1:8" x14ac:dyDescent="0.4">
      <c r="A123" s="22" t="s">
        <v>5</v>
      </c>
      <c r="B123" s="23" t="s">
        <v>220</v>
      </c>
      <c r="C123" s="23" t="s">
        <v>128</v>
      </c>
      <c r="D123" s="23" t="s">
        <v>221</v>
      </c>
      <c r="E123" s="28" t="s">
        <v>224</v>
      </c>
      <c r="F123" s="105" t="s">
        <v>222</v>
      </c>
    </row>
    <row r="124" spans="1:8" x14ac:dyDescent="0.4">
      <c r="A124" s="114" t="s">
        <v>23</v>
      </c>
      <c r="B124" s="13">
        <v>8</v>
      </c>
      <c r="C124" s="15">
        <v>6</v>
      </c>
      <c r="D124" s="15">
        <v>4</v>
      </c>
      <c r="E124" s="15">
        <v>2</v>
      </c>
      <c r="F124" s="108">
        <v>0</v>
      </c>
    </row>
    <row r="125" spans="1:8" x14ac:dyDescent="0.4">
      <c r="A125" s="115"/>
      <c r="B125" s="14"/>
      <c r="C125" s="16" t="s">
        <v>227</v>
      </c>
      <c r="D125" s="16">
        <v>130</v>
      </c>
      <c r="E125" s="16" t="s">
        <v>226</v>
      </c>
      <c r="F125" s="109"/>
    </row>
    <row r="126" spans="1:8" x14ac:dyDescent="0.4">
      <c r="A126" s="114" t="s">
        <v>223</v>
      </c>
      <c r="B126" s="15">
        <v>10</v>
      </c>
      <c r="C126" s="15">
        <v>8</v>
      </c>
      <c r="D126" s="13">
        <v>6</v>
      </c>
      <c r="E126" s="13">
        <v>3</v>
      </c>
      <c r="F126" s="110">
        <v>0</v>
      </c>
    </row>
    <row r="127" spans="1:8" x14ac:dyDescent="0.4">
      <c r="A127" s="115"/>
      <c r="B127" s="16">
        <v>200</v>
      </c>
      <c r="C127" s="16" t="s">
        <v>39</v>
      </c>
      <c r="D127" s="14"/>
      <c r="E127" s="14" t="s">
        <v>82</v>
      </c>
      <c r="F127" s="111">
        <v>210</v>
      </c>
      <c r="H127" s="47" t="s">
        <v>228</v>
      </c>
    </row>
    <row r="129" spans="1:8" x14ac:dyDescent="0.4">
      <c r="A129" s="47" t="s">
        <v>42</v>
      </c>
    </row>
    <row r="131" spans="1:8" x14ac:dyDescent="0.4">
      <c r="A131" s="22" t="s">
        <v>5</v>
      </c>
      <c r="B131" s="23">
        <v>0</v>
      </c>
      <c r="C131" s="23">
        <v>0</v>
      </c>
      <c r="D131" s="23">
        <v>0</v>
      </c>
      <c r="E131" s="28">
        <v>0</v>
      </c>
      <c r="F131" s="105">
        <v>0</v>
      </c>
    </row>
    <row r="132" spans="1:8" x14ac:dyDescent="0.4">
      <c r="A132" s="114">
        <v>0</v>
      </c>
      <c r="B132" s="13">
        <v>8</v>
      </c>
      <c r="C132" s="15">
        <v>6</v>
      </c>
      <c r="D132" s="15">
        <v>4</v>
      </c>
      <c r="E132" s="15">
        <v>2</v>
      </c>
      <c r="F132" s="108">
        <v>0</v>
      </c>
    </row>
    <row r="133" spans="1:8" x14ac:dyDescent="0.4">
      <c r="A133" s="115"/>
      <c r="B133" s="14"/>
      <c r="C133" s="16">
        <v>160</v>
      </c>
      <c r="D133" s="16">
        <v>130</v>
      </c>
      <c r="E133" s="16">
        <v>60</v>
      </c>
      <c r="F133" s="109"/>
    </row>
    <row r="134" spans="1:8" x14ac:dyDescent="0.4">
      <c r="A134" s="114">
        <v>0</v>
      </c>
      <c r="B134" s="15">
        <v>10</v>
      </c>
      <c r="C134" s="13">
        <v>8</v>
      </c>
      <c r="D134" s="13">
        <v>6</v>
      </c>
      <c r="E134" s="15">
        <v>3</v>
      </c>
      <c r="F134" s="110">
        <v>0</v>
      </c>
    </row>
    <row r="135" spans="1:8" x14ac:dyDescent="0.4">
      <c r="A135" s="115"/>
      <c r="B135" s="16">
        <v>200</v>
      </c>
      <c r="C135" s="14"/>
      <c r="D135" s="14"/>
      <c r="E135" s="16">
        <v>40</v>
      </c>
      <c r="F135" s="111">
        <v>210</v>
      </c>
    </row>
    <row r="137" spans="1:8" x14ac:dyDescent="0.4">
      <c r="A137" s="47" t="s">
        <v>10</v>
      </c>
    </row>
    <row r="139" spans="1:8" x14ac:dyDescent="0.4">
      <c r="A139" s="22"/>
      <c r="B139" s="23" t="s">
        <v>232</v>
      </c>
      <c r="C139" s="23" t="s">
        <v>128</v>
      </c>
      <c r="D139" s="23" t="s">
        <v>221</v>
      </c>
      <c r="E139" s="28" t="s">
        <v>224</v>
      </c>
      <c r="F139" s="105" t="s">
        <v>142</v>
      </c>
      <c r="H139" s="47" t="s">
        <v>214</v>
      </c>
    </row>
    <row r="140" spans="1:8" x14ac:dyDescent="0.4">
      <c r="A140" s="114" t="s">
        <v>23</v>
      </c>
      <c r="B140" s="13">
        <v>8</v>
      </c>
      <c r="C140" s="15">
        <v>6</v>
      </c>
      <c r="D140" s="15">
        <v>4</v>
      </c>
      <c r="E140" s="15">
        <v>2</v>
      </c>
      <c r="F140" s="108">
        <v>0</v>
      </c>
      <c r="H140" s="47" t="s">
        <v>218</v>
      </c>
    </row>
    <row r="141" spans="1:8" x14ac:dyDescent="0.4">
      <c r="A141" s="115"/>
      <c r="B141" s="14"/>
      <c r="C141" s="16">
        <v>160</v>
      </c>
      <c r="D141" s="16">
        <v>130</v>
      </c>
      <c r="E141" s="16">
        <v>60</v>
      </c>
      <c r="F141" s="109"/>
      <c r="H141" s="47" t="s">
        <v>219</v>
      </c>
    </row>
    <row r="142" spans="1:8" x14ac:dyDescent="0.4">
      <c r="A142" s="114" t="s">
        <v>159</v>
      </c>
      <c r="B142" s="15">
        <v>10</v>
      </c>
      <c r="C142" s="13">
        <v>8</v>
      </c>
      <c r="D142" s="13">
        <v>6</v>
      </c>
      <c r="E142" s="15">
        <v>3</v>
      </c>
      <c r="F142" s="110">
        <v>0</v>
      </c>
      <c r="H142" s="47" t="s">
        <v>229</v>
      </c>
    </row>
    <row r="143" spans="1:8" x14ac:dyDescent="0.4">
      <c r="A143" s="115"/>
      <c r="B143" s="16">
        <v>200</v>
      </c>
      <c r="C143" s="14"/>
      <c r="D143" s="14"/>
      <c r="E143" s="16">
        <v>40</v>
      </c>
      <c r="F143" s="111">
        <v>210</v>
      </c>
      <c r="H143" s="47" t="s">
        <v>230</v>
      </c>
    </row>
    <row r="144" spans="1:8" x14ac:dyDescent="0.4">
      <c r="H144" s="47" t="s">
        <v>231</v>
      </c>
    </row>
    <row r="145" spans="1:8" x14ac:dyDescent="0.4">
      <c r="A145" s="47" t="s">
        <v>233</v>
      </c>
    </row>
    <row r="147" spans="1:8" x14ac:dyDescent="0.4">
      <c r="A147" s="22"/>
      <c r="B147" s="23" t="s">
        <v>232</v>
      </c>
      <c r="C147" s="23" t="s">
        <v>128</v>
      </c>
      <c r="D147" s="23" t="s">
        <v>221</v>
      </c>
      <c r="E147" s="28" t="s">
        <v>224</v>
      </c>
      <c r="F147" s="105" t="s">
        <v>142</v>
      </c>
    </row>
    <row r="148" spans="1:8" x14ac:dyDescent="0.4">
      <c r="A148" s="114" t="s">
        <v>23</v>
      </c>
      <c r="B148" s="13">
        <v>8</v>
      </c>
      <c r="C148" s="15">
        <v>6</v>
      </c>
      <c r="D148" s="15">
        <v>4</v>
      </c>
      <c r="E148" s="15">
        <v>2</v>
      </c>
      <c r="F148" s="108">
        <v>0</v>
      </c>
    </row>
    <row r="149" spans="1:8" x14ac:dyDescent="0.4">
      <c r="A149" s="115"/>
      <c r="B149" s="14" t="s">
        <v>82</v>
      </c>
      <c r="C149" s="16">
        <v>160</v>
      </c>
      <c r="D149" s="16">
        <v>130</v>
      </c>
      <c r="E149" s="16" t="s">
        <v>234</v>
      </c>
      <c r="F149" s="109"/>
    </row>
    <row r="150" spans="1:8" x14ac:dyDescent="0.4">
      <c r="A150" s="114" t="s">
        <v>159</v>
      </c>
      <c r="B150" s="15">
        <v>10</v>
      </c>
      <c r="C150" s="13">
        <v>8</v>
      </c>
      <c r="D150" s="13">
        <v>6</v>
      </c>
      <c r="E150" s="15">
        <v>3</v>
      </c>
      <c r="F150" s="110">
        <v>0</v>
      </c>
    </row>
    <row r="151" spans="1:8" x14ac:dyDescent="0.4">
      <c r="A151" s="115"/>
      <c r="B151" s="16" t="s">
        <v>235</v>
      </c>
      <c r="C151" s="14"/>
      <c r="D151" s="14"/>
      <c r="E151" s="16" t="s">
        <v>48</v>
      </c>
      <c r="F151" s="111">
        <v>210</v>
      </c>
      <c r="H151" s="47" t="s">
        <v>236</v>
      </c>
    </row>
    <row r="153" spans="1:8" x14ac:dyDescent="0.4">
      <c r="A153" s="47" t="s">
        <v>42</v>
      </c>
    </row>
    <row r="155" spans="1:8" x14ac:dyDescent="0.4">
      <c r="A155" s="22" t="s">
        <v>5</v>
      </c>
      <c r="B155" s="23">
        <v>0</v>
      </c>
      <c r="C155" s="23">
        <v>0</v>
      </c>
      <c r="D155" s="23">
        <v>0</v>
      </c>
      <c r="E155" s="28">
        <v>0</v>
      </c>
      <c r="F155" s="105">
        <v>0</v>
      </c>
    </row>
    <row r="156" spans="1:8" x14ac:dyDescent="0.4">
      <c r="A156" s="114">
        <v>0</v>
      </c>
      <c r="B156" s="15">
        <v>8</v>
      </c>
      <c r="C156" s="15">
        <v>6</v>
      </c>
      <c r="D156" s="15">
        <v>4</v>
      </c>
      <c r="E156" s="13">
        <v>2</v>
      </c>
      <c r="F156" s="108">
        <v>0</v>
      </c>
    </row>
    <row r="157" spans="1:8" x14ac:dyDescent="0.4">
      <c r="A157" s="115"/>
      <c r="B157" s="16">
        <v>60</v>
      </c>
      <c r="C157" s="16">
        <v>160</v>
      </c>
      <c r="D157" s="16">
        <v>130</v>
      </c>
      <c r="E157" s="14"/>
      <c r="F157" s="109"/>
    </row>
    <row r="158" spans="1:8" x14ac:dyDescent="0.4">
      <c r="A158" s="114">
        <v>0</v>
      </c>
      <c r="B158" s="15">
        <v>10</v>
      </c>
      <c r="C158" s="13">
        <v>8</v>
      </c>
      <c r="D158" s="13">
        <v>6</v>
      </c>
      <c r="E158" s="15">
        <v>3</v>
      </c>
      <c r="F158" s="110">
        <v>0</v>
      </c>
    </row>
    <row r="159" spans="1:8" x14ac:dyDescent="0.4">
      <c r="A159" s="115"/>
      <c r="B159" s="16">
        <v>140</v>
      </c>
      <c r="C159" s="14"/>
      <c r="D159" s="14"/>
      <c r="E159" s="16">
        <v>100</v>
      </c>
      <c r="F159" s="111">
        <v>210</v>
      </c>
    </row>
    <row r="161" spans="1:11" x14ac:dyDescent="0.4">
      <c r="A161" s="47" t="s">
        <v>10</v>
      </c>
    </row>
    <row r="163" spans="1:11" x14ac:dyDescent="0.4">
      <c r="A163" s="22"/>
      <c r="B163" s="23" t="s">
        <v>220</v>
      </c>
      <c r="C163" s="23" t="s">
        <v>128</v>
      </c>
      <c r="D163" s="23" t="s">
        <v>221</v>
      </c>
      <c r="E163" s="28" t="s">
        <v>22</v>
      </c>
      <c r="F163" s="103" t="s">
        <v>222</v>
      </c>
      <c r="H163" s="47" t="s">
        <v>237</v>
      </c>
    </row>
    <row r="164" spans="1:11" x14ac:dyDescent="0.4">
      <c r="A164" s="114" t="s">
        <v>23</v>
      </c>
      <c r="B164" s="15">
        <v>8</v>
      </c>
      <c r="C164" s="15">
        <v>6</v>
      </c>
      <c r="D164" s="15">
        <v>4</v>
      </c>
      <c r="E164" s="13">
        <v>2</v>
      </c>
      <c r="F164" s="108">
        <v>0</v>
      </c>
      <c r="H164" s="47" t="s">
        <v>238</v>
      </c>
    </row>
    <row r="165" spans="1:11" x14ac:dyDescent="0.4">
      <c r="A165" s="115"/>
      <c r="B165" s="16">
        <v>60</v>
      </c>
      <c r="C165" s="16">
        <v>160</v>
      </c>
      <c r="D165" s="16">
        <v>130</v>
      </c>
      <c r="E165" s="14"/>
      <c r="F165" s="109"/>
      <c r="H165" s="47" t="s">
        <v>239</v>
      </c>
    </row>
    <row r="166" spans="1:11" x14ac:dyDescent="0.4">
      <c r="A166" s="114" t="s">
        <v>223</v>
      </c>
      <c r="B166" s="15">
        <v>10</v>
      </c>
      <c r="C166" s="13">
        <v>8</v>
      </c>
      <c r="D166" s="13">
        <v>6</v>
      </c>
      <c r="E166" s="15">
        <v>3</v>
      </c>
      <c r="F166" s="110">
        <v>0</v>
      </c>
      <c r="H166" s="47" t="s">
        <v>217</v>
      </c>
    </row>
    <row r="167" spans="1:11" x14ac:dyDescent="0.4">
      <c r="A167" s="115"/>
      <c r="B167" s="16">
        <v>140</v>
      </c>
      <c r="C167" s="14"/>
      <c r="D167" s="14"/>
      <c r="E167" s="16">
        <v>100</v>
      </c>
      <c r="F167" s="111">
        <v>210</v>
      </c>
      <c r="H167" s="47" t="s">
        <v>214</v>
      </c>
    </row>
    <row r="168" spans="1:11" x14ac:dyDescent="0.4">
      <c r="H168" s="47" t="s">
        <v>218</v>
      </c>
    </row>
    <row r="169" spans="1:11" x14ac:dyDescent="0.4">
      <c r="A169" s="47" t="s">
        <v>208</v>
      </c>
    </row>
    <row r="170" spans="1:11" x14ac:dyDescent="0.4">
      <c r="A170" s="47" t="s">
        <v>93</v>
      </c>
    </row>
    <row r="171" spans="1:11" x14ac:dyDescent="0.4">
      <c r="A171" s="47" t="s">
        <v>240</v>
      </c>
    </row>
    <row r="172" spans="1:11" x14ac:dyDescent="0.4">
      <c r="A172" s="47" t="s">
        <v>242</v>
      </c>
    </row>
    <row r="173" spans="1:11" x14ac:dyDescent="0.4">
      <c r="A173" s="47" t="s">
        <v>243</v>
      </c>
    </row>
    <row r="174" spans="1:11" x14ac:dyDescent="0.4">
      <c r="A174" s="47" t="s">
        <v>209</v>
      </c>
    </row>
    <row r="176" spans="1:11" ht="16.2" customHeight="1" x14ac:dyDescent="0.4">
      <c r="A176" s="124" t="s">
        <v>244</v>
      </c>
      <c r="B176" s="124"/>
      <c r="C176" s="124"/>
      <c r="D176" s="124"/>
      <c r="E176" s="124"/>
      <c r="F176" s="124"/>
      <c r="G176" s="124"/>
      <c r="H176" s="124"/>
      <c r="I176" s="124"/>
      <c r="J176" s="124"/>
      <c r="K176" s="113"/>
    </row>
    <row r="177" spans="1:11" x14ac:dyDescent="0.4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13"/>
    </row>
    <row r="178" spans="1:11" x14ac:dyDescent="0.4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13"/>
    </row>
    <row r="179" spans="1:11" x14ac:dyDescent="0.4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13"/>
    </row>
    <row r="180" spans="1:11" x14ac:dyDescent="0.4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</row>
  </sheetData>
  <mergeCells count="36">
    <mergeCell ref="A1:XFD1"/>
    <mergeCell ref="A13:XFD13"/>
    <mergeCell ref="A23:D23"/>
    <mergeCell ref="F23:K23"/>
    <mergeCell ref="A50:XFD50"/>
    <mergeCell ref="AJ97:AJ98"/>
    <mergeCell ref="AJ99:AJ100"/>
    <mergeCell ref="AQ97:AQ98"/>
    <mergeCell ref="AQ99:AQ100"/>
    <mergeCell ref="A105:A106"/>
    <mergeCell ref="H97:H98"/>
    <mergeCell ref="H99:H100"/>
    <mergeCell ref="O97:O98"/>
    <mergeCell ref="O99:O100"/>
    <mergeCell ref="A97:A98"/>
    <mergeCell ref="A99:A100"/>
    <mergeCell ref="V97:V98"/>
    <mergeCell ref="V99:V100"/>
    <mergeCell ref="AC97:AC98"/>
    <mergeCell ref="AC99:AC100"/>
    <mergeCell ref="A107:A108"/>
    <mergeCell ref="A116:A117"/>
    <mergeCell ref="A118:A119"/>
    <mergeCell ref="A124:A125"/>
    <mergeCell ref="A126:A127"/>
    <mergeCell ref="A132:A133"/>
    <mergeCell ref="A134:A135"/>
    <mergeCell ref="A140:A141"/>
    <mergeCell ref="A142:A143"/>
    <mergeCell ref="A148:A149"/>
    <mergeCell ref="A176:J179"/>
    <mergeCell ref="A150:A151"/>
    <mergeCell ref="A156:A157"/>
    <mergeCell ref="A158:A159"/>
    <mergeCell ref="A164:A165"/>
    <mergeCell ref="A166:A16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vladislavlash@outlook.com</cp:lastModifiedBy>
  <dcterms:created xsi:type="dcterms:W3CDTF">2015-06-05T18:17:20Z</dcterms:created>
  <dcterms:modified xsi:type="dcterms:W3CDTF">2024-11-03T16:16:30Z</dcterms:modified>
</cp:coreProperties>
</file>