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МатПрог\"/>
    </mc:Choice>
  </mc:AlternateContent>
  <xr:revisionPtr revIDLastSave="0" documentId="13_ncr:1_{70D61CD0-5613-4298-840A-6C084786C9EC}" xr6:coauthVersionLast="47" xr6:coauthVersionMax="47" xr10:uidLastSave="{00000000-0000-0000-0000-000000000000}"/>
  <bookViews>
    <workbookView xWindow="84" yWindow="96" windowWidth="11712" windowHeight="12192" firstSheet="1" activeTab="3" xr2:uid="{110FF1F7-5271-43B0-97DB-BEA48A6980EB}"/>
  </bookViews>
  <sheets>
    <sheet name="Отчет о результатах 2" sheetId="5" r:id="rId1"/>
    <sheet name="З1" sheetId="1" r:id="rId2"/>
    <sheet name="Отчет о результатах 1" sheetId="9" r:id="rId3"/>
    <sheet name="З2" sheetId="8" r:id="rId4"/>
  </sheets>
  <definedNames>
    <definedName name="solver_adj" localSheetId="1" hidden="1">З1!$B$82:$F$85</definedName>
    <definedName name="solver_adj" localSheetId="3" hidden="1">З2!$B$46:$H$51</definedName>
    <definedName name="solver_cvg" localSheetId="1" hidden="1">0.0001</definedName>
    <definedName name="solver_cvg" localSheetId="3" hidden="1">0.0001</definedName>
    <definedName name="solver_drv" localSheetId="1" hidden="1">1</definedName>
    <definedName name="solver_drv" localSheetId="3" hidden="1">1</definedName>
    <definedName name="solver_eng" localSheetId="1" hidden="1">2</definedName>
    <definedName name="solver_eng" localSheetId="3" hidden="1">2</definedName>
    <definedName name="solver_est" localSheetId="1" hidden="1">1</definedName>
    <definedName name="solver_est" localSheetId="3" hidden="1">1</definedName>
    <definedName name="solver_itr" localSheetId="1" hidden="1">2147483647</definedName>
    <definedName name="solver_itr" localSheetId="3" hidden="1">2147483647</definedName>
    <definedName name="solver_lhs1" localSheetId="1" hidden="1">З1!$A$82:$A$85</definedName>
    <definedName name="solver_lhs1" localSheetId="3" hidden="1">З2!$B$52:$H$52</definedName>
    <definedName name="solver_lhs2" localSheetId="1" hidden="1">З1!$B$81:$F$81</definedName>
    <definedName name="solver_lhs2" localSheetId="3" hidden="1">З2!$I$46:$I$51</definedName>
    <definedName name="solver_lhs3" localSheetId="1" hidden="1">З1!$B$82:$F$85</definedName>
    <definedName name="solver_mip" localSheetId="1" hidden="1">2147483647</definedName>
    <definedName name="solver_mip" localSheetId="3" hidden="1">2147483647</definedName>
    <definedName name="solver_mni" localSheetId="1" hidden="1">30</definedName>
    <definedName name="solver_mni" localSheetId="3" hidden="1">30</definedName>
    <definedName name="solver_mrt" localSheetId="1" hidden="1">0.075</definedName>
    <definedName name="solver_mrt" localSheetId="3" hidden="1">0.075</definedName>
    <definedName name="solver_msl" localSheetId="1" hidden="1">2</definedName>
    <definedName name="solver_msl" localSheetId="3" hidden="1">2</definedName>
    <definedName name="solver_neg" localSheetId="1" hidden="1">1</definedName>
    <definedName name="solver_neg" localSheetId="3" hidden="1">1</definedName>
    <definedName name="solver_nod" localSheetId="1" hidden="1">2147483647</definedName>
    <definedName name="solver_nod" localSheetId="3" hidden="1">2147483647</definedName>
    <definedName name="solver_num" localSheetId="1" hidden="1">3</definedName>
    <definedName name="solver_num" localSheetId="3" hidden="1">2</definedName>
    <definedName name="solver_nwt" localSheetId="1" hidden="1">1</definedName>
    <definedName name="solver_nwt" localSheetId="3" hidden="1">1</definedName>
    <definedName name="solver_opt" localSheetId="1" hidden="1">З1!$A$87</definedName>
    <definedName name="solver_opt" localSheetId="3" hidden="1">З2!$J$53</definedName>
    <definedName name="solver_pre" localSheetId="1" hidden="1">0.000001</definedName>
    <definedName name="solver_pre" localSheetId="3" hidden="1">0.000001</definedName>
    <definedName name="solver_rbv" localSheetId="1" hidden="1">1</definedName>
    <definedName name="solver_rbv" localSheetId="3" hidden="1">1</definedName>
    <definedName name="solver_rel1" localSheetId="1" hidden="1">2</definedName>
    <definedName name="solver_rel1" localSheetId="3" hidden="1">2</definedName>
    <definedName name="solver_rel2" localSheetId="1" hidden="1">2</definedName>
    <definedName name="solver_rel2" localSheetId="3" hidden="1">2</definedName>
    <definedName name="solver_rel3" localSheetId="1" hidden="1">3</definedName>
    <definedName name="solver_rhs1" localSheetId="1" hidden="1">З1!$A$76:$A$79</definedName>
    <definedName name="solver_rhs1" localSheetId="3" hidden="1">З2!$B$53:$H$53</definedName>
    <definedName name="solver_rhs2" localSheetId="1" hidden="1">З1!$B$75:$F$75</definedName>
    <definedName name="solver_rhs2" localSheetId="3" hidden="1">З2!$J$46:$J$51</definedName>
    <definedName name="solver_rhs3" localSheetId="1" hidden="1">0</definedName>
    <definedName name="solver_rlx" localSheetId="1" hidden="1">2</definedName>
    <definedName name="solver_rlx" localSheetId="3" hidden="1">2</definedName>
    <definedName name="solver_rsd" localSheetId="1" hidden="1">0</definedName>
    <definedName name="solver_rsd" localSheetId="3" hidden="1">0</definedName>
    <definedName name="solver_scl" localSheetId="1" hidden="1">1</definedName>
    <definedName name="solver_scl" localSheetId="3" hidden="1">1</definedName>
    <definedName name="solver_sho" localSheetId="1" hidden="1">2</definedName>
    <definedName name="solver_sho" localSheetId="3" hidden="1">2</definedName>
    <definedName name="solver_ssz" localSheetId="1" hidden="1">100</definedName>
    <definedName name="solver_ssz" localSheetId="3" hidden="1">100</definedName>
    <definedName name="solver_tim" localSheetId="1" hidden="1">2147483647</definedName>
    <definedName name="solver_tim" localSheetId="3" hidden="1">2147483647</definedName>
    <definedName name="solver_tol" localSheetId="1" hidden="1">0.01</definedName>
    <definedName name="solver_tol" localSheetId="3" hidden="1">0.01</definedName>
    <definedName name="solver_typ" localSheetId="1" hidden="1">2</definedName>
    <definedName name="solver_typ" localSheetId="3" hidden="1">2</definedName>
    <definedName name="solver_val" localSheetId="1" hidden="1">0</definedName>
    <definedName name="solver_val" localSheetId="3" hidden="1">0</definedName>
    <definedName name="solver_ver" localSheetId="1" hidden="1">3</definedName>
    <definedName name="solver_ver" localSheetId="3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3" i="8" l="1"/>
  <c r="I46" i="8"/>
  <c r="I47" i="8"/>
  <c r="I48" i="8"/>
  <c r="I49" i="8"/>
  <c r="I50" i="8"/>
  <c r="I51" i="8"/>
  <c r="C52" i="8"/>
  <c r="D52" i="8"/>
  <c r="E52" i="8"/>
  <c r="F52" i="8"/>
  <c r="G52" i="8"/>
  <c r="H52" i="8"/>
  <c r="B52" i="8"/>
  <c r="A87" i="1"/>
  <c r="A82" i="1"/>
  <c r="A85" i="1"/>
  <c r="A84" i="1"/>
  <c r="A83" i="1"/>
  <c r="F81" i="1"/>
  <c r="E81" i="1"/>
  <c r="D81" i="1"/>
  <c r="C81" i="1"/>
  <c r="B81" i="1"/>
</calcChain>
</file>

<file path=xl/sharedStrings.xml><?xml version="1.0" encoding="utf-8"?>
<sst xmlns="http://schemas.openxmlformats.org/spreadsheetml/2006/main" count="814" uniqueCount="334">
  <si>
    <t>Вариант 24</t>
  </si>
  <si>
    <t>1) Составить математическую модель транспортной задачи;</t>
  </si>
  <si>
    <t>x11 + x21 + x31 + x41 = 20</t>
  </si>
  <si>
    <t>x12 + x22 + x32 + x42 = 20</t>
  </si>
  <si>
    <t>x13 + x23 + x33 + x43 = 40</t>
  </si>
  <si>
    <t>x14 + x24 + x34 + x44 = 20</t>
  </si>
  <si>
    <t>ai \ bi</t>
  </si>
  <si>
    <t>2) Решить транспортную задачу без учета дополнительных ограничений на перевозки</t>
  </si>
  <si>
    <t>а) вручную</t>
  </si>
  <si>
    <t>2
20</t>
  </si>
  <si>
    <t>3
20</t>
  </si>
  <si>
    <t>4
20</t>
  </si>
  <si>
    <t>5
0</t>
  </si>
  <si>
    <t>0
20</t>
  </si>
  <si>
    <t>v4 = 3</t>
  </si>
  <si>
    <t>u1 = 0</t>
  </si>
  <si>
    <t>v1 = 2</t>
  </si>
  <si>
    <t>v2 = 2</t>
  </si>
  <si>
    <t>u2 = 3</t>
  </si>
  <si>
    <t>u4 = 3</t>
  </si>
  <si>
    <t>v4 = 1</t>
  </si>
  <si>
    <t>v3 = 1</t>
  </si>
  <si>
    <t>u3 = 2</t>
  </si>
  <si>
    <t>v5 = -3</t>
  </si>
  <si>
    <t>u4 = 1</t>
  </si>
  <si>
    <t>7
0</t>
  </si>
  <si>
    <t>v1 = 0</t>
  </si>
  <si>
    <t>v4 = 4</t>
  </si>
  <si>
    <t>u4 = 0</t>
  </si>
  <si>
    <t>v1 = 3</t>
  </si>
  <si>
    <t>4
0</t>
  </si>
  <si>
    <t>v1 = 1</t>
  </si>
  <si>
    <t>u4 = 2</t>
  </si>
  <si>
    <t>v4 = 2</t>
  </si>
  <si>
    <t>Отрицательных оценок нет - план оптимален.</t>
  </si>
  <si>
    <t>Нулевых оценок нет - решение единственное</t>
  </si>
  <si>
    <t>1 поставщик - весь груз во 2 магазин</t>
  </si>
  <si>
    <t>2 поставщик - 20 ед. в 3 магазин, 20 ед. оставляем на складе</t>
  </si>
  <si>
    <t>3 поставщик - 20 ед. в 3 магазин</t>
  </si>
  <si>
    <t>4 поставщик - 20 ед. в 1 магазин, 20 ед. в 4 магазин</t>
  </si>
  <si>
    <t>б) на компьютере</t>
  </si>
  <si>
    <t>3) Решить транспортную задачу с дополнительными ограничениями на перевозки.</t>
  </si>
  <si>
    <t>М</t>
  </si>
  <si>
    <t>Microsoft Excel 16.0 Отчет о результатах</t>
  </si>
  <si>
    <t>Лист: [lab2.xlsx]З1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</si>
  <si>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</si>
  <si>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</si>
  <si>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</si>
  <si>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0,047 секунд.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</si>
  <si>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</si>
  <si>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</si>
  <si>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</si>
  <si>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(Минимум)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</si>
  <si>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</si>
  <si>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</si>
  <si>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</si>
  <si>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</si>
  <si>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</si>
  <si>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</si>
  <si>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</si>
  <si>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</si>
  <si>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</si>
  <si>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</si>
  <si>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</si>
  <si>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$A$87</t>
  </si>
  <si>
    <t>$B$82</t>
  </si>
  <si>
    <t>Продолжить</t>
  </si>
  <si>
    <t>$C$82</t>
  </si>
  <si>
    <t>$D$82</t>
  </si>
  <si>
    <t>$E$82</t>
  </si>
  <si>
    <t>$F$82</t>
  </si>
  <si>
    <t>$B$83</t>
  </si>
  <si>
    <t>$C$83</t>
  </si>
  <si>
    <t>$D$83</t>
  </si>
  <si>
    <t>$E$83</t>
  </si>
  <si>
    <t>$F$83</t>
  </si>
  <si>
    <t>$B$84</t>
  </si>
  <si>
    <t>$C$84</t>
  </si>
  <si>
    <t>$D$84</t>
  </si>
  <si>
    <t>$E$84</t>
  </si>
  <si>
    <t>$F$84</t>
  </si>
  <si>
    <t>$B$85</t>
  </si>
  <si>
    <t>$C$85</t>
  </si>
  <si>
    <t>$D$85</t>
  </si>
  <si>
    <t>$E$85</t>
  </si>
  <si>
    <t>$F$85</t>
  </si>
  <si>
    <t>$A$82</t>
  </si>
  <si>
    <t>$A$82=$A$76</t>
  </si>
  <si>
    <t>Привязка</t>
  </si>
  <si>
    <t>$A$83</t>
  </si>
  <si>
    <t>$A$83=$A$77</t>
  </si>
  <si>
    <t>$A$84</t>
  </si>
  <si>
    <t>$A$84=$A$78</t>
  </si>
  <si>
    <t>$A$85</t>
  </si>
  <si>
    <t>$A$85=$A$79</t>
  </si>
  <si>
    <t>$B$81</t>
  </si>
  <si>
    <t>$B$81=$B$75</t>
  </si>
  <si>
    <t>$C$81</t>
  </si>
  <si>
    <t>$C$81=$C$75</t>
  </si>
  <si>
    <t>$D$81</t>
  </si>
  <si>
    <t>$D$81=$D$75</t>
  </si>
  <si>
    <t>$E$81</t>
  </si>
  <si>
    <t>$E$81=$E$75</t>
  </si>
  <si>
    <t>$F$81</t>
  </si>
  <si>
    <t>$F$81=$F$75</t>
  </si>
  <si>
    <t>$B$82&gt;=0</t>
  </si>
  <si>
    <t>$C$82&gt;=0</t>
  </si>
  <si>
    <t>Без привязки</t>
  </si>
  <si>
    <t>$D$82&gt;=0</t>
  </si>
  <si>
    <t>$E$82&gt;=0</t>
  </si>
  <si>
    <t>$F$82&gt;=0</t>
  </si>
  <si>
    <t>$B$83&gt;=0</t>
  </si>
  <si>
    <t>$C$83&gt;=0</t>
  </si>
  <si>
    <t>$D$83&gt;=0</t>
  </si>
  <si>
    <t>$E$83&gt;=0</t>
  </si>
  <si>
    <t>$F$83&gt;=0</t>
  </si>
  <si>
    <t>$B$84&gt;=0</t>
  </si>
  <si>
    <t>$C$84&gt;=0</t>
  </si>
  <si>
    <t>$D$84&gt;=0</t>
  </si>
  <si>
    <t>$E$84&gt;=0</t>
  </si>
  <si>
    <t>$F$84&gt;=0</t>
  </si>
  <si>
    <t>$B$85&gt;=0</t>
  </si>
  <si>
    <t>$C$85&gt;=0</t>
  </si>
  <si>
    <t>$D$85&gt;=0</t>
  </si>
  <si>
    <t>$E$85&gt;=0</t>
  </si>
  <si>
    <t>$F$85&gt;=0</t>
  </si>
  <si>
    <t>Отчет создан: 19.10.2023 17:35:08</t>
  </si>
  <si>
    <t>Число итераций: 14 Число подзадач: 0</t>
  </si>
  <si>
    <t>x42 &lt;= 10  x23 &gt;= 20</t>
  </si>
  <si>
    <t>2
10</t>
  </si>
  <si>
    <t>3
10</t>
  </si>
  <si>
    <t>5
10</t>
  </si>
  <si>
    <t>0
10</t>
  </si>
  <si>
    <t>v5 = 4</t>
  </si>
  <si>
    <t>v6 = -1</t>
  </si>
  <si>
    <t>u2 = 1</t>
  </si>
  <si>
    <t>v3 = 3</t>
  </si>
  <si>
    <t>u3 = 0</t>
  </si>
  <si>
    <t>v5 = 2</t>
  </si>
  <si>
    <t>v6 = -3</t>
  </si>
  <si>
    <t>0
0</t>
  </si>
  <si>
    <t>Нулевые оценки есть - решение не единственное</t>
  </si>
  <si>
    <t>Z = 2*20 + 4*0 + 5*0 + 4*20 + 0*20 + 3*20 + 3*20 + 4*20 = 16*20 = 320</t>
  </si>
  <si>
    <t>z = 16*x11 + 18*x12 + 20*x13 + 24*x14 + 14*x21 + 12*x22 + 22*x23 + 18*x24 + 8*x11 + 6*x12 + 4*x13 + 10*x21 + 7*x22 + 5*x23 + 12*x31 + 8*x32 + 3*x33 + 8*x41 + 10*x42 + 3*x43  --&gt;  min</t>
  </si>
  <si>
    <t>x11 + x12 + x13 + x14 &lt;= 500</t>
  </si>
  <si>
    <t>x21 + x22 + x23 + x24 &lt;= 400</t>
  </si>
  <si>
    <t>x11 + x21 + x31 + x41 &lt;= 200</t>
  </si>
  <si>
    <t>x12 + x22 + x32 + x42 &lt;= 350</t>
  </si>
  <si>
    <t>x13 + x23 + x33 + x43 &lt;= 250</t>
  </si>
  <si>
    <t>x14 + x24 + x34 + x44 &lt;= 300</t>
  </si>
  <si>
    <t>x11 + x21 + x31 + x41 &gt;= 330</t>
  </si>
  <si>
    <t>x12 + x22 + x32 + x42 &gt;= 270</t>
  </si>
  <si>
    <t>x13 + x23 + x33 + x43 &gt;= 300</t>
  </si>
  <si>
    <t>a1</t>
  </si>
  <si>
    <t>a2</t>
  </si>
  <si>
    <t>d1</t>
  </si>
  <si>
    <t>d2</t>
  </si>
  <si>
    <t>d3</t>
  </si>
  <si>
    <t>d4</t>
  </si>
  <si>
    <t>b1</t>
  </si>
  <si>
    <t>b2</t>
  </si>
  <si>
    <t>b3</t>
  </si>
  <si>
    <t>Лист: [lab2.xlsx]З2</t>
  </si>
  <si>
    <t>Отчет создан: 20.10.2023 02:13:12</t>
  </si>
  <si>
    <t>Время решения: 0,031 секунд.</t>
  </si>
  <si>
    <t>Число итераций: 29 Число подзадач: 0</t>
  </si>
  <si>
    <t>$J$53</t>
  </si>
  <si>
    <t>$B$46</t>
  </si>
  <si>
    <t>a1 d1</t>
  </si>
  <si>
    <t>$C$46</t>
  </si>
  <si>
    <t>a1 d2</t>
  </si>
  <si>
    <t>$D$46</t>
  </si>
  <si>
    <t>a1 d3</t>
  </si>
  <si>
    <t>$E$46</t>
  </si>
  <si>
    <t>a1 d4</t>
  </si>
  <si>
    <t>$F$46</t>
  </si>
  <si>
    <t>a1 b1</t>
  </si>
  <si>
    <t>$G$46</t>
  </si>
  <si>
    <t>a1 b2</t>
  </si>
  <si>
    <t>$H$46</t>
  </si>
  <si>
    <t>a1 b3</t>
  </si>
  <si>
    <t>$B$47</t>
  </si>
  <si>
    <t>a2 d1</t>
  </si>
  <si>
    <t>$C$47</t>
  </si>
  <si>
    <t>a2 d2</t>
  </si>
  <si>
    <t>$D$47</t>
  </si>
  <si>
    <t>a2 d3</t>
  </si>
  <si>
    <t>$E$47</t>
  </si>
  <si>
    <t>a2 d4</t>
  </si>
  <si>
    <t>$F$47</t>
  </si>
  <si>
    <t>a2 b1</t>
  </si>
  <si>
    <t>$G$47</t>
  </si>
  <si>
    <t>a2 b2</t>
  </si>
  <si>
    <t>$H$47</t>
  </si>
  <si>
    <t>a2 b3</t>
  </si>
  <si>
    <t>$B$48</t>
  </si>
  <si>
    <t>d1 d1</t>
  </si>
  <si>
    <t>$C$48</t>
  </si>
  <si>
    <t>d1 d2</t>
  </si>
  <si>
    <t>$D$48</t>
  </si>
  <si>
    <t>d1 d3</t>
  </si>
  <si>
    <t>$E$48</t>
  </si>
  <si>
    <t>d1 d4</t>
  </si>
  <si>
    <t>$F$48</t>
  </si>
  <si>
    <t>d1 b1</t>
  </si>
  <si>
    <t>$G$48</t>
  </si>
  <si>
    <t>d1 b2</t>
  </si>
  <si>
    <t>$H$48</t>
  </si>
  <si>
    <t>d1 b3</t>
  </si>
  <si>
    <t>$B$49</t>
  </si>
  <si>
    <t>d2 d1</t>
  </si>
  <si>
    <t>$C$49</t>
  </si>
  <si>
    <t>d2 d2</t>
  </si>
  <si>
    <t>$D$49</t>
  </si>
  <si>
    <t>d2 d3</t>
  </si>
  <si>
    <t>$E$49</t>
  </si>
  <si>
    <t>d2 d4</t>
  </si>
  <si>
    <t>$F$49</t>
  </si>
  <si>
    <t>d2 b1</t>
  </si>
  <si>
    <t>$G$49</t>
  </si>
  <si>
    <t>d2 b2</t>
  </si>
  <si>
    <t>$H$49</t>
  </si>
  <si>
    <t>d2 b3</t>
  </si>
  <si>
    <t>$B$50</t>
  </si>
  <si>
    <t>d3 d1</t>
  </si>
  <si>
    <t>$C$50</t>
  </si>
  <si>
    <t>d3 d2</t>
  </si>
  <si>
    <t>$D$50</t>
  </si>
  <si>
    <t>d3 d3</t>
  </si>
  <si>
    <t>$E$50</t>
  </si>
  <si>
    <t>d3 d4</t>
  </si>
  <si>
    <t>$F$50</t>
  </si>
  <si>
    <t>d3 b1</t>
  </si>
  <si>
    <t>$G$50</t>
  </si>
  <si>
    <t>d3 b2</t>
  </si>
  <si>
    <t>$H$50</t>
  </si>
  <si>
    <t>d3 b3</t>
  </si>
  <si>
    <t>$B$51</t>
  </si>
  <si>
    <t>d4 d1</t>
  </si>
  <si>
    <t>$C$51</t>
  </si>
  <si>
    <t>d4 d2</t>
  </si>
  <si>
    <t>$D$51</t>
  </si>
  <si>
    <t>d4 d3</t>
  </si>
  <si>
    <t>$E$51</t>
  </si>
  <si>
    <t>d4 d4</t>
  </si>
  <si>
    <t>$F$51</t>
  </si>
  <si>
    <t>d4 b1</t>
  </si>
  <si>
    <t>$G$51</t>
  </si>
  <si>
    <t>d4 b2</t>
  </si>
  <si>
    <t>$H$51</t>
  </si>
  <si>
    <t>d4 b3</t>
  </si>
  <si>
    <t>$B$52</t>
  </si>
  <si>
    <t>$B$52=$B$53</t>
  </si>
  <si>
    <t>$C$52</t>
  </si>
  <si>
    <t>$C$52=$C$53</t>
  </si>
  <si>
    <t>$D$52</t>
  </si>
  <si>
    <t>$D$52=$D$53</t>
  </si>
  <si>
    <t>$E$52</t>
  </si>
  <si>
    <t>$E$52=$E$53</t>
  </si>
  <si>
    <t>$F$52</t>
  </si>
  <si>
    <t>$F$52=$F$53</t>
  </si>
  <si>
    <t>$G$52</t>
  </si>
  <si>
    <t>$G$52=$G$53</t>
  </si>
  <si>
    <t>$H$52</t>
  </si>
  <si>
    <t>$H$52=$H$53</t>
  </si>
  <si>
    <t>$I$46</t>
  </si>
  <si>
    <t>$I$46=$J$46</t>
  </si>
  <si>
    <t>$I$47</t>
  </si>
  <si>
    <t>$I$47=$J$47</t>
  </si>
  <si>
    <t>$I$48</t>
  </si>
  <si>
    <t>$I$48=$J$48</t>
  </si>
  <si>
    <t>$I$49</t>
  </si>
  <si>
    <t>$I$49=$J$49</t>
  </si>
  <si>
    <t>$I$50</t>
  </si>
  <si>
    <t>$I$50=$J$50</t>
  </si>
  <si>
    <t>$I$51</t>
  </si>
  <si>
    <t>$I$51=$J$51</t>
  </si>
  <si>
    <t>1) Определить оптимальную схему прикрепления потребителей к перевалочным базам и перевалочных баз к поставщикам на основе решения двухэтапной транспортной задачи;</t>
  </si>
  <si>
    <t>Составить математическую модель задачи</t>
  </si>
  <si>
    <t>2) Сравнить полученное решение с решением путем раздельного прикрепления потребителей к базам и баз к поставщикам.</t>
  </si>
  <si>
    <t>12
350</t>
  </si>
  <si>
    <t>14
50</t>
  </si>
  <si>
    <t>16
150</t>
  </si>
  <si>
    <t>20
250</t>
  </si>
  <si>
    <t>24
100</t>
  </si>
  <si>
    <t>0
200</t>
  </si>
  <si>
    <t>u2 = -6</t>
  </si>
  <si>
    <t>v1 = 16</t>
  </si>
  <si>
    <t>u2 = -2</t>
  </si>
  <si>
    <t>v2 = 14</t>
  </si>
  <si>
    <t>v3 = 20</t>
  </si>
  <si>
    <t>v4 = 24</t>
  </si>
  <si>
    <t>u3 = -24</t>
  </si>
  <si>
    <t>18
50</t>
  </si>
  <si>
    <t>24
50</t>
  </si>
  <si>
    <t>16
200</t>
  </si>
  <si>
    <t>v2 = 18</t>
  </si>
  <si>
    <t>Отрицательных оценок нет - план оптимальный</t>
  </si>
  <si>
    <t>Нулевые оценки есть - план не единственный</t>
  </si>
  <si>
    <t>на 4ой базе остается место для 200 т.</t>
  </si>
  <si>
    <t>1 поставщик - 200 т. на 1ую базу, 250 т. на 3ью, 50 т. на 4ую</t>
  </si>
  <si>
    <t>2 поставщик - 350 т. на 2ую базу, 50 т. на 4ую</t>
  </si>
  <si>
    <t>3
250</t>
  </si>
  <si>
    <t>3
50</t>
  </si>
  <si>
    <t>6
200</t>
  </si>
  <si>
    <t>7
70</t>
  </si>
  <si>
    <t>8
250</t>
  </si>
  <si>
    <t>v2 = 6</t>
  </si>
  <si>
    <t>v1 = 9</t>
  </si>
  <si>
    <t>v4 = -1</t>
  </si>
  <si>
    <t>8
80</t>
  </si>
  <si>
    <t>6
120</t>
  </si>
  <si>
    <t>7
150</t>
  </si>
  <si>
    <t>v1 = 8</t>
  </si>
  <si>
    <t>Нулевых оценок нет - план единственный</t>
  </si>
  <si>
    <t>1 база - 80 т. 1ому пункту потребления, 120 т. 2ому</t>
  </si>
  <si>
    <t>2 база - 150т 2ому пункту потребления, 200 остается</t>
  </si>
  <si>
    <t>4 база - 250 т. 1ому пункту потребления, 50 т. 3ему</t>
  </si>
  <si>
    <t>3 база - 250 т. 3ему пункту потребления</t>
  </si>
  <si>
    <t>10
80</t>
  </si>
  <si>
    <t>u4 = -1</t>
  </si>
  <si>
    <t>v3 = 4</t>
  </si>
  <si>
    <t>u3 = -1</t>
  </si>
  <si>
    <t>Z = 16*200 + 20*250 + 24*50 + 12*350 + 18*50 + 0*200 = 14500</t>
  </si>
  <si>
    <t>Z = 8*80 + 6*120 + 7*150 + 0*200 + 3*250 + 8*250 + 3*50 = 5310</t>
  </si>
  <si>
    <t>Планы перевозок от поставщиков к базам одинаковы, от баз к потребителям - отличаются.</t>
  </si>
  <si>
    <t>Z = 2*10 + 2*10 + 4*0 + 5*0 + 0*20 + 3*20 + 3*20 + 4*20  + (4*20) = 320</t>
  </si>
  <si>
    <t>Решив двойственную задачу, получили суммарные затраты, равные 20090, при решении путем раздельного прикрепления потребителей к базам и баз к поставщикам - 14500 + 5310 = 19810</t>
  </si>
  <si>
    <t xml:space="preserve">z = 2*x11 + 2*x12 + 3*x13 + 4*x14 + 4*x21 + 5*x22 + 4*x23 + 7*x24 + 6*x31 + 7*x32 + 3*x33 + 5*x34 + 3*x41 + 5*x42 + 7*x43 + 4*x44 -&gt; min </t>
  </si>
  <si>
    <t>Возможные поставки превышают спрос на 20 ед., введем фиктивного получателя с таким объемом спроса. Стоимости перевозок для него равны 0.</t>
  </si>
  <si>
    <t>x11 + x12 + x13 + x14 &lt;= 20</t>
  </si>
  <si>
    <t>x21 + x22 + x23 + x24 &lt;= 40</t>
  </si>
  <si>
    <t>x31 + x32 + x33 + x34 &lt;= 20</t>
  </si>
  <si>
    <t>x41 + x42 + x43 + x44 &lt;=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</si>
</sst>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C9C9C9"/>
        <bgColor rgb="FF000000"/>
      </patternFill>
    </fill>
    <fill>
      <patternFill patternType="solid">
        <fgColor theme="6" tint="0.59999389629810485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</cellStyleXfs>
  <cellXfs count="59">
    <xf numFmtId="0" fontId="0" fillId="0" borderId="0" xfId="0"/>
    <xf numFmtId="0" fontId="1" fillId="4" borderId="1" xfId="3" applyBorder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1" fillId="3" borderId="0" xfId="2" applyBorder="1" applyAlignment="1">
      <alignment wrapText="1"/>
    </xf>
    <xf numFmtId="0" fontId="1" fillId="2" borderId="0" xfId="1" applyBorder="1"/>
    <xf numFmtId="0" fontId="1" fillId="2" borderId="5" xfId="1" applyBorder="1"/>
    <xf numFmtId="0" fontId="1" fillId="2" borderId="6" xfId="1" applyBorder="1"/>
    <xf numFmtId="0" fontId="1" fillId="3" borderId="6" xfId="2" applyBorder="1" applyAlignment="1">
      <alignment wrapText="1"/>
    </xf>
    <xf numFmtId="0" fontId="1" fillId="3" borderId="5" xfId="2" applyBorder="1" applyAlignment="1">
      <alignment wrapText="1"/>
    </xf>
    <xf numFmtId="0" fontId="1" fillId="2" borderId="0" xfId="1" applyAlignment="1">
      <alignment wrapText="1"/>
    </xf>
    <xf numFmtId="0" fontId="1" fillId="3" borderId="0" xfId="2" applyAlignment="1">
      <alignment wrapText="1"/>
    </xf>
    <xf numFmtId="0" fontId="1" fillId="2" borderId="0" xfId="1"/>
    <xf numFmtId="0" fontId="2" fillId="5" borderId="7" xfId="0" applyFont="1" applyFill="1" applyBorder="1"/>
    <xf numFmtId="0" fontId="2" fillId="5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7" xfId="0" applyBorder="1"/>
    <xf numFmtId="0" fontId="3" fillId="0" borderId="0" xfId="0" applyFont="1"/>
    <xf numFmtId="0" fontId="0" fillId="0" borderId="13" xfId="0" applyBorder="1"/>
    <xf numFmtId="0" fontId="4" fillId="0" borderId="12" xfId="0" applyFont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" xfId="0" applyBorder="1"/>
    <xf numFmtId="0" fontId="1" fillId="3" borderId="10" xfId="2" applyBorder="1" applyAlignment="1">
      <alignment wrapText="1"/>
    </xf>
    <xf numFmtId="0" fontId="1" fillId="3" borderId="9" xfId="2" applyBorder="1" applyAlignment="1">
      <alignment wrapText="1"/>
    </xf>
    <xf numFmtId="0" fontId="1" fillId="2" borderId="10" xfId="1" applyBorder="1"/>
    <xf numFmtId="0" fontId="1" fillId="2" borderId="8" xfId="1" applyBorder="1"/>
    <xf numFmtId="0" fontId="1" fillId="3" borderId="7" xfId="2" applyBorder="1" applyAlignment="1">
      <alignment wrapText="1"/>
    </xf>
    <xf numFmtId="0" fontId="1" fillId="2" borderId="11" xfId="1" applyBorder="1"/>
    <xf numFmtId="0" fontId="1" fillId="3" borderId="4" xfId="2" applyBorder="1" applyAlignment="1">
      <alignment wrapText="1"/>
    </xf>
    <xf numFmtId="0" fontId="1" fillId="2" borderId="9" xfId="1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2" xfId="0" applyBorder="1"/>
    <xf numFmtId="0" fontId="0" fillId="0" borderId="15" xfId="0" applyBorder="1"/>
    <xf numFmtId="0" fontId="0" fillId="0" borderId="3" xfId="0" applyBorder="1"/>
    <xf numFmtId="0" fontId="0" fillId="0" borderId="18" xfId="0" applyBorder="1"/>
    <xf numFmtId="0" fontId="1" fillId="3" borderId="8" xfId="2" applyBorder="1" applyAlignment="1">
      <alignment wrapText="1"/>
    </xf>
    <xf numFmtId="0" fontId="1" fillId="6" borderId="1" xfId="4" applyBorder="1"/>
    <xf numFmtId="0" fontId="1" fillId="2" borderId="0" xfId="1" applyBorder="1" applyAlignment="1">
      <alignment wrapText="1"/>
    </xf>
    <xf numFmtId="0" fontId="0" fillId="6" borderId="1" xfId="4" applyFont="1" applyBorder="1"/>
    <xf numFmtId="0" fontId="1" fillId="2" borderId="9" xfId="1" applyBorder="1"/>
    <xf numFmtId="0" fontId="1" fillId="2" borderId="4" xfId="1" applyBorder="1"/>
    <xf numFmtId="0" fontId="1" fillId="3" borderId="11" xfId="2" applyBorder="1" applyAlignment="1">
      <alignment wrapText="1"/>
    </xf>
    <xf numFmtId="0" fontId="1" fillId="2" borderId="11" xfId="1" applyBorder="1" applyAlignment="1">
      <alignment wrapText="1"/>
    </xf>
    <xf numFmtId="0" fontId="0" fillId="3" borderId="10" xfId="2" applyFont="1" applyBorder="1" applyAlignment="1">
      <alignment wrapText="1"/>
    </xf>
    <xf numFmtId="0" fontId="0" fillId="3" borderId="0" xfId="2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0" xfId="1" applyAlignment="1">
      <alignment wrapText="1"/>
    </xf>
    <xf numFmtId="0" fontId="1" fillId="2" borderId="0" xfId="1" applyAlignment="1">
      <alignment horizontal="left"/>
    </xf>
  </cellXfs>
  <cellStyles count="5">
    <cellStyle name="20% — акцент2" xfId="1" builtinId="34"/>
    <cellStyle name="40% — акцент2" xfId="2" builtinId="35"/>
    <cellStyle name="40% — акцент3" xfId="4" builtinId="39"/>
    <cellStyle name="60% — акцент3" xfId="3" builtinId="4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336135</xdr:colOff>
      <xdr:row>9</xdr:row>
      <xdr:rowOff>61173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A05ED89-3036-4552-6859-450185994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2715004" cy="1524213"/>
        </a:xfrm>
        <a:prstGeom prst="rect">
          <a:avLst/>
        </a:prstGeom>
      </xdr:spPr>
    </xdr:pic>
    <xdr:clientData/>
  </xdr:twoCellAnchor>
  <xdr:twoCellAnchor>
    <xdr:from>
      <xdr:col>15</xdr:col>
      <xdr:colOff>297657</xdr:colOff>
      <xdr:row>48</xdr:row>
      <xdr:rowOff>173151</xdr:rowOff>
    </xdr:from>
    <xdr:to>
      <xdr:col>16</xdr:col>
      <xdr:colOff>315685</xdr:colOff>
      <xdr:row>51</xdr:row>
      <xdr:rowOff>190500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CB9C0529-75BF-43CD-AF92-2E750EED4E01}"/>
            </a:ext>
          </a:extLst>
        </xdr:cNvPr>
        <xdr:cNvCxnSpPr/>
      </xdr:nvCxnSpPr>
      <xdr:spPr>
        <a:xfrm flipH="1">
          <a:off x="9405938" y="10210120"/>
          <a:ext cx="625247" cy="11127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327592</xdr:colOff>
      <xdr:row>49</xdr:row>
      <xdr:rowOff>149338</xdr:rowOff>
    </xdr:from>
    <xdr:to>
      <xdr:col>18</xdr:col>
      <xdr:colOff>321468</xdr:colOff>
      <xdr:row>49</xdr:row>
      <xdr:rowOff>154781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B23848D1-D99A-45E9-836C-622EA36D6A4B}"/>
            </a:ext>
          </a:extLst>
        </xdr:cNvPr>
        <xdr:cNvCxnSpPr/>
      </xdr:nvCxnSpPr>
      <xdr:spPr>
        <a:xfrm>
          <a:off x="10043092" y="10555401"/>
          <a:ext cx="1208314" cy="54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309562</xdr:colOff>
      <xdr:row>49</xdr:row>
      <xdr:rowOff>141514</xdr:rowOff>
    </xdr:from>
    <xdr:to>
      <xdr:col>17</xdr:col>
      <xdr:colOff>315686</xdr:colOff>
      <xdr:row>50</xdr:row>
      <xdr:rowOff>238125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B7803A88-2936-4B40-BEDE-F7FD928C27D5}"/>
            </a:ext>
          </a:extLst>
        </xdr:cNvPr>
        <xdr:cNvCxnSpPr/>
      </xdr:nvCxnSpPr>
      <xdr:spPr>
        <a:xfrm flipV="1">
          <a:off x="10632281" y="10547577"/>
          <a:ext cx="6124" cy="45379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326572</xdr:colOff>
      <xdr:row>49</xdr:row>
      <xdr:rowOff>141514</xdr:rowOff>
    </xdr:from>
    <xdr:to>
      <xdr:col>18</xdr:col>
      <xdr:colOff>315686</xdr:colOff>
      <xdr:row>51</xdr:row>
      <xdr:rowOff>228600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CB868D1F-417E-4E58-970F-6DEFF959A3F4}"/>
            </a:ext>
          </a:extLst>
        </xdr:cNvPr>
        <xdr:cNvCxnSpPr/>
      </xdr:nvCxnSpPr>
      <xdr:spPr>
        <a:xfrm>
          <a:off x="2165311" y="20036340"/>
          <a:ext cx="602027" cy="8159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297656</xdr:colOff>
      <xdr:row>49</xdr:row>
      <xdr:rowOff>166687</xdr:rowOff>
    </xdr:from>
    <xdr:to>
      <xdr:col>18</xdr:col>
      <xdr:colOff>315685</xdr:colOff>
      <xdr:row>51</xdr:row>
      <xdr:rowOff>228600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BEBDB1FF-513E-4E42-BA4D-62C766114263}"/>
            </a:ext>
          </a:extLst>
        </xdr:cNvPr>
        <xdr:cNvCxnSpPr/>
      </xdr:nvCxnSpPr>
      <xdr:spPr>
        <a:xfrm flipH="1" flipV="1">
          <a:off x="10013156" y="10572750"/>
          <a:ext cx="1232467" cy="7881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340519</xdr:colOff>
      <xdr:row>49</xdr:row>
      <xdr:rowOff>159204</xdr:rowOff>
    </xdr:from>
    <xdr:to>
      <xdr:col>19</xdr:col>
      <xdr:colOff>297657</xdr:colOff>
      <xdr:row>49</xdr:row>
      <xdr:rowOff>166687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9B37F81E-38E1-4D8B-A0EA-341CCB9E734D}"/>
            </a:ext>
          </a:extLst>
        </xdr:cNvPr>
        <xdr:cNvCxnSpPr/>
      </xdr:nvCxnSpPr>
      <xdr:spPr>
        <a:xfrm>
          <a:off x="11270457" y="10565267"/>
          <a:ext cx="564356" cy="74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305820</xdr:colOff>
      <xdr:row>50</xdr:row>
      <xdr:rowOff>226218</xdr:rowOff>
    </xdr:from>
    <xdr:to>
      <xdr:col>17</xdr:col>
      <xdr:colOff>285750</xdr:colOff>
      <xdr:row>51</xdr:row>
      <xdr:rowOff>211931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3B20E1C4-5A96-404F-B470-F1648FE7B460}"/>
            </a:ext>
          </a:extLst>
        </xdr:cNvPr>
        <xdr:cNvCxnSpPr/>
      </xdr:nvCxnSpPr>
      <xdr:spPr>
        <a:xfrm flipV="1">
          <a:off x="9414101" y="10989468"/>
          <a:ext cx="1194368" cy="3548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9292</xdr:colOff>
      <xdr:row>57</xdr:row>
      <xdr:rowOff>9293</xdr:rowOff>
    </xdr:from>
    <xdr:ext cx="47506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FBD74DFD-8639-41FB-867D-99B7CF5214BF}"/>
                </a:ext>
              </a:extLst>
            </xdr:cNvPr>
            <xdr:cNvSpPr txBox="1"/>
          </xdr:nvSpPr>
          <xdr:spPr>
            <a:xfrm>
              <a:off x="616511" y="12772793"/>
              <a:ext cx="4750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=−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FBD74DFD-8639-41FB-867D-99B7CF5214BF}"/>
                </a:ext>
              </a:extLst>
            </xdr:cNvPr>
            <xdr:cNvSpPr txBox="1"/>
          </xdr:nvSpPr>
          <xdr:spPr>
            <a:xfrm>
              <a:off x="616511" y="12772793"/>
              <a:ext cx="4750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=−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58</xdr:row>
      <xdr:rowOff>0</xdr:rowOff>
    </xdr:from>
    <xdr:ext cx="323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A3FCEEBA-307D-4687-BEDF-C2283D58FD7E}"/>
                </a:ext>
              </a:extLst>
            </xdr:cNvPr>
            <xdr:cNvSpPr txBox="1"/>
          </xdr:nvSpPr>
          <xdr:spPr>
            <a:xfrm>
              <a:off x="607219" y="13132594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</a:t>
              </a:r>
              <a:r>
                <a:rPr lang="ru-RU" sz="1100"/>
                <a:t>1</a:t>
              </a:r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A3FCEEBA-307D-4687-BEDF-C2283D58FD7E}"/>
                </a:ext>
              </a:extLst>
            </xdr:cNvPr>
            <xdr:cNvSpPr txBox="1"/>
          </xdr:nvSpPr>
          <xdr:spPr>
            <a:xfrm>
              <a:off x="607219" y="13132594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</a:t>
              </a:r>
              <a:r>
                <a:rPr lang="ru-RU" sz="1100"/>
                <a:t>1</a:t>
              </a:r>
            </a:p>
          </xdr:txBody>
        </xdr:sp>
      </mc:Fallback>
    </mc:AlternateContent>
    <xdr:clientData/>
  </xdr:oneCellAnchor>
  <xdr:oneCellAnchor>
    <xdr:from>
      <xdr:col>2</xdr:col>
      <xdr:colOff>11907</xdr:colOff>
      <xdr:row>59</xdr:row>
      <xdr:rowOff>23813</xdr:rowOff>
    </xdr:from>
    <xdr:ext cx="3230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4318A17B-470C-4975-9FD6-1F31E0BE1D08}"/>
                </a:ext>
              </a:extLst>
            </xdr:cNvPr>
            <xdr:cNvSpPr txBox="1"/>
          </xdr:nvSpPr>
          <xdr:spPr>
            <a:xfrm>
              <a:off x="1226345" y="13525501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3</a:t>
              </a:r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4318A17B-470C-4975-9FD6-1F31E0BE1D08}"/>
                </a:ext>
              </a:extLst>
            </xdr:cNvPr>
            <xdr:cNvSpPr txBox="1"/>
          </xdr:nvSpPr>
          <xdr:spPr>
            <a:xfrm>
              <a:off x="1226345" y="13525501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3</a:t>
              </a:r>
            </a:p>
          </xdr:txBody>
        </xdr:sp>
      </mc:Fallback>
    </mc:AlternateContent>
    <xdr:clientData/>
  </xdr:oneCellAnchor>
  <xdr:oneCellAnchor>
    <xdr:from>
      <xdr:col>2</xdr:col>
      <xdr:colOff>0</xdr:colOff>
      <xdr:row>58</xdr:row>
      <xdr:rowOff>0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E7A07879-D742-41DD-845E-CE8CDAF1B6DA}"/>
                </a:ext>
              </a:extLst>
            </xdr:cNvPr>
            <xdr:cNvSpPr txBox="1"/>
          </xdr:nvSpPr>
          <xdr:spPr>
            <a:xfrm>
              <a:off x="1226634" y="13437220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=3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E7A07879-D742-41DD-845E-CE8CDAF1B6DA}"/>
                </a:ext>
              </a:extLst>
            </xdr:cNvPr>
            <xdr:cNvSpPr txBox="1"/>
          </xdr:nvSpPr>
          <xdr:spPr>
            <a:xfrm>
              <a:off x="1226634" y="13437220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56</xdr:row>
      <xdr:rowOff>0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3430709-24DF-4D4B-B42E-4648A2D061B8}"/>
                </a:ext>
              </a:extLst>
            </xdr:cNvPr>
            <xdr:cNvSpPr txBox="1"/>
          </xdr:nvSpPr>
          <xdr:spPr>
            <a:xfrm>
              <a:off x="1839951" y="12712390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83430709-24DF-4D4B-B42E-4648A2D061B8}"/>
                </a:ext>
              </a:extLst>
            </xdr:cNvPr>
            <xdr:cNvSpPr txBox="1"/>
          </xdr:nvSpPr>
          <xdr:spPr>
            <a:xfrm>
              <a:off x="1839951" y="12712390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56</xdr:row>
      <xdr:rowOff>0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3B9044CF-B64E-4AE8-A675-78DA3E5BD861}"/>
                </a:ext>
              </a:extLst>
            </xdr:cNvPr>
            <xdr:cNvSpPr txBox="1"/>
          </xdr:nvSpPr>
          <xdr:spPr>
            <a:xfrm>
              <a:off x="2428875" y="12394406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3B9044CF-B64E-4AE8-A675-78DA3E5BD861}"/>
                </a:ext>
              </a:extLst>
            </xdr:cNvPr>
            <xdr:cNvSpPr txBox="1"/>
          </xdr:nvSpPr>
          <xdr:spPr>
            <a:xfrm>
              <a:off x="2428875" y="12394406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58</xdr:row>
      <xdr:rowOff>0</xdr:rowOff>
    </xdr:from>
    <xdr:ext cx="47506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14B3C515-6D07-4876-A227-DDB34DD1AC1A}"/>
                </a:ext>
              </a:extLst>
            </xdr:cNvPr>
            <xdr:cNvSpPr txBox="1"/>
          </xdr:nvSpPr>
          <xdr:spPr>
            <a:xfrm>
              <a:off x="2428875" y="13132594"/>
              <a:ext cx="4750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14B3C515-6D07-4876-A227-DDB34DD1AC1A}"/>
                </a:ext>
              </a:extLst>
            </xdr:cNvPr>
            <xdr:cNvSpPr txBox="1"/>
          </xdr:nvSpPr>
          <xdr:spPr>
            <a:xfrm>
              <a:off x="2428875" y="13132594"/>
              <a:ext cx="4750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59</xdr:row>
      <xdr:rowOff>0</xdr:rowOff>
    </xdr:from>
    <xdr:ext cx="323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CFCDE58-F980-4B63-8094-A53587878397}"/>
                </a:ext>
              </a:extLst>
            </xdr:cNvPr>
            <xdr:cNvSpPr txBox="1"/>
          </xdr:nvSpPr>
          <xdr:spPr>
            <a:xfrm>
              <a:off x="1821656" y="13501688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</a:t>
              </a:r>
              <a:r>
                <a:rPr lang="ru-RU" sz="1100"/>
                <a:t>6</a:t>
              </a:r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CFCDE58-F980-4B63-8094-A53587878397}"/>
                </a:ext>
              </a:extLst>
            </xdr:cNvPr>
            <xdr:cNvSpPr txBox="1"/>
          </xdr:nvSpPr>
          <xdr:spPr>
            <a:xfrm>
              <a:off x="1821656" y="13501688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</a:t>
              </a:r>
              <a:r>
                <a:rPr lang="ru-RU" sz="1100"/>
                <a:t>6</a:t>
              </a:r>
            </a:p>
          </xdr:txBody>
        </xdr:sp>
      </mc:Fallback>
    </mc:AlternateContent>
    <xdr:clientData/>
  </xdr:oneCellAnchor>
  <xdr:oneCellAnchor>
    <xdr:from>
      <xdr:col>5</xdr:col>
      <xdr:colOff>0</xdr:colOff>
      <xdr:row>56</xdr:row>
      <xdr:rowOff>0</xdr:rowOff>
    </xdr:from>
    <xdr:ext cx="323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43C9938-7E2D-4B03-A4B9-18D32BF4D7DB}"/>
                </a:ext>
              </a:extLst>
            </xdr:cNvPr>
            <xdr:cNvSpPr txBox="1"/>
          </xdr:nvSpPr>
          <xdr:spPr>
            <a:xfrm>
              <a:off x="3066585" y="12712390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3</a:t>
              </a:r>
              <a:endParaRPr lang="ru-RU" sz="1100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43C9938-7E2D-4B03-A4B9-18D32BF4D7DB}"/>
                </a:ext>
              </a:extLst>
            </xdr:cNvPr>
            <xdr:cNvSpPr txBox="1"/>
          </xdr:nvSpPr>
          <xdr:spPr>
            <a:xfrm>
              <a:off x="3066585" y="12712390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58</xdr:row>
      <xdr:rowOff>0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0651C3A-8266-4417-942A-393F463F4D82}"/>
                </a:ext>
              </a:extLst>
            </xdr:cNvPr>
            <xdr:cNvSpPr txBox="1"/>
          </xdr:nvSpPr>
          <xdr:spPr>
            <a:xfrm>
              <a:off x="3066585" y="13437220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0651C3A-8266-4417-942A-393F463F4D82}"/>
                </a:ext>
              </a:extLst>
            </xdr:cNvPr>
            <xdr:cNvSpPr txBox="1"/>
          </xdr:nvSpPr>
          <xdr:spPr>
            <a:xfrm>
              <a:off x="3066585" y="13437220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297656</xdr:colOff>
      <xdr:row>59</xdr:row>
      <xdr:rowOff>95250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346830F0-4EA0-4E9E-AF36-4CCB72B761A3}"/>
                </a:ext>
              </a:extLst>
            </xdr:cNvPr>
            <xdr:cNvSpPr txBox="1"/>
          </xdr:nvSpPr>
          <xdr:spPr>
            <a:xfrm>
              <a:off x="2726531" y="13596938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+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346830F0-4EA0-4E9E-AF36-4CCB72B761A3}"/>
                </a:ext>
              </a:extLst>
            </xdr:cNvPr>
            <xdr:cNvSpPr txBox="1"/>
          </xdr:nvSpPr>
          <xdr:spPr>
            <a:xfrm>
              <a:off x="2726531" y="13596938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+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71437</xdr:colOff>
      <xdr:row>57</xdr:row>
      <xdr:rowOff>71438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55DD78D0-8FEF-4669-9761-6806F584B999}"/>
                </a:ext>
              </a:extLst>
            </xdr:cNvPr>
            <xdr:cNvSpPr txBox="1"/>
          </xdr:nvSpPr>
          <xdr:spPr>
            <a:xfrm>
              <a:off x="678656" y="12834938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+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55DD78D0-8FEF-4669-9761-6806F584B999}"/>
                </a:ext>
              </a:extLst>
            </xdr:cNvPr>
            <xdr:cNvSpPr txBox="1"/>
          </xdr:nvSpPr>
          <xdr:spPr>
            <a:xfrm>
              <a:off x="678656" y="12834938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+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4</xdr:col>
      <xdr:colOff>305572</xdr:colOff>
      <xdr:row>56</xdr:row>
      <xdr:rowOff>335774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AFEAF5B8-33E6-465F-8DC9-A9E0A3B46FA1}"/>
                </a:ext>
              </a:extLst>
            </xdr:cNvPr>
            <xdr:cNvSpPr txBox="1"/>
          </xdr:nvSpPr>
          <xdr:spPr>
            <a:xfrm>
              <a:off x="2663653" y="13052936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AFEAF5B8-33E6-465F-8DC9-A9E0A3B46FA1}"/>
                </a:ext>
              </a:extLst>
            </xdr:cNvPr>
            <xdr:cNvSpPr txBox="1"/>
          </xdr:nvSpPr>
          <xdr:spPr>
            <a:xfrm>
              <a:off x="2663653" y="13052936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173830</xdr:colOff>
      <xdr:row>59</xdr:row>
      <xdr:rowOff>102394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426EDB3C-C5F0-4A1A-9E37-B6010945AD4F}"/>
                </a:ext>
              </a:extLst>
            </xdr:cNvPr>
            <xdr:cNvSpPr txBox="1"/>
          </xdr:nvSpPr>
          <xdr:spPr>
            <a:xfrm>
              <a:off x="781049" y="13604082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426EDB3C-C5F0-4A1A-9E37-B6010945AD4F}"/>
                </a:ext>
              </a:extLst>
            </xdr:cNvPr>
            <xdr:cNvSpPr txBox="1"/>
          </xdr:nvSpPr>
          <xdr:spPr>
            <a:xfrm>
              <a:off x="781049" y="13604082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0</xdr:colOff>
      <xdr:row>58</xdr:row>
      <xdr:rowOff>0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F815598E-39E5-4B03-BD73-37BF0D0EAA3A}"/>
                </a:ext>
              </a:extLst>
            </xdr:cNvPr>
            <xdr:cNvSpPr txBox="1"/>
          </xdr:nvSpPr>
          <xdr:spPr>
            <a:xfrm>
              <a:off x="1214438" y="13132594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=3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F815598E-39E5-4B03-BD73-37BF0D0EAA3A}"/>
                </a:ext>
              </a:extLst>
            </xdr:cNvPr>
            <xdr:cNvSpPr txBox="1"/>
          </xdr:nvSpPr>
          <xdr:spPr>
            <a:xfrm>
              <a:off x="1214438" y="13132594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56</xdr:row>
      <xdr:rowOff>0</xdr:rowOff>
    </xdr:from>
    <xdr:ext cx="3230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4A0EEA4C-D9E2-4F2E-A33D-C6544043F2D7}"/>
                </a:ext>
              </a:extLst>
            </xdr:cNvPr>
            <xdr:cNvSpPr txBox="1"/>
          </xdr:nvSpPr>
          <xdr:spPr>
            <a:xfrm>
              <a:off x="6679406" y="12394406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en-US" sz="11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2</a:t>
              </a: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4A0EEA4C-D9E2-4F2E-A33D-C6544043F2D7}"/>
                </a:ext>
              </a:extLst>
            </xdr:cNvPr>
            <xdr:cNvSpPr txBox="1"/>
          </xdr:nvSpPr>
          <xdr:spPr>
            <a:xfrm>
              <a:off x="6679406" y="12394406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 </a:t>
              </a:r>
              <a:r>
                <a:rPr lang="ru-RU" sz="1100"/>
                <a:t>2</a:t>
              </a:r>
            </a:p>
          </xdr:txBody>
        </xdr:sp>
      </mc:Fallback>
    </mc:AlternateContent>
    <xdr:clientData/>
  </xdr:oneCellAnchor>
  <xdr:oneCellAnchor>
    <xdr:from>
      <xdr:col>8</xdr:col>
      <xdr:colOff>11906</xdr:colOff>
      <xdr:row>56</xdr:row>
      <xdr:rowOff>11907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FBBE18F-6FDE-4041-AE59-5F3D232BF445}"/>
                </a:ext>
              </a:extLst>
            </xdr:cNvPr>
            <xdr:cNvSpPr txBox="1"/>
          </xdr:nvSpPr>
          <xdr:spPr>
            <a:xfrm>
              <a:off x="4869656" y="12406313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FBBE18F-6FDE-4041-AE59-5F3D232BF445}"/>
                </a:ext>
              </a:extLst>
            </xdr:cNvPr>
            <xdr:cNvSpPr txBox="1"/>
          </xdr:nvSpPr>
          <xdr:spPr>
            <a:xfrm>
              <a:off x="4869656" y="12406313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58</xdr:row>
      <xdr:rowOff>0</xdr:rowOff>
    </xdr:from>
    <xdr:ext cx="3230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10CFCF9-7AD7-4841-843A-AFE4A6631106}"/>
                </a:ext>
              </a:extLst>
            </xdr:cNvPr>
            <xdr:cNvSpPr txBox="1"/>
          </xdr:nvSpPr>
          <xdr:spPr>
            <a:xfrm>
              <a:off x="6679406" y="13132594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 </m:t>
                  </m:r>
                </m:oMath>
              </a14:m>
              <a:r>
                <a:rPr lang="ru-RU" sz="1100"/>
                <a:t>1</a:t>
              </a: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10CFCF9-7AD7-4841-843A-AFE4A6631106}"/>
                </a:ext>
              </a:extLst>
            </xdr:cNvPr>
            <xdr:cNvSpPr txBox="1"/>
          </xdr:nvSpPr>
          <xdr:spPr>
            <a:xfrm>
              <a:off x="6679406" y="13132594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 </a:t>
              </a:r>
              <a:r>
                <a:rPr lang="ru-RU" sz="1100"/>
                <a:t>1</a:t>
              </a:r>
            </a:p>
          </xdr:txBody>
        </xdr:sp>
      </mc:Fallback>
    </mc:AlternateContent>
    <xdr:clientData/>
  </xdr:oneCellAnchor>
  <xdr:oneCellAnchor>
    <xdr:from>
      <xdr:col>10</xdr:col>
      <xdr:colOff>0</xdr:colOff>
      <xdr:row>59</xdr:row>
      <xdr:rowOff>0</xdr:rowOff>
    </xdr:from>
    <xdr:ext cx="323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968A4C0C-C3E2-4384-B030-82AA0EBFE15F}"/>
                </a:ext>
              </a:extLst>
            </xdr:cNvPr>
            <xdr:cNvSpPr txBox="1"/>
          </xdr:nvSpPr>
          <xdr:spPr>
            <a:xfrm>
              <a:off x="6072188" y="13501688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</a:t>
              </a:r>
              <a:r>
                <a:rPr lang="ru-RU" sz="1100"/>
                <a:t>4</a:t>
              </a: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968A4C0C-C3E2-4384-B030-82AA0EBFE15F}"/>
                </a:ext>
              </a:extLst>
            </xdr:cNvPr>
            <xdr:cNvSpPr txBox="1"/>
          </xdr:nvSpPr>
          <xdr:spPr>
            <a:xfrm>
              <a:off x="6072188" y="13501688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</a:t>
              </a:r>
              <a:r>
                <a:rPr lang="ru-RU" sz="1100"/>
                <a:t>4</a:t>
              </a:r>
            </a:p>
          </xdr:txBody>
        </xdr:sp>
      </mc:Fallback>
    </mc:AlternateContent>
    <xdr:clientData/>
  </xdr:oneCellAnchor>
  <xdr:oneCellAnchor>
    <xdr:from>
      <xdr:col>12</xdr:col>
      <xdr:colOff>0</xdr:colOff>
      <xdr:row>56</xdr:row>
      <xdr:rowOff>0</xdr:rowOff>
    </xdr:from>
    <xdr:ext cx="323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261D665C-81A1-47BE-8186-4248FC68D2DF}"/>
                </a:ext>
              </a:extLst>
            </xdr:cNvPr>
            <xdr:cNvSpPr txBox="1"/>
          </xdr:nvSpPr>
          <xdr:spPr>
            <a:xfrm>
              <a:off x="3036094" y="12394406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3</a:t>
              </a:r>
              <a:endParaRPr lang="ru-RU" sz="1100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261D665C-81A1-47BE-8186-4248FC68D2DF}"/>
                </a:ext>
              </a:extLst>
            </xdr:cNvPr>
            <xdr:cNvSpPr txBox="1"/>
          </xdr:nvSpPr>
          <xdr:spPr>
            <a:xfrm>
              <a:off x="3036094" y="12394406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58</xdr:row>
      <xdr:rowOff>0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5B06CD9-0988-4C38-B910-B33A34184F49}"/>
                </a:ext>
              </a:extLst>
            </xdr:cNvPr>
            <xdr:cNvSpPr txBox="1"/>
          </xdr:nvSpPr>
          <xdr:spPr>
            <a:xfrm>
              <a:off x="3036094" y="13132594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5B06CD9-0988-4C38-B910-B33A34184F49}"/>
                </a:ext>
              </a:extLst>
            </xdr:cNvPr>
            <xdr:cNvSpPr txBox="1"/>
          </xdr:nvSpPr>
          <xdr:spPr>
            <a:xfrm>
              <a:off x="3036094" y="13132594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11906</xdr:colOff>
      <xdr:row>56</xdr:row>
      <xdr:rowOff>47626</xdr:rowOff>
    </xdr:from>
    <xdr:ext cx="47506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84F02481-091E-4F9D-8F27-11E6A8838669}"/>
                </a:ext>
              </a:extLst>
            </xdr:cNvPr>
            <xdr:cNvSpPr txBox="1"/>
          </xdr:nvSpPr>
          <xdr:spPr>
            <a:xfrm>
              <a:off x="619125" y="12442032"/>
              <a:ext cx="4750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=−1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84F02481-091E-4F9D-8F27-11E6A8838669}"/>
                </a:ext>
              </a:extLst>
            </xdr:cNvPr>
            <xdr:cNvSpPr txBox="1"/>
          </xdr:nvSpPr>
          <xdr:spPr>
            <a:xfrm>
              <a:off x="619125" y="12442032"/>
              <a:ext cx="4750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=−1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0</xdr:colOff>
      <xdr:row>58</xdr:row>
      <xdr:rowOff>0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406801F1-8354-4ABB-B12A-46A0E8DE6943}"/>
                </a:ext>
              </a:extLst>
            </xdr:cNvPr>
            <xdr:cNvSpPr txBox="1"/>
          </xdr:nvSpPr>
          <xdr:spPr>
            <a:xfrm>
              <a:off x="4857750" y="13132594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=3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406801F1-8354-4ABB-B12A-46A0E8DE6943}"/>
                </a:ext>
              </a:extLst>
            </xdr:cNvPr>
            <xdr:cNvSpPr txBox="1"/>
          </xdr:nvSpPr>
          <xdr:spPr>
            <a:xfrm>
              <a:off x="4857750" y="13132594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59</xdr:row>
      <xdr:rowOff>0</xdr:rowOff>
    </xdr:from>
    <xdr:ext cx="3557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6CFAF6C8-2154-439D-8CF6-F381E4AAD40A}"/>
                </a:ext>
              </a:extLst>
            </xdr:cNvPr>
            <xdr:cNvSpPr txBox="1"/>
          </xdr:nvSpPr>
          <xdr:spPr>
            <a:xfrm>
              <a:off x="5464969" y="13501688"/>
              <a:ext cx="3557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ru-RU" sz="1100"/>
                <a:t>  1</a:t>
              </a:r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6CFAF6C8-2154-439D-8CF6-F381E4AAD40A}"/>
                </a:ext>
              </a:extLst>
            </xdr:cNvPr>
            <xdr:cNvSpPr txBox="1"/>
          </xdr:nvSpPr>
          <xdr:spPr>
            <a:xfrm>
              <a:off x="5464969" y="13501688"/>
              <a:ext cx="3557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/>
                <a:t>  1</a:t>
              </a:r>
            </a:p>
          </xdr:txBody>
        </xdr:sp>
      </mc:Fallback>
    </mc:AlternateContent>
    <xdr:clientData/>
  </xdr:oneCellAnchor>
  <xdr:oneCellAnchor>
    <xdr:from>
      <xdr:col>5</xdr:col>
      <xdr:colOff>0</xdr:colOff>
      <xdr:row>59</xdr:row>
      <xdr:rowOff>0</xdr:rowOff>
    </xdr:from>
    <xdr:ext cx="323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FD1CB3E9-04F9-44C1-B563-0ABAB81D727A}"/>
                </a:ext>
              </a:extLst>
            </xdr:cNvPr>
            <xdr:cNvSpPr txBox="1"/>
          </xdr:nvSpPr>
          <xdr:spPr>
            <a:xfrm>
              <a:off x="3036094" y="13501688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</a:t>
              </a:r>
              <a:r>
                <a:rPr lang="ru-RU" sz="1100"/>
                <a:t>3</a:t>
              </a:r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FD1CB3E9-04F9-44C1-B563-0ABAB81D727A}"/>
                </a:ext>
              </a:extLst>
            </xdr:cNvPr>
            <xdr:cNvSpPr txBox="1"/>
          </xdr:nvSpPr>
          <xdr:spPr>
            <a:xfrm>
              <a:off x="3036094" y="13501688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</a:t>
              </a:r>
              <a:r>
                <a:rPr lang="ru-RU" sz="1100"/>
                <a:t>3</a:t>
              </a:r>
            </a:p>
          </xdr:txBody>
        </xdr:sp>
      </mc:Fallback>
    </mc:AlternateContent>
    <xdr:clientData/>
  </xdr:oneCellAnchor>
  <xdr:oneCellAnchor>
    <xdr:from>
      <xdr:col>12</xdr:col>
      <xdr:colOff>0</xdr:colOff>
      <xdr:row>59</xdr:row>
      <xdr:rowOff>0</xdr:rowOff>
    </xdr:from>
    <xdr:ext cx="32387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4F8A49C4-138A-4876-9E5E-20C8BE04FD0B}"/>
                </a:ext>
              </a:extLst>
            </xdr:cNvPr>
            <xdr:cNvSpPr txBox="1"/>
          </xdr:nvSpPr>
          <xdr:spPr>
            <a:xfrm>
              <a:off x="7286625" y="13501688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ru-RU" sz="1100"/>
                <a:t> 1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4F8A49C4-138A-4876-9E5E-20C8BE04FD0B}"/>
                </a:ext>
              </a:extLst>
            </xdr:cNvPr>
            <xdr:cNvSpPr txBox="1"/>
          </xdr:nvSpPr>
          <xdr:spPr>
            <a:xfrm>
              <a:off x="7286625" y="13501688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/>
                <a:t> 1</a:t>
              </a:r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</xdr:col>
      <xdr:colOff>285750</xdr:colOff>
      <xdr:row>57</xdr:row>
      <xdr:rowOff>202407</xdr:rowOff>
    </xdr:from>
    <xdr:to>
      <xdr:col>1</xdr:col>
      <xdr:colOff>291872</xdr:colOff>
      <xdr:row>59</xdr:row>
      <xdr:rowOff>202406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C2C4049E-2ABC-43E2-92D6-D49645A7072C}"/>
            </a:ext>
          </a:extLst>
        </xdr:cNvPr>
        <xdr:cNvCxnSpPr/>
      </xdr:nvCxnSpPr>
      <xdr:spPr>
        <a:xfrm flipH="1">
          <a:off x="892969" y="12965907"/>
          <a:ext cx="6122" cy="7381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327591</xdr:colOff>
      <xdr:row>59</xdr:row>
      <xdr:rowOff>178594</xdr:rowOff>
    </xdr:from>
    <xdr:to>
      <xdr:col>4</xdr:col>
      <xdr:colOff>333375</xdr:colOff>
      <xdr:row>59</xdr:row>
      <xdr:rowOff>190500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B722F7CF-7459-49D4-9B5F-5E2E29BBDD6C}"/>
            </a:ext>
          </a:extLst>
        </xdr:cNvPr>
        <xdr:cNvCxnSpPr/>
      </xdr:nvCxnSpPr>
      <xdr:spPr>
        <a:xfrm>
          <a:off x="934810" y="13680282"/>
          <a:ext cx="182744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363309</xdr:colOff>
      <xdr:row>57</xdr:row>
      <xdr:rowOff>142875</xdr:rowOff>
    </xdr:from>
    <xdr:to>
      <xdr:col>4</xdr:col>
      <xdr:colOff>369094</xdr:colOff>
      <xdr:row>59</xdr:row>
      <xdr:rowOff>190500</xdr:rowOff>
    </xdr:to>
    <xdr:cxnSp macro="">
      <xdr:nvCxnSpPr>
        <xdr:cNvPr id="23" name="Прямая со стрелкой 22">
          <a:extLst>
            <a:ext uri="{FF2B5EF4-FFF2-40B4-BE49-F238E27FC236}">
              <a16:creationId xmlns:a16="http://schemas.microsoft.com/office/drawing/2014/main" id="{CBADFD6F-48E5-4A69-9F75-1802D32CA727}"/>
            </a:ext>
          </a:extLst>
        </xdr:cNvPr>
        <xdr:cNvCxnSpPr/>
      </xdr:nvCxnSpPr>
      <xdr:spPr>
        <a:xfrm flipV="1">
          <a:off x="2792184" y="12906375"/>
          <a:ext cx="5785" cy="7858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273844</xdr:colOff>
      <xdr:row>57</xdr:row>
      <xdr:rowOff>142875</xdr:rowOff>
    </xdr:from>
    <xdr:to>
      <xdr:col>4</xdr:col>
      <xdr:colOff>363309</xdr:colOff>
      <xdr:row>57</xdr:row>
      <xdr:rowOff>142875</xdr:rowOff>
    </xdr:to>
    <xdr:cxnSp macro="">
      <xdr:nvCxnSpPr>
        <xdr:cNvPr id="32" name="Прямая со стрелкой 31">
          <a:extLst>
            <a:ext uri="{FF2B5EF4-FFF2-40B4-BE49-F238E27FC236}">
              <a16:creationId xmlns:a16="http://schemas.microsoft.com/office/drawing/2014/main" id="{41FC1917-F9BF-488C-8B79-9E8F618E521D}"/>
            </a:ext>
          </a:extLst>
        </xdr:cNvPr>
        <xdr:cNvCxnSpPr/>
      </xdr:nvCxnSpPr>
      <xdr:spPr>
        <a:xfrm flipH="1">
          <a:off x="881063" y="12906375"/>
          <a:ext cx="191112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0</xdr:colOff>
      <xdr:row>56</xdr:row>
      <xdr:rowOff>0</xdr:rowOff>
    </xdr:from>
    <xdr:ext cx="38735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EBD84070-3521-4E3D-AE8F-56C4EA62DA7A}"/>
                </a:ext>
              </a:extLst>
            </xdr:cNvPr>
            <xdr:cNvSpPr txBox="1"/>
          </xdr:nvSpPr>
          <xdr:spPr>
            <a:xfrm>
              <a:off x="6072188" y="12394406"/>
              <a:ext cx="38735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ru-RU" sz="1100" b="0">
                <a:ea typeface="Cambria Math" panose="02040503050406030204" pitchFamily="18" charset="0"/>
              </a:endParaRP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EBD84070-3521-4E3D-AE8F-56C4EA62DA7A}"/>
                </a:ext>
              </a:extLst>
            </xdr:cNvPr>
            <xdr:cNvSpPr txBox="1"/>
          </xdr:nvSpPr>
          <xdr:spPr>
            <a:xfrm>
              <a:off x="6072188" y="12394406"/>
              <a:ext cx="38735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endParaRPr lang="ru-RU" sz="1100" b="0">
                <a:ea typeface="Cambria Math" panose="02040503050406030204" pitchFamily="18" charset="0"/>
              </a:endParaRPr>
            </a:p>
            <a:p>
              <a:pPr/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57</xdr:row>
      <xdr:rowOff>0</xdr:rowOff>
    </xdr:from>
    <xdr:ext cx="32387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E67FE14B-D73B-4B9D-908A-9184BA87299F}"/>
                </a:ext>
              </a:extLst>
            </xdr:cNvPr>
            <xdr:cNvSpPr txBox="1"/>
          </xdr:nvSpPr>
          <xdr:spPr>
            <a:xfrm>
              <a:off x="6679406" y="12763500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ru-RU" sz="1100"/>
                <a:t> 2</a:t>
              </a: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E67FE14B-D73B-4B9D-908A-9184BA87299F}"/>
                </a:ext>
              </a:extLst>
            </xdr:cNvPr>
            <xdr:cNvSpPr txBox="1"/>
          </xdr:nvSpPr>
          <xdr:spPr>
            <a:xfrm>
              <a:off x="6679406" y="12763500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/>
                <a:t> 2</a:t>
              </a:r>
            </a:p>
            <a:p>
              <a:pPr/>
              <a:endParaRPr lang="ru-RU" sz="1100"/>
            </a:p>
          </xdr:txBody>
        </xdr:sp>
      </mc:Fallback>
    </mc:AlternateContent>
    <xdr:clientData/>
  </xdr:oneCellAnchor>
  <xdr:twoCellAnchor>
    <xdr:from>
      <xdr:col>17</xdr:col>
      <xdr:colOff>269630</xdr:colOff>
      <xdr:row>112</xdr:row>
      <xdr:rowOff>164123</xdr:rowOff>
    </xdr:from>
    <xdr:to>
      <xdr:col>18</xdr:col>
      <xdr:colOff>322828</xdr:colOff>
      <xdr:row>112</xdr:row>
      <xdr:rowOff>164123</xdr:rowOff>
    </xdr:to>
    <xdr:cxnSp macro="">
      <xdr:nvCxnSpPr>
        <xdr:cNvPr id="38" name="Прямая со стрелкой 37">
          <a:extLst>
            <a:ext uri="{FF2B5EF4-FFF2-40B4-BE49-F238E27FC236}">
              <a16:creationId xmlns:a16="http://schemas.microsoft.com/office/drawing/2014/main" id="{F347FE1A-1007-42BD-A6C9-EB9EAEB8872B}"/>
            </a:ext>
          </a:extLst>
        </xdr:cNvPr>
        <xdr:cNvCxnSpPr/>
      </xdr:nvCxnSpPr>
      <xdr:spPr>
        <a:xfrm flipH="1">
          <a:off x="10421815" y="25943169"/>
          <a:ext cx="66279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287658</xdr:colOff>
      <xdr:row>112</xdr:row>
      <xdr:rowOff>187570</xdr:rowOff>
    </xdr:from>
    <xdr:to>
      <xdr:col>17</xdr:col>
      <xdr:colOff>293077</xdr:colOff>
      <xdr:row>115</xdr:row>
      <xdr:rowOff>187570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4CD3C595-D4D2-4688-B998-2612EE541854}"/>
            </a:ext>
          </a:extLst>
        </xdr:cNvPr>
        <xdr:cNvCxnSpPr/>
      </xdr:nvCxnSpPr>
      <xdr:spPr>
        <a:xfrm>
          <a:off x="10439843" y="25966616"/>
          <a:ext cx="5419" cy="109024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322828</xdr:colOff>
      <xdr:row>114</xdr:row>
      <xdr:rowOff>199292</xdr:rowOff>
    </xdr:from>
    <xdr:to>
      <xdr:col>19</xdr:col>
      <xdr:colOff>316523</xdr:colOff>
      <xdr:row>115</xdr:row>
      <xdr:rowOff>164123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24A70457-23CB-4C36-B2F8-812350FB78A5}"/>
            </a:ext>
          </a:extLst>
        </xdr:cNvPr>
        <xdr:cNvCxnSpPr/>
      </xdr:nvCxnSpPr>
      <xdr:spPr>
        <a:xfrm flipV="1">
          <a:off x="10475013" y="26705169"/>
          <a:ext cx="1212895" cy="32824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322828</xdr:colOff>
      <xdr:row>113</xdr:row>
      <xdr:rowOff>175846</xdr:rowOff>
    </xdr:from>
    <xdr:to>
      <xdr:col>19</xdr:col>
      <xdr:colOff>328246</xdr:colOff>
      <xdr:row>114</xdr:row>
      <xdr:rowOff>211016</xdr:rowOff>
    </xdr:to>
    <xdr:cxnSp macro="">
      <xdr:nvCxnSpPr>
        <xdr:cNvPr id="58" name="Прямая со стрелкой 57">
          <a:extLst>
            <a:ext uri="{FF2B5EF4-FFF2-40B4-BE49-F238E27FC236}">
              <a16:creationId xmlns:a16="http://schemas.microsoft.com/office/drawing/2014/main" id="{17D0CF87-D73B-4CC3-8FF6-9CF289173620}"/>
            </a:ext>
          </a:extLst>
        </xdr:cNvPr>
        <xdr:cNvCxnSpPr/>
      </xdr:nvCxnSpPr>
      <xdr:spPr>
        <a:xfrm flipV="1">
          <a:off x="11694213" y="26318308"/>
          <a:ext cx="5418" cy="3985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322827</xdr:colOff>
      <xdr:row>113</xdr:row>
      <xdr:rowOff>164123</xdr:rowOff>
    </xdr:from>
    <xdr:to>
      <xdr:col>20</xdr:col>
      <xdr:colOff>328246</xdr:colOff>
      <xdr:row>115</xdr:row>
      <xdr:rowOff>199293</xdr:rowOff>
    </xdr:to>
    <xdr:cxnSp macro="">
      <xdr:nvCxnSpPr>
        <xdr:cNvPr id="64" name="Прямая со стрелкой 63">
          <a:extLst>
            <a:ext uri="{FF2B5EF4-FFF2-40B4-BE49-F238E27FC236}">
              <a16:creationId xmlns:a16="http://schemas.microsoft.com/office/drawing/2014/main" id="{E9A551C4-42B0-4675-BC39-4FB1BCDAD95B}"/>
            </a:ext>
          </a:extLst>
        </xdr:cNvPr>
        <xdr:cNvCxnSpPr/>
      </xdr:nvCxnSpPr>
      <xdr:spPr>
        <a:xfrm>
          <a:off x="11694212" y="26306585"/>
          <a:ext cx="615019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334551</xdr:colOff>
      <xdr:row>113</xdr:row>
      <xdr:rowOff>140676</xdr:rowOff>
    </xdr:from>
    <xdr:to>
      <xdr:col>21</xdr:col>
      <xdr:colOff>328246</xdr:colOff>
      <xdr:row>115</xdr:row>
      <xdr:rowOff>187570</xdr:rowOff>
    </xdr:to>
    <xdr:cxnSp macro="">
      <xdr:nvCxnSpPr>
        <xdr:cNvPr id="70" name="Прямая со стрелкой 69">
          <a:extLst>
            <a:ext uri="{FF2B5EF4-FFF2-40B4-BE49-F238E27FC236}">
              <a16:creationId xmlns:a16="http://schemas.microsoft.com/office/drawing/2014/main" id="{24C2ADF1-8F6F-4BF4-8D43-E5EC41D178A1}"/>
            </a:ext>
          </a:extLst>
        </xdr:cNvPr>
        <xdr:cNvCxnSpPr/>
      </xdr:nvCxnSpPr>
      <xdr:spPr>
        <a:xfrm flipV="1">
          <a:off x="12315536" y="26283138"/>
          <a:ext cx="603295" cy="7737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346274</xdr:colOff>
      <xdr:row>113</xdr:row>
      <xdr:rowOff>152400</xdr:rowOff>
    </xdr:from>
    <xdr:to>
      <xdr:col>22</xdr:col>
      <xdr:colOff>316523</xdr:colOff>
      <xdr:row>113</xdr:row>
      <xdr:rowOff>152400</xdr:rowOff>
    </xdr:to>
    <xdr:cxnSp macro="">
      <xdr:nvCxnSpPr>
        <xdr:cNvPr id="80" name="Прямая со стрелкой 79">
          <a:extLst>
            <a:ext uri="{FF2B5EF4-FFF2-40B4-BE49-F238E27FC236}">
              <a16:creationId xmlns:a16="http://schemas.microsoft.com/office/drawing/2014/main" id="{675CF8C9-C8E0-4556-A690-8C5C7DC622AC}"/>
            </a:ext>
          </a:extLst>
        </xdr:cNvPr>
        <xdr:cNvCxnSpPr/>
      </xdr:nvCxnSpPr>
      <xdr:spPr>
        <a:xfrm>
          <a:off x="12936859" y="26294862"/>
          <a:ext cx="5798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328246</xdr:colOff>
      <xdr:row>113</xdr:row>
      <xdr:rowOff>152400</xdr:rowOff>
    </xdr:from>
    <xdr:to>
      <xdr:col>22</xdr:col>
      <xdr:colOff>334551</xdr:colOff>
      <xdr:row>115</xdr:row>
      <xdr:rowOff>164123</xdr:rowOff>
    </xdr:to>
    <xdr:cxnSp macro="">
      <xdr:nvCxnSpPr>
        <xdr:cNvPr id="82" name="Прямая со стрелкой 81">
          <a:extLst>
            <a:ext uri="{FF2B5EF4-FFF2-40B4-BE49-F238E27FC236}">
              <a16:creationId xmlns:a16="http://schemas.microsoft.com/office/drawing/2014/main" id="{A22485A6-255E-40CF-A482-51EC8DBB41D1}"/>
            </a:ext>
          </a:extLst>
        </xdr:cNvPr>
        <xdr:cNvCxnSpPr/>
      </xdr:nvCxnSpPr>
      <xdr:spPr>
        <a:xfrm flipH="1">
          <a:off x="13528431" y="26294862"/>
          <a:ext cx="6305" cy="7385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24492</xdr:colOff>
      <xdr:row>119</xdr:row>
      <xdr:rowOff>4081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13D55E5F-8711-446C-B71B-D9FABF262FEE}"/>
                </a:ext>
              </a:extLst>
            </xdr:cNvPr>
            <xdr:cNvSpPr txBox="1"/>
          </xdr:nvSpPr>
          <xdr:spPr>
            <a:xfrm>
              <a:off x="9267552" y="42820861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13D55E5F-8711-446C-B71B-D9FABF262FEE}"/>
                </a:ext>
              </a:extLst>
            </xdr:cNvPr>
            <xdr:cNvSpPr txBox="1"/>
          </xdr:nvSpPr>
          <xdr:spPr>
            <a:xfrm>
              <a:off x="9267552" y="42820861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6833</xdr:colOff>
      <xdr:row>118</xdr:row>
      <xdr:rowOff>170925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428237B5-0C1B-44B1-9B8E-F601A396C328}"/>
                </a:ext>
              </a:extLst>
            </xdr:cNvPr>
            <xdr:cNvSpPr txBox="1"/>
          </xdr:nvSpPr>
          <xdr:spPr>
            <a:xfrm>
              <a:off x="1788741" y="27778771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428237B5-0C1B-44B1-9B8E-F601A396C328}"/>
                </a:ext>
              </a:extLst>
            </xdr:cNvPr>
            <xdr:cNvSpPr txBox="1"/>
          </xdr:nvSpPr>
          <xdr:spPr>
            <a:xfrm>
              <a:off x="1788741" y="27778771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8009</xdr:colOff>
      <xdr:row>120</xdr:row>
      <xdr:rowOff>6201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8ACCBFB-09D9-4491-901B-3CB477E95D41}"/>
                </a:ext>
              </a:extLst>
            </xdr:cNvPr>
            <xdr:cNvSpPr txBox="1"/>
          </xdr:nvSpPr>
          <xdr:spPr>
            <a:xfrm>
              <a:off x="617609" y="28165032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88ACCBFB-09D9-4491-901B-3CB477E95D41}"/>
                </a:ext>
              </a:extLst>
            </xdr:cNvPr>
            <xdr:cNvSpPr txBox="1"/>
          </xdr:nvSpPr>
          <xdr:spPr>
            <a:xfrm>
              <a:off x="617609" y="28165032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55255</xdr:colOff>
      <xdr:row>120</xdr:row>
      <xdr:rowOff>16504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93F7E4A-F3C7-4B41-BCCD-FE23DAF627EB}"/>
                </a:ext>
              </a:extLst>
            </xdr:cNvPr>
            <xdr:cNvSpPr txBox="1"/>
          </xdr:nvSpPr>
          <xdr:spPr>
            <a:xfrm>
              <a:off x="8079115" y="43199044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93F7E4A-F3C7-4B41-BCCD-FE23DAF627EB}"/>
                </a:ext>
              </a:extLst>
            </xdr:cNvPr>
            <xdr:cNvSpPr txBox="1"/>
          </xdr:nvSpPr>
          <xdr:spPr>
            <a:xfrm>
              <a:off x="8079115" y="43199044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4639</xdr:colOff>
      <xdr:row>121</xdr:row>
      <xdr:rowOff>4763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89EEE9A-FD50-45D3-BB7E-DA391A28B6DF}"/>
                </a:ext>
              </a:extLst>
            </xdr:cNvPr>
            <xdr:cNvSpPr txBox="1"/>
          </xdr:nvSpPr>
          <xdr:spPr>
            <a:xfrm>
              <a:off x="614239" y="28527009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=4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89EEE9A-FD50-45D3-BB7E-DA391A28B6DF}"/>
                </a:ext>
              </a:extLst>
            </xdr:cNvPr>
            <xdr:cNvSpPr txBox="1"/>
          </xdr:nvSpPr>
          <xdr:spPr>
            <a:xfrm>
              <a:off x="614239" y="28527009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=4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32180</xdr:colOff>
      <xdr:row>122</xdr:row>
      <xdr:rowOff>25970</xdr:rowOff>
    </xdr:from>
    <xdr:ext cx="32387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216587A5-81AA-41EF-92A7-B5A048B72049}"/>
                </a:ext>
              </a:extLst>
            </xdr:cNvPr>
            <xdr:cNvSpPr txBox="1"/>
          </xdr:nvSpPr>
          <xdr:spPr>
            <a:xfrm>
              <a:off x="1814088" y="28911632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3</a:t>
              </a: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216587A5-81AA-41EF-92A7-B5A048B72049}"/>
                </a:ext>
              </a:extLst>
            </xdr:cNvPr>
            <xdr:cNvSpPr txBox="1"/>
          </xdr:nvSpPr>
          <xdr:spPr>
            <a:xfrm>
              <a:off x="1814088" y="28911632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3</a:t>
              </a:r>
            </a:p>
            <a:p>
              <a:pPr/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52540</xdr:colOff>
      <xdr:row>122</xdr:row>
      <xdr:rowOff>19708</xdr:rowOff>
    </xdr:from>
    <xdr:ext cx="32387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AB487D79-12BC-43FB-87ED-A38E260B89C6}"/>
                </a:ext>
              </a:extLst>
            </xdr:cNvPr>
            <xdr:cNvSpPr txBox="1"/>
          </xdr:nvSpPr>
          <xdr:spPr>
            <a:xfrm>
              <a:off x="1213125" y="28905370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2</a:t>
              </a: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AB487D79-12BC-43FB-87ED-A38E260B89C6}"/>
                </a:ext>
              </a:extLst>
            </xdr:cNvPr>
            <xdr:cNvSpPr txBox="1"/>
          </xdr:nvSpPr>
          <xdr:spPr>
            <a:xfrm>
              <a:off x="1213125" y="28905370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2</a:t>
              </a:r>
            </a:p>
            <a:p>
              <a:pPr/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22845</xdr:colOff>
      <xdr:row>119</xdr:row>
      <xdr:rowOff>18228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CC0E898F-845C-4ABC-B238-1EAD62B9D554}"/>
                </a:ext>
              </a:extLst>
            </xdr:cNvPr>
            <xdr:cNvSpPr txBox="1"/>
          </xdr:nvSpPr>
          <xdr:spPr>
            <a:xfrm>
              <a:off x="3610107" y="27813643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CC0E898F-845C-4ABC-B238-1EAD62B9D554}"/>
                </a:ext>
              </a:extLst>
            </xdr:cNvPr>
            <xdr:cNvSpPr txBox="1"/>
          </xdr:nvSpPr>
          <xdr:spPr>
            <a:xfrm>
              <a:off x="3610107" y="27813643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6123</xdr:colOff>
      <xdr:row>121</xdr:row>
      <xdr:rowOff>1504</xdr:rowOff>
    </xdr:from>
    <xdr:ext cx="32387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E4DD02B8-C781-4E19-B041-8E07E2B0FFB8}"/>
                </a:ext>
              </a:extLst>
            </xdr:cNvPr>
            <xdr:cNvSpPr txBox="1"/>
          </xdr:nvSpPr>
          <xdr:spPr>
            <a:xfrm>
              <a:off x="3593385" y="28523750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1</a:t>
              </a: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E4DD02B8-C781-4E19-B041-8E07E2B0FFB8}"/>
                </a:ext>
              </a:extLst>
            </xdr:cNvPr>
            <xdr:cNvSpPr txBox="1"/>
          </xdr:nvSpPr>
          <xdr:spPr>
            <a:xfrm>
              <a:off x="3593385" y="28523750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1</a:t>
              </a:r>
            </a:p>
            <a:p>
              <a:pPr/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119</xdr:row>
      <xdr:rowOff>0</xdr:rowOff>
    </xdr:from>
    <xdr:ext cx="4365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BC230428-BEC6-4808-97E7-F9ED33F9A911}"/>
                </a:ext>
              </a:extLst>
            </xdr:cNvPr>
            <xdr:cNvSpPr txBox="1"/>
          </xdr:nvSpPr>
          <xdr:spPr>
            <a:xfrm>
              <a:off x="2965938" y="27795415"/>
              <a:ext cx="4365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=−</m:t>
                  </m:r>
                </m:oMath>
              </a14:m>
              <a:r>
                <a:rPr lang="en-US" sz="1100"/>
                <a:t>2</a:t>
              </a:r>
              <a:endParaRPr lang="ru-RU" sz="1100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BC230428-BEC6-4808-97E7-F9ED33F9A911}"/>
                </a:ext>
              </a:extLst>
            </xdr:cNvPr>
            <xdr:cNvSpPr txBox="1"/>
          </xdr:nvSpPr>
          <xdr:spPr>
            <a:xfrm>
              <a:off x="2965938" y="27795415"/>
              <a:ext cx="4365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=−</a:t>
              </a:r>
              <a:r>
                <a:rPr lang="en-US" sz="1100"/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121</xdr:row>
      <xdr:rowOff>0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963B70C-EE35-4C0D-B46E-B567AF3A3E9D}"/>
                </a:ext>
              </a:extLst>
            </xdr:cNvPr>
            <xdr:cNvSpPr txBox="1"/>
          </xdr:nvSpPr>
          <xdr:spPr>
            <a:xfrm>
              <a:off x="2356338" y="28522246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=2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963B70C-EE35-4C0D-B46E-B567AF3A3E9D}"/>
                </a:ext>
              </a:extLst>
            </xdr:cNvPr>
            <xdr:cNvSpPr txBox="1"/>
          </xdr:nvSpPr>
          <xdr:spPr>
            <a:xfrm>
              <a:off x="2356338" y="28522246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120</xdr:row>
      <xdr:rowOff>0</xdr:rowOff>
    </xdr:from>
    <xdr:ext cx="3230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2492F385-F4DC-4B30-88ED-3F849B9DBEB5}"/>
                </a:ext>
              </a:extLst>
            </xdr:cNvPr>
            <xdr:cNvSpPr txBox="1"/>
          </xdr:nvSpPr>
          <xdr:spPr>
            <a:xfrm>
              <a:off x="2356338" y="28158831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 </m:t>
                  </m:r>
                </m:oMath>
              </a14:m>
              <a:r>
                <a:rPr lang="en-US" sz="1100"/>
                <a:t>3</a:t>
              </a:r>
              <a:endParaRPr lang="ru-RU" sz="1100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2492F385-F4DC-4B30-88ED-3F849B9DBEB5}"/>
                </a:ext>
              </a:extLst>
            </xdr:cNvPr>
            <xdr:cNvSpPr txBox="1"/>
          </xdr:nvSpPr>
          <xdr:spPr>
            <a:xfrm>
              <a:off x="2356338" y="28158831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 </a:t>
              </a:r>
              <a:r>
                <a:rPr lang="en-US" sz="1100"/>
                <a:t>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122</xdr:row>
      <xdr:rowOff>0</xdr:rowOff>
    </xdr:from>
    <xdr:ext cx="3729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5BB7E185-BADD-4016-A8D7-F408035D2C98}"/>
                </a:ext>
              </a:extLst>
            </xdr:cNvPr>
            <xdr:cNvSpPr txBox="1"/>
          </xdr:nvSpPr>
          <xdr:spPr>
            <a:xfrm>
              <a:off x="2965938" y="28885662"/>
              <a:ext cx="3729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M</a:t>
              </a: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5BB7E185-BADD-4016-A8D7-F408035D2C98}"/>
                </a:ext>
              </a:extLst>
            </xdr:cNvPr>
            <xdr:cNvSpPr txBox="1"/>
          </xdr:nvSpPr>
          <xdr:spPr>
            <a:xfrm>
              <a:off x="2965938" y="28885662"/>
              <a:ext cx="3729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M</a:t>
              </a:r>
            </a:p>
          </xdr:txBody>
        </xdr:sp>
      </mc:Fallback>
    </mc:AlternateContent>
    <xdr:clientData/>
  </xdr:oneCellAnchor>
  <xdr:oneCellAnchor>
    <xdr:from>
      <xdr:col>5</xdr:col>
      <xdr:colOff>0</xdr:colOff>
      <xdr:row>121</xdr:row>
      <xdr:rowOff>0</xdr:rowOff>
    </xdr:from>
    <xdr:ext cx="323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73649906-7A21-4BEF-AFB2-BF1BD9CEFCF8}"/>
                </a:ext>
              </a:extLst>
            </xdr:cNvPr>
            <xdr:cNvSpPr txBox="1"/>
          </xdr:nvSpPr>
          <xdr:spPr>
            <a:xfrm>
              <a:off x="2965938" y="28522246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3</a:t>
              </a:r>
              <a:endParaRPr lang="ru-RU" sz="1100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73649906-7A21-4BEF-AFB2-BF1BD9CEFCF8}"/>
                </a:ext>
              </a:extLst>
            </xdr:cNvPr>
            <xdr:cNvSpPr txBox="1"/>
          </xdr:nvSpPr>
          <xdr:spPr>
            <a:xfrm>
              <a:off x="2965938" y="28522246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121</xdr:row>
      <xdr:rowOff>0</xdr:rowOff>
    </xdr:from>
    <xdr:ext cx="32387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551484B6-CF5D-4655-BDAC-59316C7AA7E5}"/>
                </a:ext>
              </a:extLst>
            </xdr:cNvPr>
            <xdr:cNvSpPr txBox="1"/>
          </xdr:nvSpPr>
          <xdr:spPr>
            <a:xfrm>
              <a:off x="1160585" y="28522246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5</a:t>
              </a: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551484B6-CF5D-4655-BDAC-59316C7AA7E5}"/>
                </a:ext>
              </a:extLst>
            </xdr:cNvPr>
            <xdr:cNvSpPr txBox="1"/>
          </xdr:nvSpPr>
          <xdr:spPr>
            <a:xfrm>
              <a:off x="1160585" y="28522246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5</a:t>
              </a:r>
            </a:p>
            <a:p>
              <a:pPr/>
              <a:endParaRPr lang="ru-RU" sz="1100"/>
            </a:p>
          </xdr:txBody>
        </xdr:sp>
      </mc:Fallback>
    </mc:AlternateContent>
    <xdr:clientData/>
  </xdr:oneCellAnchor>
  <xdr:twoCellAnchor>
    <xdr:from>
      <xdr:col>5</xdr:col>
      <xdr:colOff>293077</xdr:colOff>
      <xdr:row>119</xdr:row>
      <xdr:rowOff>187569</xdr:rowOff>
    </xdr:from>
    <xdr:to>
      <xdr:col>5</xdr:col>
      <xdr:colOff>304800</xdr:colOff>
      <xdr:row>120</xdr:row>
      <xdr:rowOff>211015</xdr:rowOff>
    </xdr:to>
    <xdr:cxnSp macro="">
      <xdr:nvCxnSpPr>
        <xdr:cNvPr id="110" name="Прямая со стрелкой 109">
          <a:extLst>
            <a:ext uri="{FF2B5EF4-FFF2-40B4-BE49-F238E27FC236}">
              <a16:creationId xmlns:a16="http://schemas.microsoft.com/office/drawing/2014/main" id="{A2E09E42-7FBD-4FF8-B3DA-E4BA5AE980F6}"/>
            </a:ext>
          </a:extLst>
        </xdr:cNvPr>
        <xdr:cNvCxnSpPr/>
      </xdr:nvCxnSpPr>
      <xdr:spPr>
        <a:xfrm>
          <a:off x="3259015" y="27982984"/>
          <a:ext cx="11723" cy="3868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328246</xdr:colOff>
      <xdr:row>120</xdr:row>
      <xdr:rowOff>187569</xdr:rowOff>
    </xdr:from>
    <xdr:to>
      <xdr:col>6</xdr:col>
      <xdr:colOff>304800</xdr:colOff>
      <xdr:row>120</xdr:row>
      <xdr:rowOff>187569</xdr:rowOff>
    </xdr:to>
    <xdr:cxnSp macro="">
      <xdr:nvCxnSpPr>
        <xdr:cNvPr id="112" name="Прямая со стрелкой 111">
          <a:extLst>
            <a:ext uri="{FF2B5EF4-FFF2-40B4-BE49-F238E27FC236}">
              <a16:creationId xmlns:a16="http://schemas.microsoft.com/office/drawing/2014/main" id="{3F8C349D-8225-404D-8298-120AEFB88E31}"/>
            </a:ext>
          </a:extLst>
        </xdr:cNvPr>
        <xdr:cNvCxnSpPr/>
      </xdr:nvCxnSpPr>
      <xdr:spPr>
        <a:xfrm>
          <a:off x="3294184" y="28346400"/>
          <a:ext cx="59787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316523</xdr:colOff>
      <xdr:row>120</xdr:row>
      <xdr:rowOff>187569</xdr:rowOff>
    </xdr:from>
    <xdr:to>
      <xdr:col>6</xdr:col>
      <xdr:colOff>316523</xdr:colOff>
      <xdr:row>122</xdr:row>
      <xdr:rowOff>222738</xdr:rowOff>
    </xdr:to>
    <xdr:cxnSp macro="">
      <xdr:nvCxnSpPr>
        <xdr:cNvPr id="114" name="Прямая со стрелкой 113">
          <a:extLst>
            <a:ext uri="{FF2B5EF4-FFF2-40B4-BE49-F238E27FC236}">
              <a16:creationId xmlns:a16="http://schemas.microsoft.com/office/drawing/2014/main" id="{89A3A4F2-6FBF-4EDC-B9CA-5088095B22EF}"/>
            </a:ext>
          </a:extLst>
        </xdr:cNvPr>
        <xdr:cNvCxnSpPr/>
      </xdr:nvCxnSpPr>
      <xdr:spPr>
        <a:xfrm>
          <a:off x="3903785" y="28346400"/>
          <a:ext cx="0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246185</xdr:colOff>
      <xdr:row>122</xdr:row>
      <xdr:rowOff>199292</xdr:rowOff>
    </xdr:from>
    <xdr:to>
      <xdr:col>6</xdr:col>
      <xdr:colOff>304800</xdr:colOff>
      <xdr:row>122</xdr:row>
      <xdr:rowOff>211015</xdr:rowOff>
    </xdr:to>
    <xdr:cxnSp macro="">
      <xdr:nvCxnSpPr>
        <xdr:cNvPr id="117" name="Прямая со стрелкой 116">
          <a:extLst>
            <a:ext uri="{FF2B5EF4-FFF2-40B4-BE49-F238E27FC236}">
              <a16:creationId xmlns:a16="http://schemas.microsoft.com/office/drawing/2014/main" id="{31149076-44D0-40B8-B197-DA8ED93D22D0}"/>
            </a:ext>
          </a:extLst>
        </xdr:cNvPr>
        <xdr:cNvCxnSpPr/>
      </xdr:nvCxnSpPr>
      <xdr:spPr>
        <a:xfrm flipH="1">
          <a:off x="855785" y="29084954"/>
          <a:ext cx="3036277" cy="117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281354</xdr:colOff>
      <xdr:row>119</xdr:row>
      <xdr:rowOff>152400</xdr:rowOff>
    </xdr:from>
    <xdr:to>
      <xdr:col>1</xdr:col>
      <xdr:colOff>281354</xdr:colOff>
      <xdr:row>122</xdr:row>
      <xdr:rowOff>175846</xdr:rowOff>
    </xdr:to>
    <xdr:cxnSp macro="">
      <xdr:nvCxnSpPr>
        <xdr:cNvPr id="119" name="Прямая со стрелкой 118">
          <a:extLst>
            <a:ext uri="{FF2B5EF4-FFF2-40B4-BE49-F238E27FC236}">
              <a16:creationId xmlns:a16="http://schemas.microsoft.com/office/drawing/2014/main" id="{A6CF9C45-D4D7-4205-86D2-BAA28EEB803F}"/>
            </a:ext>
          </a:extLst>
        </xdr:cNvPr>
        <xdr:cNvCxnSpPr/>
      </xdr:nvCxnSpPr>
      <xdr:spPr>
        <a:xfrm flipV="1">
          <a:off x="890954" y="27947815"/>
          <a:ext cx="0" cy="11136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281353</xdr:colOff>
      <xdr:row>119</xdr:row>
      <xdr:rowOff>164123</xdr:rowOff>
    </xdr:from>
    <xdr:to>
      <xdr:col>5</xdr:col>
      <xdr:colOff>218297</xdr:colOff>
      <xdr:row>119</xdr:row>
      <xdr:rowOff>172227</xdr:rowOff>
    </xdr:to>
    <xdr:cxnSp macro="">
      <xdr:nvCxnSpPr>
        <xdr:cNvPr id="121" name="Прямая со стрелкой 120">
          <a:extLst>
            <a:ext uri="{FF2B5EF4-FFF2-40B4-BE49-F238E27FC236}">
              <a16:creationId xmlns:a16="http://schemas.microsoft.com/office/drawing/2014/main" id="{0E5C68E9-495A-47E0-8D19-541F9B4BD248}"/>
            </a:ext>
          </a:extLst>
        </xdr:cNvPr>
        <xdr:cNvCxnSpPr>
          <a:endCxn id="104" idx="2"/>
        </xdr:cNvCxnSpPr>
      </xdr:nvCxnSpPr>
      <xdr:spPr>
        <a:xfrm>
          <a:off x="890953" y="27959538"/>
          <a:ext cx="2293282" cy="810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175847</xdr:colOff>
      <xdr:row>119</xdr:row>
      <xdr:rowOff>23446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935577E9-C94E-470A-A734-991CAFEFCA5A}"/>
                </a:ext>
              </a:extLst>
            </xdr:cNvPr>
            <xdr:cNvSpPr txBox="1"/>
          </xdr:nvSpPr>
          <xdr:spPr>
            <a:xfrm>
              <a:off x="3141785" y="27818861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+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935577E9-C94E-470A-A734-991CAFEFCA5A}"/>
                </a:ext>
              </a:extLst>
            </xdr:cNvPr>
            <xdr:cNvSpPr txBox="1"/>
          </xdr:nvSpPr>
          <xdr:spPr>
            <a:xfrm>
              <a:off x="3141785" y="27818861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+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234462</xdr:colOff>
      <xdr:row>120</xdr:row>
      <xdr:rowOff>23446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06222087-1EF3-4983-B6CA-F3815C800AB2}"/>
                </a:ext>
              </a:extLst>
            </xdr:cNvPr>
            <xdr:cNvSpPr txBox="1"/>
          </xdr:nvSpPr>
          <xdr:spPr>
            <a:xfrm>
              <a:off x="3821724" y="28182277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+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06222087-1EF3-4983-B6CA-F3815C800AB2}"/>
                </a:ext>
              </a:extLst>
            </xdr:cNvPr>
            <xdr:cNvSpPr txBox="1"/>
          </xdr:nvSpPr>
          <xdr:spPr>
            <a:xfrm>
              <a:off x="3821724" y="28182277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+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105507</xdr:colOff>
      <xdr:row>122</xdr:row>
      <xdr:rowOff>152400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4609420-B6DE-4444-8607-A5231B14474A}"/>
                </a:ext>
              </a:extLst>
            </xdr:cNvPr>
            <xdr:cNvSpPr txBox="1"/>
          </xdr:nvSpPr>
          <xdr:spPr>
            <a:xfrm>
              <a:off x="715107" y="29038062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+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4609420-B6DE-4444-8607-A5231B14474A}"/>
                </a:ext>
              </a:extLst>
            </xdr:cNvPr>
            <xdr:cNvSpPr txBox="1"/>
          </xdr:nvSpPr>
          <xdr:spPr>
            <a:xfrm>
              <a:off x="715107" y="29038062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+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82061</xdr:colOff>
      <xdr:row>118</xdr:row>
      <xdr:rowOff>164123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A965EF8A-5DD4-4C44-9B07-607BBD4AD864}"/>
                </a:ext>
              </a:extLst>
            </xdr:cNvPr>
            <xdr:cNvSpPr txBox="1"/>
          </xdr:nvSpPr>
          <xdr:spPr>
            <a:xfrm>
              <a:off x="691661" y="27771969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A965EF8A-5DD4-4C44-9B07-607BBD4AD864}"/>
                </a:ext>
              </a:extLst>
            </xdr:cNvPr>
            <xdr:cNvSpPr txBox="1"/>
          </xdr:nvSpPr>
          <xdr:spPr>
            <a:xfrm>
              <a:off x="691661" y="27771969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269631</xdr:colOff>
      <xdr:row>119</xdr:row>
      <xdr:rowOff>304800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C33DA43-4590-4D2C-B78B-D1E0B8E1D70A}"/>
                </a:ext>
              </a:extLst>
            </xdr:cNvPr>
            <xdr:cNvSpPr txBox="1"/>
          </xdr:nvSpPr>
          <xdr:spPr>
            <a:xfrm>
              <a:off x="3235569" y="28100215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C33DA43-4590-4D2C-B78B-D1E0B8E1D70A}"/>
                </a:ext>
              </a:extLst>
            </xdr:cNvPr>
            <xdr:cNvSpPr txBox="1"/>
          </xdr:nvSpPr>
          <xdr:spPr>
            <a:xfrm>
              <a:off x="3235569" y="28100215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281354</xdr:colOff>
      <xdr:row>122</xdr:row>
      <xdr:rowOff>93785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75711075-CFC4-4182-9ABF-75AD3162F669}"/>
                </a:ext>
              </a:extLst>
            </xdr:cNvPr>
            <xdr:cNvSpPr txBox="1"/>
          </xdr:nvSpPr>
          <xdr:spPr>
            <a:xfrm>
              <a:off x="3868616" y="28979447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75711075-CFC4-4182-9ABF-75AD3162F669}"/>
                </a:ext>
              </a:extLst>
            </xdr:cNvPr>
            <xdr:cNvSpPr txBox="1"/>
          </xdr:nvSpPr>
          <xdr:spPr>
            <a:xfrm>
              <a:off x="3868616" y="28979447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24492</xdr:colOff>
      <xdr:row>119</xdr:row>
      <xdr:rowOff>4081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C3DC8DDF-BB11-4A2A-A19E-3C1E8F746684}"/>
                </a:ext>
              </a:extLst>
            </xdr:cNvPr>
            <xdr:cNvSpPr txBox="1"/>
          </xdr:nvSpPr>
          <xdr:spPr>
            <a:xfrm>
              <a:off x="7128677" y="27799496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=3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C3DC8DDF-BB11-4A2A-A19E-3C1E8F746684}"/>
                </a:ext>
              </a:extLst>
            </xdr:cNvPr>
            <xdr:cNvSpPr txBox="1"/>
          </xdr:nvSpPr>
          <xdr:spPr>
            <a:xfrm>
              <a:off x="7128677" y="27799496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6833</xdr:colOff>
      <xdr:row>118</xdr:row>
      <xdr:rowOff>170925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F5C1632A-1381-49E9-8FA1-0C606DB17CD9}"/>
                </a:ext>
              </a:extLst>
            </xdr:cNvPr>
            <xdr:cNvSpPr txBox="1"/>
          </xdr:nvSpPr>
          <xdr:spPr>
            <a:xfrm>
              <a:off x="6501418" y="27778771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=2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F5C1632A-1381-49E9-8FA1-0C606DB17CD9}"/>
                </a:ext>
              </a:extLst>
            </xdr:cNvPr>
            <xdr:cNvSpPr txBox="1"/>
          </xdr:nvSpPr>
          <xdr:spPr>
            <a:xfrm>
              <a:off x="6501418" y="27778771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8009</xdr:colOff>
      <xdr:row>120</xdr:row>
      <xdr:rowOff>6201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A3DDC747-F6E0-4427-9AF7-E17E38C7DBAD}"/>
                </a:ext>
              </a:extLst>
            </xdr:cNvPr>
            <xdr:cNvSpPr txBox="1"/>
          </xdr:nvSpPr>
          <xdr:spPr>
            <a:xfrm>
              <a:off x="5318563" y="28165032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A3DDC747-F6E0-4427-9AF7-E17E38C7DBAD}"/>
                </a:ext>
              </a:extLst>
            </xdr:cNvPr>
            <xdr:cNvSpPr txBox="1"/>
          </xdr:nvSpPr>
          <xdr:spPr>
            <a:xfrm>
              <a:off x="5318563" y="28165032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55255</xdr:colOff>
      <xdr:row>120</xdr:row>
      <xdr:rowOff>16504</xdr:rowOff>
    </xdr:from>
    <xdr:ext cx="3230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0AD5C5AF-47EF-4026-9757-E44C0A2F1A60}"/>
                </a:ext>
              </a:extLst>
            </xdr:cNvPr>
            <xdr:cNvSpPr txBox="1"/>
          </xdr:nvSpPr>
          <xdr:spPr>
            <a:xfrm>
              <a:off x="5940240" y="28175335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 </m:t>
                  </m:r>
                </m:oMath>
              </a14:m>
              <a:r>
                <a:rPr lang="en-US" sz="1100"/>
                <a:t>0</a:t>
              </a:r>
              <a:endParaRPr lang="ru-RU" sz="1100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0AD5C5AF-47EF-4026-9757-E44C0A2F1A60}"/>
                </a:ext>
              </a:extLst>
            </xdr:cNvPr>
            <xdr:cNvSpPr txBox="1"/>
          </xdr:nvSpPr>
          <xdr:spPr>
            <a:xfrm>
              <a:off x="5940240" y="28175335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 </a:t>
              </a:r>
              <a:r>
                <a:rPr lang="en-US" sz="1100"/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4639</xdr:colOff>
      <xdr:row>121</xdr:row>
      <xdr:rowOff>4763</xdr:rowOff>
    </xdr:from>
    <xdr:ext cx="323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B57B6CE8-FCB9-4740-A43D-8398A7ECFF18}"/>
                </a:ext>
              </a:extLst>
            </xdr:cNvPr>
            <xdr:cNvSpPr txBox="1"/>
          </xdr:nvSpPr>
          <xdr:spPr>
            <a:xfrm>
              <a:off x="5315193" y="28527009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4</a:t>
              </a:r>
              <a:endParaRPr lang="ru-RU" sz="1100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B57B6CE8-FCB9-4740-A43D-8398A7ECFF18}"/>
                </a:ext>
              </a:extLst>
            </xdr:cNvPr>
            <xdr:cNvSpPr txBox="1"/>
          </xdr:nvSpPr>
          <xdr:spPr>
            <a:xfrm>
              <a:off x="5315193" y="28527009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4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32180</xdr:colOff>
      <xdr:row>122</xdr:row>
      <xdr:rowOff>25970</xdr:rowOff>
    </xdr:from>
    <xdr:ext cx="369653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58A96CDC-D42D-4B3E-B525-B0E5C0929DF7}"/>
                </a:ext>
              </a:extLst>
            </xdr:cNvPr>
            <xdr:cNvSpPr txBox="1"/>
          </xdr:nvSpPr>
          <xdr:spPr>
            <a:xfrm>
              <a:off x="6526765" y="28911632"/>
              <a:ext cx="36965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n-US" sz="1100"/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58A96CDC-D42D-4B3E-B525-B0E5C0929DF7}"/>
                </a:ext>
              </a:extLst>
            </xdr:cNvPr>
            <xdr:cNvSpPr txBox="1"/>
          </xdr:nvSpPr>
          <xdr:spPr>
            <a:xfrm>
              <a:off x="6526765" y="28911632"/>
              <a:ext cx="36965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=3</a:t>
              </a:r>
              <a:endParaRPr lang="en-US" sz="1100"/>
            </a:p>
            <a:p>
              <a:pPr/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52540</xdr:colOff>
      <xdr:row>122</xdr:row>
      <xdr:rowOff>19708</xdr:rowOff>
    </xdr:from>
    <xdr:ext cx="32387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11DAF9AA-7C9A-40A2-8AA6-F3F96C1E8429}"/>
                </a:ext>
              </a:extLst>
            </xdr:cNvPr>
            <xdr:cNvSpPr txBox="1"/>
          </xdr:nvSpPr>
          <xdr:spPr>
            <a:xfrm>
              <a:off x="5937525" y="28905370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0</a:t>
              </a: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11DAF9AA-7C9A-40A2-8AA6-F3F96C1E8429}"/>
                </a:ext>
              </a:extLst>
            </xdr:cNvPr>
            <xdr:cNvSpPr txBox="1"/>
          </xdr:nvSpPr>
          <xdr:spPr>
            <a:xfrm>
              <a:off x="5937525" y="28905370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0</a:t>
              </a:r>
            </a:p>
            <a:p>
              <a:pPr/>
              <a:endParaRPr lang="ru-RU" sz="1100"/>
            </a:p>
          </xdr:txBody>
        </xdr:sp>
      </mc:Fallback>
    </mc:AlternateContent>
    <xdr:clientData/>
  </xdr:oneCellAnchor>
  <xdr:oneCellAnchor>
    <xdr:from>
      <xdr:col>14</xdr:col>
      <xdr:colOff>22845</xdr:colOff>
      <xdr:row>119</xdr:row>
      <xdr:rowOff>18228</xdr:rowOff>
    </xdr:from>
    <xdr:ext cx="323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9F8FB132-1149-4E65-B7D2-2E5F6E9BF034}"/>
                </a:ext>
              </a:extLst>
            </xdr:cNvPr>
            <xdr:cNvSpPr txBox="1"/>
          </xdr:nvSpPr>
          <xdr:spPr>
            <a:xfrm>
              <a:off x="8346230" y="27813643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3</a:t>
              </a:r>
              <a:endParaRPr lang="ru-RU" sz="1100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9F8FB132-1149-4E65-B7D2-2E5F6E9BF034}"/>
                </a:ext>
              </a:extLst>
            </xdr:cNvPr>
            <xdr:cNvSpPr txBox="1"/>
          </xdr:nvSpPr>
          <xdr:spPr>
            <a:xfrm>
              <a:off x="8346230" y="27813643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14</xdr:col>
      <xdr:colOff>29569</xdr:colOff>
      <xdr:row>120</xdr:row>
      <xdr:rowOff>353196</xdr:rowOff>
    </xdr:from>
    <xdr:ext cx="32387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752273E9-6033-46EA-AC8D-3A95F3BB724F}"/>
                </a:ext>
              </a:extLst>
            </xdr:cNvPr>
            <xdr:cNvSpPr txBox="1"/>
          </xdr:nvSpPr>
          <xdr:spPr>
            <a:xfrm>
              <a:off x="8352954" y="28512027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1</a:t>
              </a: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752273E9-6033-46EA-AC8D-3A95F3BB724F}"/>
                </a:ext>
              </a:extLst>
            </xdr:cNvPr>
            <xdr:cNvSpPr txBox="1"/>
          </xdr:nvSpPr>
          <xdr:spPr>
            <a:xfrm>
              <a:off x="8352954" y="28512027"/>
              <a:ext cx="32387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1</a:t>
              </a:r>
            </a:p>
            <a:p>
              <a:pPr/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35170</xdr:colOff>
      <xdr:row>119</xdr:row>
      <xdr:rowOff>23447</xdr:rowOff>
    </xdr:from>
    <xdr:ext cx="3230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7302BFE5-188B-4D76-83FF-DC119DD255DE}"/>
                </a:ext>
              </a:extLst>
            </xdr:cNvPr>
            <xdr:cNvSpPr txBox="1"/>
          </xdr:nvSpPr>
          <xdr:spPr>
            <a:xfrm>
              <a:off x="5345724" y="27818862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 </m:t>
                  </m:r>
                </m:oMath>
              </a14:m>
              <a:r>
                <a:rPr lang="en-US" sz="1100"/>
                <a:t>2</a:t>
              </a:r>
              <a:endParaRPr lang="ru-RU" sz="1100"/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7302BFE5-188B-4D76-83FF-DC119DD255DE}"/>
                </a:ext>
              </a:extLst>
            </xdr:cNvPr>
            <xdr:cNvSpPr txBox="1"/>
          </xdr:nvSpPr>
          <xdr:spPr>
            <a:xfrm>
              <a:off x="5345724" y="27818862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 </a:t>
              </a:r>
              <a:r>
                <a:rPr lang="en-US" sz="1100"/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121</xdr:row>
      <xdr:rowOff>0</xdr:rowOff>
    </xdr:from>
    <xdr:ext cx="3696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E82DF166-7BAB-42BE-8B42-4CF6E9E633B3}"/>
                </a:ext>
              </a:extLst>
            </xdr:cNvPr>
            <xdr:cNvSpPr txBox="1"/>
          </xdr:nvSpPr>
          <xdr:spPr>
            <a:xfrm>
              <a:off x="7104185" y="28522246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=2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E82DF166-7BAB-42BE-8B42-4CF6E9E633B3}"/>
                </a:ext>
              </a:extLst>
            </xdr:cNvPr>
            <xdr:cNvSpPr txBox="1"/>
          </xdr:nvSpPr>
          <xdr:spPr>
            <a:xfrm>
              <a:off x="7104185" y="28522246"/>
              <a:ext cx="3696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120</xdr:row>
      <xdr:rowOff>0</xdr:rowOff>
    </xdr:from>
    <xdr:ext cx="3230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577A4BD-6C05-4EAE-BC34-F12F890DD170}"/>
                </a:ext>
              </a:extLst>
            </xdr:cNvPr>
            <xdr:cNvSpPr txBox="1"/>
          </xdr:nvSpPr>
          <xdr:spPr>
            <a:xfrm>
              <a:off x="2356338" y="28158831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 </m:t>
                  </m:r>
                </m:oMath>
              </a14:m>
              <a:r>
                <a:rPr lang="en-US" sz="1100"/>
                <a:t>3</a:t>
              </a:r>
              <a:endParaRPr lang="ru-RU" sz="1100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577A4BD-6C05-4EAE-BC34-F12F890DD170}"/>
                </a:ext>
              </a:extLst>
            </xdr:cNvPr>
            <xdr:cNvSpPr txBox="1"/>
          </xdr:nvSpPr>
          <xdr:spPr>
            <a:xfrm>
              <a:off x="2356338" y="28158831"/>
              <a:ext cx="3230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 </a:t>
              </a:r>
              <a:r>
                <a:rPr lang="en-US" sz="1100"/>
                <a:t>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122</xdr:row>
      <xdr:rowOff>0</xdr:rowOff>
    </xdr:from>
    <xdr:ext cx="3729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422673A0-1E69-45A7-9998-78C05D8C3B42}"/>
                </a:ext>
              </a:extLst>
            </xdr:cNvPr>
            <xdr:cNvSpPr txBox="1"/>
          </xdr:nvSpPr>
          <xdr:spPr>
            <a:xfrm>
              <a:off x="2965938" y="28885662"/>
              <a:ext cx="3729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M</a:t>
              </a:r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422673A0-1E69-45A7-9998-78C05D8C3B42}"/>
                </a:ext>
              </a:extLst>
            </xdr:cNvPr>
            <xdr:cNvSpPr txBox="1"/>
          </xdr:nvSpPr>
          <xdr:spPr>
            <a:xfrm>
              <a:off x="2965938" y="28885662"/>
              <a:ext cx="3729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M</a:t>
              </a:r>
            </a:p>
          </xdr:txBody>
        </xdr:sp>
      </mc:Fallback>
    </mc:AlternateContent>
    <xdr:clientData/>
  </xdr:oneCellAnchor>
  <xdr:oneCellAnchor>
    <xdr:from>
      <xdr:col>13</xdr:col>
      <xdr:colOff>0</xdr:colOff>
      <xdr:row>121</xdr:row>
      <xdr:rowOff>0</xdr:rowOff>
    </xdr:from>
    <xdr:ext cx="323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DBD0B255-F5AD-49D5-8A81-B4EB046A4FCE}"/>
                </a:ext>
              </a:extLst>
            </xdr:cNvPr>
            <xdr:cNvSpPr txBox="1"/>
          </xdr:nvSpPr>
          <xdr:spPr>
            <a:xfrm>
              <a:off x="2965938" y="28522246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3</a:t>
              </a:r>
              <a:endParaRPr lang="ru-RU" sz="1100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DBD0B255-F5AD-49D5-8A81-B4EB046A4FCE}"/>
                </a:ext>
              </a:extLst>
            </xdr:cNvPr>
            <xdr:cNvSpPr txBox="1"/>
          </xdr:nvSpPr>
          <xdr:spPr>
            <a:xfrm>
              <a:off x="2965938" y="28522246"/>
              <a:ext cx="323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121</xdr:row>
      <xdr:rowOff>0</xdr:rowOff>
    </xdr:from>
    <xdr:ext cx="35573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49E22DDA-EE4D-4DB7-8763-24E76B3B5A8F}"/>
                </a:ext>
              </a:extLst>
            </xdr:cNvPr>
            <xdr:cNvSpPr txBox="1"/>
          </xdr:nvSpPr>
          <xdr:spPr>
            <a:xfrm>
              <a:off x="5884985" y="28522246"/>
              <a:ext cx="35573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 3</a:t>
              </a: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49E22DDA-EE4D-4DB7-8763-24E76B3B5A8F}"/>
                </a:ext>
              </a:extLst>
            </xdr:cNvPr>
            <xdr:cNvSpPr txBox="1"/>
          </xdr:nvSpPr>
          <xdr:spPr>
            <a:xfrm>
              <a:off x="5884985" y="28522246"/>
              <a:ext cx="35573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 3</a:t>
              </a:r>
            </a:p>
            <a:p>
              <a:pPr/>
              <a:endParaRPr lang="ru-RU" sz="1100"/>
            </a:p>
          </xdr:txBody>
        </xdr:sp>
      </mc:Fallback>
    </mc:AlternateContent>
    <xdr:clientData/>
  </xdr:oneCellAnchor>
  <xdr:twoCellAnchor editAs="oneCell">
    <xdr:from>
      <xdr:col>0</xdr:col>
      <xdr:colOff>26894</xdr:colOff>
      <xdr:row>11</xdr:row>
      <xdr:rowOff>17930</xdr:rowOff>
    </xdr:from>
    <xdr:to>
      <xdr:col>3</xdr:col>
      <xdr:colOff>546847</xdr:colOff>
      <xdr:row>15</xdr:row>
      <xdr:rowOff>110926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1E8A30F-F06D-5F94-63FE-A711F9275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94" y="1990165"/>
          <a:ext cx="2303929" cy="8101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</xdr:colOff>
      <xdr:row>4</xdr:row>
      <xdr:rowOff>148167</xdr:rowOff>
    </xdr:from>
    <xdr:to>
      <xdr:col>8</xdr:col>
      <xdr:colOff>18142</xdr:colOff>
      <xdr:row>7</xdr:row>
      <xdr:rowOff>89961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329B1D2-A082-21A3-47F4-F36ECA308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3" y="873881"/>
          <a:ext cx="4869845" cy="486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7</xdr:col>
      <xdr:colOff>598714</xdr:colOff>
      <xdr:row>4</xdr:row>
      <xdr:rowOff>152273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FB048DA-A056-0CCD-8AA9-6E83FABEE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429"/>
          <a:ext cx="4853214" cy="696558"/>
        </a:xfrm>
        <a:prstGeom prst="rect">
          <a:avLst/>
        </a:prstGeom>
      </xdr:spPr>
    </xdr:pic>
    <xdr:clientData/>
  </xdr:twoCellAnchor>
  <xdr:oneCellAnchor>
    <xdr:from>
      <xdr:col>1</xdr:col>
      <xdr:colOff>508000</xdr:colOff>
      <xdr:row>73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761757F-3E40-4F5C-A707-6400A3C8EB56}"/>
                </a:ext>
              </a:extLst>
            </xdr:cNvPr>
            <xdr:cNvSpPr txBox="1"/>
          </xdr:nvSpPr>
          <xdr:spPr>
            <a:xfrm>
              <a:off x="1115786" y="14151429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4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761757F-3E40-4F5C-A707-6400A3C8EB56}"/>
                </a:ext>
              </a:extLst>
            </xdr:cNvPr>
            <xdr:cNvSpPr txBox="1"/>
          </xdr:nvSpPr>
          <xdr:spPr>
            <a:xfrm>
              <a:off x="1115786" y="14151429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498929</xdr:colOff>
      <xdr:row>74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F16C285-5700-480B-B0FD-999F68578DF7}"/>
                </a:ext>
              </a:extLst>
            </xdr:cNvPr>
            <xdr:cNvSpPr txBox="1"/>
          </xdr:nvSpPr>
          <xdr:spPr>
            <a:xfrm>
              <a:off x="1714500" y="14514286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4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F16C285-5700-480B-B0FD-999F68578DF7}"/>
                </a:ext>
              </a:extLst>
            </xdr:cNvPr>
            <xdr:cNvSpPr txBox="1"/>
          </xdr:nvSpPr>
          <xdr:spPr>
            <a:xfrm>
              <a:off x="1714500" y="14514286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36285</xdr:colOff>
      <xdr:row>73</xdr:row>
      <xdr:rowOff>353786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B78BB62-FE0C-4481-8025-D4DA83D2FA1E}"/>
                </a:ext>
              </a:extLst>
            </xdr:cNvPr>
            <xdr:cNvSpPr txBox="1"/>
          </xdr:nvSpPr>
          <xdr:spPr>
            <a:xfrm>
              <a:off x="2467428" y="14505215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- 4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B78BB62-FE0C-4481-8025-D4DA83D2FA1E}"/>
                </a:ext>
              </a:extLst>
            </xdr:cNvPr>
            <xdr:cNvSpPr txBox="1"/>
          </xdr:nvSpPr>
          <xdr:spPr>
            <a:xfrm>
              <a:off x="2467428" y="14505215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- 4</a:t>
              </a:r>
            </a:p>
          </xdr:txBody>
        </xdr:sp>
      </mc:Fallback>
    </mc:AlternateContent>
    <xdr:clientData/>
  </xdr:oneCellAnchor>
  <xdr:oneCellAnchor>
    <xdr:from>
      <xdr:col>2</xdr:col>
      <xdr:colOff>498929</xdr:colOff>
      <xdr:row>75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95ED630-AC37-4D6F-B1C4-B886FF8BBBDC}"/>
                </a:ext>
              </a:extLst>
            </xdr:cNvPr>
            <xdr:cNvSpPr txBox="1"/>
          </xdr:nvSpPr>
          <xdr:spPr>
            <a:xfrm>
              <a:off x="1714500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4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95ED630-AC37-4D6F-B1C4-B886FF8BBBDC}"/>
                </a:ext>
              </a:extLst>
            </xdr:cNvPr>
            <xdr:cNvSpPr txBox="1"/>
          </xdr:nvSpPr>
          <xdr:spPr>
            <a:xfrm>
              <a:off x="1714500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489856</xdr:colOff>
      <xdr:row>75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975851F-91B6-496E-9D82-F0FA4D31ED6F}"/>
                </a:ext>
              </a:extLst>
            </xdr:cNvPr>
            <xdr:cNvSpPr txBox="1"/>
          </xdr:nvSpPr>
          <xdr:spPr>
            <a:xfrm>
              <a:off x="1097642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975851F-91B6-496E-9D82-F0FA4D31ED6F}"/>
                </a:ext>
              </a:extLst>
            </xdr:cNvPr>
            <xdr:cNvSpPr txBox="1"/>
          </xdr:nvSpPr>
          <xdr:spPr>
            <a:xfrm>
              <a:off x="1097642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526143</xdr:colOff>
      <xdr:row>75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14EAF32-5A38-41BE-9611-04FE301DFA7F}"/>
                </a:ext>
              </a:extLst>
            </xdr:cNvPr>
            <xdr:cNvSpPr txBox="1"/>
          </xdr:nvSpPr>
          <xdr:spPr>
            <a:xfrm>
              <a:off x="526143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8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14EAF32-5A38-41BE-9611-04FE301DFA7F}"/>
                </a:ext>
              </a:extLst>
            </xdr:cNvPr>
            <xdr:cNvSpPr txBox="1"/>
          </xdr:nvSpPr>
          <xdr:spPr>
            <a:xfrm>
              <a:off x="526143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4</xdr:col>
      <xdr:colOff>299357</xdr:colOff>
      <xdr:row>73</xdr:row>
      <xdr:rowOff>136071</xdr:rowOff>
    </xdr:from>
    <xdr:to>
      <xdr:col>4</xdr:col>
      <xdr:colOff>308428</xdr:colOff>
      <xdr:row>74</xdr:row>
      <xdr:rowOff>202201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0D456B8C-6D54-4571-BABC-F52BC97709D9}"/>
            </a:ext>
          </a:extLst>
        </xdr:cNvPr>
        <xdr:cNvCxnSpPr/>
      </xdr:nvCxnSpPr>
      <xdr:spPr>
        <a:xfrm flipV="1">
          <a:off x="2730500" y="14287500"/>
          <a:ext cx="9071" cy="4289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335643</xdr:colOff>
      <xdr:row>73</xdr:row>
      <xdr:rowOff>156845</xdr:rowOff>
    </xdr:from>
    <xdr:to>
      <xdr:col>4</xdr:col>
      <xdr:colOff>263071</xdr:colOff>
      <xdr:row>73</xdr:row>
      <xdr:rowOff>172357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127608C2-FC2F-4AD5-B66D-E54B97D08AD7}"/>
            </a:ext>
          </a:extLst>
        </xdr:cNvPr>
        <xdr:cNvCxnSpPr/>
      </xdr:nvCxnSpPr>
      <xdr:spPr>
        <a:xfrm flipH="1">
          <a:off x="943429" y="14308274"/>
          <a:ext cx="1750785" cy="155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317500</xdr:colOff>
      <xdr:row>73</xdr:row>
      <xdr:rowOff>165916</xdr:rowOff>
    </xdr:from>
    <xdr:to>
      <xdr:col>1</xdr:col>
      <xdr:colOff>317500</xdr:colOff>
      <xdr:row>74</xdr:row>
      <xdr:rowOff>235857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5651803B-07B1-41B7-881F-4FE9F0B7597D}"/>
            </a:ext>
          </a:extLst>
        </xdr:cNvPr>
        <xdr:cNvCxnSpPr/>
      </xdr:nvCxnSpPr>
      <xdr:spPr>
        <a:xfrm>
          <a:off x="925286" y="14317345"/>
          <a:ext cx="0" cy="43279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335642</xdr:colOff>
      <xdr:row>74</xdr:row>
      <xdr:rowOff>226785</xdr:rowOff>
    </xdr:from>
    <xdr:to>
      <xdr:col>4</xdr:col>
      <xdr:colOff>263071</xdr:colOff>
      <xdr:row>74</xdr:row>
      <xdr:rowOff>229416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855B4547-8B77-4CC6-92DC-E9430A4A2A71}"/>
            </a:ext>
          </a:extLst>
        </xdr:cNvPr>
        <xdr:cNvCxnSpPr/>
      </xdr:nvCxnSpPr>
      <xdr:spPr>
        <a:xfrm flipV="1">
          <a:off x="943428" y="14741071"/>
          <a:ext cx="1750786" cy="26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208643</xdr:colOff>
      <xdr:row>74</xdr:row>
      <xdr:rowOff>136071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67E9C8B-4758-4273-82F6-898468C142C0}"/>
                </a:ext>
              </a:extLst>
            </xdr:cNvPr>
            <xdr:cNvSpPr txBox="1"/>
          </xdr:nvSpPr>
          <xdr:spPr>
            <a:xfrm>
              <a:off x="2639786" y="14650357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+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67E9C8B-4758-4273-82F6-898468C142C0}"/>
                </a:ext>
              </a:extLst>
            </xdr:cNvPr>
            <xdr:cNvSpPr txBox="1"/>
          </xdr:nvSpPr>
          <xdr:spPr>
            <a:xfrm>
              <a:off x="2639786" y="14650357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+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136072</xdr:colOff>
      <xdr:row>72</xdr:row>
      <xdr:rowOff>163287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2D2C069-91C9-4103-AE73-DE08B5B45D11}"/>
                </a:ext>
              </a:extLst>
            </xdr:cNvPr>
            <xdr:cNvSpPr txBox="1"/>
          </xdr:nvSpPr>
          <xdr:spPr>
            <a:xfrm>
              <a:off x="743858" y="14133287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+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2D2C069-91C9-4103-AE73-DE08B5B45D11}"/>
                </a:ext>
              </a:extLst>
            </xdr:cNvPr>
            <xdr:cNvSpPr txBox="1"/>
          </xdr:nvSpPr>
          <xdr:spPr>
            <a:xfrm>
              <a:off x="743858" y="14133287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+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4</xdr:col>
      <xdr:colOff>287390</xdr:colOff>
      <xdr:row>73</xdr:row>
      <xdr:rowOff>0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0D9CC04-FAE5-4596-BACB-2BC145286254}"/>
                </a:ext>
              </a:extLst>
            </xdr:cNvPr>
            <xdr:cNvSpPr txBox="1"/>
          </xdr:nvSpPr>
          <xdr:spPr>
            <a:xfrm>
              <a:off x="2719305" y="14502319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0D9CC04-FAE5-4596-BACB-2BC145286254}"/>
                </a:ext>
              </a:extLst>
            </xdr:cNvPr>
            <xdr:cNvSpPr txBox="1"/>
          </xdr:nvSpPr>
          <xdr:spPr>
            <a:xfrm>
              <a:off x="2719305" y="14502319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136072</xdr:colOff>
      <xdr:row>74</xdr:row>
      <xdr:rowOff>145143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C2304CE-B7DD-422A-AEBF-B52FE808ADFC}"/>
                </a:ext>
              </a:extLst>
            </xdr:cNvPr>
            <xdr:cNvSpPr txBox="1"/>
          </xdr:nvSpPr>
          <xdr:spPr>
            <a:xfrm>
              <a:off x="743858" y="14659429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C2304CE-B7DD-422A-AEBF-B52FE808ADFC}"/>
                </a:ext>
              </a:extLst>
            </xdr:cNvPr>
            <xdr:cNvSpPr txBox="1"/>
          </xdr:nvSpPr>
          <xdr:spPr>
            <a:xfrm>
              <a:off x="743858" y="14659429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7</xdr:col>
      <xdr:colOff>508000</xdr:colOff>
      <xdr:row>73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96EDC65-F691-40C4-AFB2-661E43F90A54}"/>
                </a:ext>
              </a:extLst>
            </xdr:cNvPr>
            <xdr:cNvSpPr txBox="1"/>
          </xdr:nvSpPr>
          <xdr:spPr>
            <a:xfrm>
              <a:off x="1115786" y="14151429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96EDC65-F691-40C4-AFB2-661E43F90A54}"/>
                </a:ext>
              </a:extLst>
            </xdr:cNvPr>
            <xdr:cNvSpPr txBox="1"/>
          </xdr:nvSpPr>
          <xdr:spPr>
            <a:xfrm>
              <a:off x="1115786" y="14151429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498929</xdr:colOff>
      <xdr:row>74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196D422-84E8-44D6-987A-3F8E77CAE801}"/>
                </a:ext>
              </a:extLst>
            </xdr:cNvPr>
            <xdr:cNvSpPr txBox="1"/>
          </xdr:nvSpPr>
          <xdr:spPr>
            <a:xfrm>
              <a:off x="1714500" y="14514286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8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196D422-84E8-44D6-987A-3F8E77CAE801}"/>
                </a:ext>
              </a:extLst>
            </xdr:cNvPr>
            <xdr:cNvSpPr txBox="1"/>
          </xdr:nvSpPr>
          <xdr:spPr>
            <a:xfrm>
              <a:off x="1714500" y="14514286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45357</xdr:colOff>
      <xdr:row>74</xdr:row>
      <xdr:rowOff>9072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FDC444C-4394-473C-B606-32CD723764F5}"/>
                </a:ext>
              </a:extLst>
            </xdr:cNvPr>
            <xdr:cNvSpPr txBox="1"/>
          </xdr:nvSpPr>
          <xdr:spPr>
            <a:xfrm>
              <a:off x="4299857" y="14523358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4</a:t>
              </a: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FDC444C-4394-473C-B606-32CD723764F5}"/>
                </a:ext>
              </a:extLst>
            </xdr:cNvPr>
            <xdr:cNvSpPr txBox="1"/>
          </xdr:nvSpPr>
          <xdr:spPr>
            <a:xfrm>
              <a:off x="4299857" y="14523358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4</a:t>
              </a:r>
            </a:p>
          </xdr:txBody>
        </xdr:sp>
      </mc:Fallback>
    </mc:AlternateContent>
    <xdr:clientData/>
  </xdr:oneCellAnchor>
  <xdr:oneCellAnchor>
    <xdr:from>
      <xdr:col>8</xdr:col>
      <xdr:colOff>498929</xdr:colOff>
      <xdr:row>75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78EB8C8E-7E03-46D5-BD46-73E33EBF6D1F}"/>
                </a:ext>
              </a:extLst>
            </xdr:cNvPr>
            <xdr:cNvSpPr txBox="1"/>
          </xdr:nvSpPr>
          <xdr:spPr>
            <a:xfrm>
              <a:off x="1714500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4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78EB8C8E-7E03-46D5-BD46-73E33EBF6D1F}"/>
                </a:ext>
              </a:extLst>
            </xdr:cNvPr>
            <xdr:cNvSpPr txBox="1"/>
          </xdr:nvSpPr>
          <xdr:spPr>
            <a:xfrm>
              <a:off x="1714500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18141</xdr:colOff>
      <xdr:row>75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873EC636-D9FA-4A0B-A4EB-B8FAF70999B4}"/>
                </a:ext>
              </a:extLst>
            </xdr:cNvPr>
            <xdr:cNvSpPr txBox="1"/>
          </xdr:nvSpPr>
          <xdr:spPr>
            <a:xfrm>
              <a:off x="4880427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ru-RU" sz="1100"/>
                <a:t>6</a:t>
              </a: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873EC636-D9FA-4A0B-A4EB-B8FAF70999B4}"/>
                </a:ext>
              </a:extLst>
            </xdr:cNvPr>
            <xdr:cNvSpPr txBox="1"/>
          </xdr:nvSpPr>
          <xdr:spPr>
            <a:xfrm>
              <a:off x="4880427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/>
                <a:t>6</a:t>
              </a:r>
            </a:p>
          </xdr:txBody>
        </xdr:sp>
      </mc:Fallback>
    </mc:AlternateContent>
    <xdr:clientData/>
  </xdr:oneCellAnchor>
  <xdr:oneCellAnchor>
    <xdr:from>
      <xdr:col>6</xdr:col>
      <xdr:colOff>526143</xdr:colOff>
      <xdr:row>75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2A00AA-8BAB-4B6D-B0A7-26BEB2BCAB24}"/>
                </a:ext>
              </a:extLst>
            </xdr:cNvPr>
            <xdr:cNvSpPr txBox="1"/>
          </xdr:nvSpPr>
          <xdr:spPr>
            <a:xfrm>
              <a:off x="526143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8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2A00AA-8BAB-4B6D-B0A7-26BEB2BCAB24}"/>
                </a:ext>
              </a:extLst>
            </xdr:cNvPr>
            <xdr:cNvSpPr txBox="1"/>
          </xdr:nvSpPr>
          <xdr:spPr>
            <a:xfrm>
              <a:off x="526143" y="148771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536090</xdr:colOff>
      <xdr:row>110</xdr:row>
      <xdr:rowOff>1508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51522C0-859E-4D5C-9403-E639D7AEC5D9}"/>
                </a:ext>
              </a:extLst>
            </xdr:cNvPr>
            <xdr:cNvSpPr txBox="1"/>
          </xdr:nvSpPr>
          <xdr:spPr>
            <a:xfrm>
              <a:off x="536090" y="23899125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51522C0-859E-4D5C-9403-E639D7AEC5D9}"/>
                </a:ext>
              </a:extLst>
            </xdr:cNvPr>
            <xdr:cNvSpPr txBox="1"/>
          </xdr:nvSpPr>
          <xdr:spPr>
            <a:xfrm>
              <a:off x="536090" y="23899125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24059</xdr:colOff>
      <xdr:row>110</xdr:row>
      <xdr:rowOff>353391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4737B1FF-5690-42C1-ABD0-5CAA3A77EF23}"/>
                </a:ext>
              </a:extLst>
            </xdr:cNvPr>
            <xdr:cNvSpPr txBox="1"/>
          </xdr:nvSpPr>
          <xdr:spPr>
            <a:xfrm>
              <a:off x="1846233" y="2436191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0</a:t>
              </a:r>
              <a:endParaRPr lang="ru-RU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4737B1FF-5690-42C1-ABD0-5CAA3A77EF23}"/>
                </a:ext>
              </a:extLst>
            </xdr:cNvPr>
            <xdr:cNvSpPr txBox="1"/>
          </xdr:nvSpPr>
          <xdr:spPr>
            <a:xfrm>
              <a:off x="1846233" y="2436191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19530</xdr:colOff>
      <xdr:row>110</xdr:row>
      <xdr:rowOff>9826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B0AF3C75-175F-413B-8FB2-1E8A65497539}"/>
                </a:ext>
              </a:extLst>
            </xdr:cNvPr>
            <xdr:cNvSpPr txBox="1"/>
          </xdr:nvSpPr>
          <xdr:spPr>
            <a:xfrm>
              <a:off x="1843466" y="239074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</a:t>
              </a:r>
              <a:r>
                <a:rPr lang="en-US" sz="1100"/>
                <a:t>0</a:t>
              </a:r>
              <a:endParaRPr lang="ru-RU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B0AF3C75-175F-413B-8FB2-1E8A65497539}"/>
                </a:ext>
              </a:extLst>
            </xdr:cNvPr>
            <xdr:cNvSpPr txBox="1"/>
          </xdr:nvSpPr>
          <xdr:spPr>
            <a:xfrm>
              <a:off x="1843466" y="23907443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</a:t>
              </a:r>
              <a:r>
                <a:rPr lang="en-US" sz="1100"/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57189</xdr:colOff>
      <xdr:row>113</xdr:row>
      <xdr:rowOff>11043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E3E45C6B-E6AA-4B7F-8B55-F7F9DE7958FE}"/>
                </a:ext>
              </a:extLst>
            </xdr:cNvPr>
            <xdr:cNvSpPr txBox="1"/>
          </xdr:nvSpPr>
          <xdr:spPr>
            <a:xfrm>
              <a:off x="1271972" y="25112869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5</a:t>
              </a: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E3E45C6B-E6AA-4B7F-8B55-F7F9DE7958FE}"/>
                </a:ext>
              </a:extLst>
            </xdr:cNvPr>
            <xdr:cNvSpPr txBox="1"/>
          </xdr:nvSpPr>
          <xdr:spPr>
            <a:xfrm>
              <a:off x="1271972" y="25112869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5</a:t>
              </a: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26101</xdr:colOff>
      <xdr:row>112</xdr:row>
      <xdr:rowOff>2311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4352AD84-96EE-4F4C-A4C7-70E865E905E7}"/>
                </a:ext>
              </a:extLst>
            </xdr:cNvPr>
            <xdr:cNvSpPr txBox="1"/>
          </xdr:nvSpPr>
          <xdr:spPr>
            <a:xfrm>
              <a:off x="1240884" y="24739702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</m:oMath>
              </a14:m>
              <a:r>
                <a:rPr lang="en-US" sz="1100"/>
                <a:t> 3</a:t>
              </a:r>
              <a:endParaRPr lang="ru-RU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4352AD84-96EE-4F4C-A4C7-70E865E905E7}"/>
                </a:ext>
              </a:extLst>
            </xdr:cNvPr>
            <xdr:cNvSpPr txBox="1"/>
          </xdr:nvSpPr>
          <xdr:spPr>
            <a:xfrm>
              <a:off x="1240884" y="24739702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en-US" sz="1100"/>
                <a:t> 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515100</xdr:colOff>
      <xdr:row>112</xdr:row>
      <xdr:rowOff>11043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5F81233E-F731-426B-8281-27D180E5906C}"/>
                </a:ext>
              </a:extLst>
            </xdr:cNvPr>
            <xdr:cNvSpPr txBox="1"/>
          </xdr:nvSpPr>
          <xdr:spPr>
            <a:xfrm>
              <a:off x="515100" y="24748434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4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5F81233E-F731-426B-8281-27D180E5906C}"/>
                </a:ext>
              </a:extLst>
            </xdr:cNvPr>
            <xdr:cNvSpPr txBox="1"/>
          </xdr:nvSpPr>
          <xdr:spPr>
            <a:xfrm>
              <a:off x="515100" y="24748434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110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CF064024-EE62-45F6-B5D8-6F3817DA86CA}"/>
                </a:ext>
              </a:extLst>
            </xdr:cNvPr>
            <xdr:cNvSpPr txBox="1"/>
          </xdr:nvSpPr>
          <xdr:spPr>
            <a:xfrm>
              <a:off x="2445488" y="23834651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</a:t>
              </a:r>
              <a:r>
                <a:rPr lang="en-US" sz="1100"/>
                <a:t>1</a:t>
              </a:r>
              <a:endParaRPr lang="ru-RU" sz="11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CF064024-EE62-45F6-B5D8-6F3817DA86CA}"/>
                </a:ext>
              </a:extLst>
            </xdr:cNvPr>
            <xdr:cNvSpPr txBox="1"/>
          </xdr:nvSpPr>
          <xdr:spPr>
            <a:xfrm>
              <a:off x="2445488" y="23834651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</a:t>
              </a:r>
              <a:r>
                <a:rPr lang="en-US" sz="1100"/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11044</xdr:colOff>
      <xdr:row>112</xdr:row>
      <xdr:rowOff>33131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7CE325A-6A1D-433A-BC65-597AA496D361}"/>
                </a:ext>
              </a:extLst>
            </xdr:cNvPr>
            <xdr:cNvSpPr txBox="1"/>
          </xdr:nvSpPr>
          <xdr:spPr>
            <a:xfrm>
              <a:off x="2440609" y="24770522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</a:t>
              </a:r>
              <a:r>
                <a:rPr lang="en-US" sz="1100"/>
                <a:t>2</a:t>
              </a:r>
              <a:endParaRPr lang="ru-RU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7CE325A-6A1D-433A-BC65-597AA496D361}"/>
                </a:ext>
              </a:extLst>
            </xdr:cNvPr>
            <xdr:cNvSpPr txBox="1"/>
          </xdr:nvSpPr>
          <xdr:spPr>
            <a:xfrm>
              <a:off x="2440609" y="24770522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</a:t>
              </a:r>
              <a:r>
                <a:rPr lang="en-US" sz="1100"/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113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0066260D-9640-4B2A-B850-C33007F9BF22}"/>
                </a:ext>
              </a:extLst>
            </xdr:cNvPr>
            <xdr:cNvSpPr txBox="1"/>
          </xdr:nvSpPr>
          <xdr:spPr>
            <a:xfrm>
              <a:off x="2445488" y="24924488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</a:t>
              </a:r>
              <a:r>
                <a:rPr lang="en-US" sz="1100"/>
                <a:t>2</a:t>
              </a:r>
              <a:endParaRPr lang="ru-RU" sz="1100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0066260D-9640-4B2A-B850-C33007F9BF22}"/>
                </a:ext>
              </a:extLst>
            </xdr:cNvPr>
            <xdr:cNvSpPr txBox="1"/>
          </xdr:nvSpPr>
          <xdr:spPr>
            <a:xfrm>
              <a:off x="2445488" y="24924488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</a:t>
              </a:r>
              <a:r>
                <a:rPr lang="en-US" sz="1100"/>
                <a:t>2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</xdr:col>
      <xdr:colOff>301751</xdr:colOff>
      <xdr:row>110</xdr:row>
      <xdr:rowOff>192746</xdr:rowOff>
    </xdr:from>
    <xdr:to>
      <xdr:col>2</xdr:col>
      <xdr:colOff>320260</xdr:colOff>
      <xdr:row>110</xdr:row>
      <xdr:rowOff>198782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C0BDE7ED-A8BC-4318-BF04-A2D8D2C42857}"/>
            </a:ext>
          </a:extLst>
        </xdr:cNvPr>
        <xdr:cNvCxnSpPr/>
      </xdr:nvCxnSpPr>
      <xdr:spPr>
        <a:xfrm>
          <a:off x="909142" y="24201268"/>
          <a:ext cx="625901" cy="60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296891</xdr:colOff>
      <xdr:row>110</xdr:row>
      <xdr:rowOff>210468</xdr:rowOff>
    </xdr:from>
    <xdr:to>
      <xdr:col>2</xdr:col>
      <xdr:colOff>305751</xdr:colOff>
      <xdr:row>111</xdr:row>
      <xdr:rowOff>157305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E4AE520E-B67C-4F81-A5D4-AF7CCF8C0826}"/>
            </a:ext>
          </a:extLst>
        </xdr:cNvPr>
        <xdr:cNvCxnSpPr/>
      </xdr:nvCxnSpPr>
      <xdr:spPr>
        <a:xfrm flipH="1">
          <a:off x="1511674" y="24218990"/>
          <a:ext cx="8860" cy="3112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276088</xdr:colOff>
      <xdr:row>111</xdr:row>
      <xdr:rowOff>165652</xdr:rowOff>
    </xdr:from>
    <xdr:to>
      <xdr:col>2</xdr:col>
      <xdr:colOff>298174</xdr:colOff>
      <xdr:row>111</xdr:row>
      <xdr:rowOff>176695</xdr:rowOff>
    </xdr:to>
    <xdr:cxnSp macro="">
      <xdr:nvCxnSpPr>
        <xdr:cNvPr id="56" name="Прямая со стрелкой 55">
          <a:extLst>
            <a:ext uri="{FF2B5EF4-FFF2-40B4-BE49-F238E27FC236}">
              <a16:creationId xmlns:a16="http://schemas.microsoft.com/office/drawing/2014/main" id="{BF7E8588-8EA3-4CA9-87CD-DB961788D9A3}"/>
            </a:ext>
          </a:extLst>
        </xdr:cNvPr>
        <xdr:cNvCxnSpPr/>
      </xdr:nvCxnSpPr>
      <xdr:spPr>
        <a:xfrm flipH="1" flipV="1">
          <a:off x="883479" y="24538609"/>
          <a:ext cx="629478" cy="110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285846</xdr:colOff>
      <xdr:row>110</xdr:row>
      <xdr:rowOff>199723</xdr:rowOff>
    </xdr:from>
    <xdr:to>
      <xdr:col>1</xdr:col>
      <xdr:colOff>291124</xdr:colOff>
      <xdr:row>111</xdr:row>
      <xdr:rowOff>157306</xdr:rowOff>
    </xdr:to>
    <xdr:cxnSp macro="">
      <xdr:nvCxnSpPr>
        <xdr:cNvPr id="58" name="Прямая со стрелкой 57">
          <a:extLst>
            <a:ext uri="{FF2B5EF4-FFF2-40B4-BE49-F238E27FC236}">
              <a16:creationId xmlns:a16="http://schemas.microsoft.com/office/drawing/2014/main" id="{9641C491-6AAD-40EA-9F42-2E37FE7006DF}"/>
            </a:ext>
          </a:extLst>
        </xdr:cNvPr>
        <xdr:cNvCxnSpPr/>
      </xdr:nvCxnSpPr>
      <xdr:spPr>
        <a:xfrm flipV="1">
          <a:off x="893237" y="24208245"/>
          <a:ext cx="5278" cy="3220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235672</xdr:colOff>
      <xdr:row>111</xdr:row>
      <xdr:rowOff>92105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D4D8E9A5-538A-4B9C-BB8D-F11E0832AE98}"/>
                </a:ext>
              </a:extLst>
            </xdr:cNvPr>
            <xdr:cNvSpPr txBox="1"/>
          </xdr:nvSpPr>
          <xdr:spPr>
            <a:xfrm>
              <a:off x="1450455" y="24465062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+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D4D8E9A5-538A-4B9C-BB8D-F11E0832AE98}"/>
                </a:ext>
              </a:extLst>
            </xdr:cNvPr>
            <xdr:cNvSpPr txBox="1"/>
          </xdr:nvSpPr>
          <xdr:spPr>
            <a:xfrm>
              <a:off x="1450455" y="24465062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+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33365</xdr:colOff>
      <xdr:row>110</xdr:row>
      <xdr:rowOff>84002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D062BCFA-A5A9-4B89-AED6-91DF3A2FF445}"/>
                </a:ext>
              </a:extLst>
            </xdr:cNvPr>
            <xdr:cNvSpPr txBox="1"/>
          </xdr:nvSpPr>
          <xdr:spPr>
            <a:xfrm>
              <a:off x="640756" y="24092524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0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+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D062BCFA-A5A9-4B89-AED6-91DF3A2FF445}"/>
                </a:ext>
              </a:extLst>
            </xdr:cNvPr>
            <xdr:cNvSpPr txBox="1"/>
          </xdr:nvSpPr>
          <xdr:spPr>
            <a:xfrm>
              <a:off x="640756" y="24092524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+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</xdr:col>
      <xdr:colOff>258699</xdr:colOff>
      <xdr:row>110</xdr:row>
      <xdr:rowOff>31720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3988539-997A-46E4-A285-8384DACBDA6A}"/>
                </a:ext>
              </a:extLst>
            </xdr:cNvPr>
            <xdr:cNvSpPr txBox="1"/>
          </xdr:nvSpPr>
          <xdr:spPr>
            <a:xfrm>
              <a:off x="1473482" y="24040242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3988539-997A-46E4-A285-8384DACBDA6A}"/>
                </a:ext>
              </a:extLst>
            </xdr:cNvPr>
            <xdr:cNvSpPr txBox="1"/>
          </xdr:nvSpPr>
          <xdr:spPr>
            <a:xfrm>
              <a:off x="1473482" y="24040242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138514</xdr:colOff>
      <xdr:row>111</xdr:row>
      <xdr:rowOff>103150</xdr:rowOff>
    </xdr:from>
    <xdr:ext cx="28575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1146F219-C4A8-47E3-89FD-9E2E158E5C43}"/>
                </a:ext>
              </a:extLst>
            </xdr:cNvPr>
            <xdr:cNvSpPr txBox="1"/>
          </xdr:nvSpPr>
          <xdr:spPr>
            <a:xfrm>
              <a:off x="745905" y="24476107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−</m:t>
                    </m:r>
                  </m:oMath>
                </m:oMathPara>
              </a14:m>
              <a:endParaRPr lang="ru-RU" sz="1600" b="1" i="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1146F219-C4A8-47E3-89FD-9E2E158E5C43}"/>
                </a:ext>
              </a:extLst>
            </xdr:cNvPr>
            <xdr:cNvSpPr txBox="1"/>
          </xdr:nvSpPr>
          <xdr:spPr>
            <a:xfrm>
              <a:off x="745905" y="24476107"/>
              <a:ext cx="28575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</a:t>
              </a:r>
              <a:endParaRPr lang="ru-RU" sz="1600" b="1" i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111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FBE0FDD5-F807-483F-B70F-9C864B7BDE99}"/>
                </a:ext>
              </a:extLst>
            </xdr:cNvPr>
            <xdr:cNvSpPr txBox="1"/>
          </xdr:nvSpPr>
          <xdr:spPr>
            <a:xfrm>
              <a:off x="4255851" y="24262404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1</a:t>
              </a: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FBE0FDD5-F807-483F-B70F-9C864B7BDE99}"/>
                </a:ext>
              </a:extLst>
            </xdr:cNvPr>
            <xdr:cNvSpPr txBox="1"/>
          </xdr:nvSpPr>
          <xdr:spPr>
            <a:xfrm>
              <a:off x="4255851" y="24262404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1</a:t>
              </a:r>
            </a:p>
          </xdr:txBody>
        </xdr:sp>
      </mc:Fallback>
    </mc:AlternateContent>
    <xdr:clientData/>
  </xdr:oneCellAnchor>
  <xdr:oneCellAnchor>
    <xdr:from>
      <xdr:col>7</xdr:col>
      <xdr:colOff>0</xdr:colOff>
      <xdr:row>112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4D32548B-04FD-43EF-A1D7-AF4A38EA84E6}"/>
                </a:ext>
              </a:extLst>
            </xdr:cNvPr>
            <xdr:cNvSpPr txBox="1"/>
          </xdr:nvSpPr>
          <xdr:spPr>
            <a:xfrm>
              <a:off x="4255851" y="24627191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4</a:t>
              </a: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4D32548B-04FD-43EF-A1D7-AF4A38EA84E6}"/>
                </a:ext>
              </a:extLst>
            </xdr:cNvPr>
            <xdr:cNvSpPr txBox="1"/>
          </xdr:nvSpPr>
          <xdr:spPr>
            <a:xfrm>
              <a:off x="4255851" y="24627191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4</a:t>
              </a:r>
            </a:p>
          </xdr:txBody>
        </xdr:sp>
      </mc:Fallback>
    </mc:AlternateContent>
    <xdr:clientData/>
  </xdr:oneCellAnchor>
  <xdr:oneCellAnchor>
    <xdr:from>
      <xdr:col>8</xdr:col>
      <xdr:colOff>0</xdr:colOff>
      <xdr:row>112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6EBB480-E99E-4CA2-941F-391A2B8CE58B}"/>
                </a:ext>
              </a:extLst>
            </xdr:cNvPr>
            <xdr:cNvSpPr txBox="1"/>
          </xdr:nvSpPr>
          <xdr:spPr>
            <a:xfrm>
              <a:off x="4863830" y="24627191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2</a:t>
              </a: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56EBB480-E99E-4CA2-941F-391A2B8CE58B}"/>
                </a:ext>
              </a:extLst>
            </xdr:cNvPr>
            <xdr:cNvSpPr txBox="1"/>
          </xdr:nvSpPr>
          <xdr:spPr>
            <a:xfrm>
              <a:off x="4863830" y="24627191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2</a:t>
              </a:r>
            </a:p>
          </xdr:txBody>
        </xdr:sp>
      </mc:Fallback>
    </mc:AlternateContent>
    <xdr:clientData/>
  </xdr:oneCellAnchor>
  <xdr:oneCellAnchor>
    <xdr:from>
      <xdr:col>8</xdr:col>
      <xdr:colOff>0</xdr:colOff>
      <xdr:row>113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B790F02-591D-454E-AC9C-469DB547FE49}"/>
                </a:ext>
              </a:extLst>
            </xdr:cNvPr>
            <xdr:cNvSpPr txBox="1"/>
          </xdr:nvSpPr>
          <xdr:spPr>
            <a:xfrm>
              <a:off x="4863830" y="24991979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4</a:t>
              </a: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B790F02-591D-454E-AC9C-469DB547FE49}"/>
                </a:ext>
              </a:extLst>
            </xdr:cNvPr>
            <xdr:cNvSpPr txBox="1"/>
          </xdr:nvSpPr>
          <xdr:spPr>
            <a:xfrm>
              <a:off x="4863830" y="24991979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4</a:t>
              </a:r>
            </a:p>
          </xdr:txBody>
        </xdr:sp>
      </mc:Fallback>
    </mc:AlternateContent>
    <xdr:clientData/>
  </xdr:oneCellAnchor>
  <xdr:oneCellAnchor>
    <xdr:from>
      <xdr:col>9</xdr:col>
      <xdr:colOff>0</xdr:colOff>
      <xdr:row>110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F2FB8100-1B11-4876-96ED-433CA54B2102}"/>
                </a:ext>
              </a:extLst>
            </xdr:cNvPr>
            <xdr:cNvSpPr txBox="1"/>
          </xdr:nvSpPr>
          <xdr:spPr>
            <a:xfrm>
              <a:off x="5471809" y="23897617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1</a:t>
              </a: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F2FB8100-1B11-4876-96ED-433CA54B2102}"/>
                </a:ext>
              </a:extLst>
            </xdr:cNvPr>
            <xdr:cNvSpPr txBox="1"/>
          </xdr:nvSpPr>
          <xdr:spPr>
            <a:xfrm>
              <a:off x="5471809" y="23897617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1</a:t>
              </a:r>
            </a:p>
          </xdr:txBody>
        </xdr:sp>
      </mc:Fallback>
    </mc:AlternateContent>
    <xdr:clientData/>
  </xdr:oneCellAnchor>
  <xdr:oneCellAnchor>
    <xdr:from>
      <xdr:col>10</xdr:col>
      <xdr:colOff>0</xdr:colOff>
      <xdr:row>110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0E9BD6FD-B2F6-46C4-A358-5690108A0E54}"/>
                </a:ext>
              </a:extLst>
            </xdr:cNvPr>
            <xdr:cNvSpPr txBox="1"/>
          </xdr:nvSpPr>
          <xdr:spPr>
            <a:xfrm>
              <a:off x="6079787" y="23897617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1</a:t>
              </a:r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0E9BD6FD-B2F6-46C4-A358-5690108A0E54}"/>
                </a:ext>
              </a:extLst>
            </xdr:cNvPr>
            <xdr:cNvSpPr txBox="1"/>
          </xdr:nvSpPr>
          <xdr:spPr>
            <a:xfrm>
              <a:off x="6079787" y="23897617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1</a:t>
              </a:r>
            </a:p>
          </xdr:txBody>
        </xdr:sp>
      </mc:Fallback>
    </mc:AlternateContent>
    <xdr:clientData/>
  </xdr:oneCellAnchor>
  <xdr:oneCellAnchor>
    <xdr:from>
      <xdr:col>9</xdr:col>
      <xdr:colOff>0</xdr:colOff>
      <xdr:row>111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4296A288-AA71-4665-A759-F7919C20728C}"/>
                </a:ext>
              </a:extLst>
            </xdr:cNvPr>
            <xdr:cNvSpPr txBox="1"/>
          </xdr:nvSpPr>
          <xdr:spPr>
            <a:xfrm>
              <a:off x="5471809" y="24262404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1</a:t>
              </a: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4296A288-AA71-4665-A759-F7919C20728C}"/>
                </a:ext>
              </a:extLst>
            </xdr:cNvPr>
            <xdr:cNvSpPr txBox="1"/>
          </xdr:nvSpPr>
          <xdr:spPr>
            <a:xfrm>
              <a:off x="5471809" y="24262404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1</a:t>
              </a:r>
            </a:p>
          </xdr:txBody>
        </xdr:sp>
      </mc:Fallback>
    </mc:AlternateContent>
    <xdr:clientData/>
  </xdr:oneCellAnchor>
  <xdr:oneCellAnchor>
    <xdr:from>
      <xdr:col>10</xdr:col>
      <xdr:colOff>0</xdr:colOff>
      <xdr:row>112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5A1A469C-6490-4C64-B4ED-29C1D46A9ADA}"/>
                </a:ext>
              </a:extLst>
            </xdr:cNvPr>
            <xdr:cNvSpPr txBox="1"/>
          </xdr:nvSpPr>
          <xdr:spPr>
            <a:xfrm>
              <a:off x="6079787" y="24627191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1</a:t>
              </a: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5A1A469C-6490-4C64-B4ED-29C1D46A9ADA}"/>
                </a:ext>
              </a:extLst>
            </xdr:cNvPr>
            <xdr:cNvSpPr txBox="1"/>
          </xdr:nvSpPr>
          <xdr:spPr>
            <a:xfrm>
              <a:off x="6079787" y="24627191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1</a:t>
              </a:r>
            </a:p>
          </xdr:txBody>
        </xdr:sp>
      </mc:Fallback>
    </mc:AlternateContent>
    <xdr:clientData/>
  </xdr:oneCellAnchor>
  <xdr:oneCellAnchor>
    <xdr:from>
      <xdr:col>10</xdr:col>
      <xdr:colOff>0</xdr:colOff>
      <xdr:row>113</xdr:row>
      <xdr:rowOff>0</xdr:rowOff>
    </xdr:from>
    <xdr:ext cx="631263" cy="16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A689C0AB-BA43-45A3-9A47-99887912418E}"/>
                </a:ext>
              </a:extLst>
            </xdr:cNvPr>
            <xdr:cNvSpPr txBox="1"/>
          </xdr:nvSpPr>
          <xdr:spPr>
            <a:xfrm>
              <a:off x="6079787" y="24991979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ru-RU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∆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=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ru-RU" sz="1100"/>
                <a:t> 1</a:t>
              </a:r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A689C0AB-BA43-45A3-9A47-99887912418E}"/>
                </a:ext>
              </a:extLst>
            </xdr:cNvPr>
            <xdr:cNvSpPr txBox="1"/>
          </xdr:nvSpPr>
          <xdr:spPr>
            <a:xfrm>
              <a:off x="6079787" y="24991979"/>
              <a:ext cx="631263" cy="162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ru-RU" sz="1100"/>
                <a:t> 1</a:t>
              </a:r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7</xdr:row>
      <xdr:rowOff>159489</xdr:rowOff>
    </xdr:from>
    <xdr:to>
      <xdr:col>2</xdr:col>
      <xdr:colOff>425303</xdr:colOff>
      <xdr:row>15</xdr:row>
      <xdr:rowOff>109557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52761B7C-9270-9035-F4D8-AB586F34F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61977"/>
          <a:ext cx="1648047" cy="14386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08B2-0631-4A8A-B033-5A2D830F6454}">
  <dimension ref="A1:G73"/>
  <sheetViews>
    <sheetView showGridLines="0" workbookViewId="0"/>
  </sheetViews>
  <sheetFormatPr defaultRowHeight="14.4" x14ac:dyDescent="0.3"/>
  <cols>
    <col min="1" max="1" width="2.33203125" customWidth="1"/>
    <col min="2" max="2" width="7.21875" bestFit="1" customWidth="1"/>
    <col min="3" max="3" width="5.55468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24" t="s">
        <v>43</v>
      </c>
    </row>
    <row r="2" spans="1:5" x14ac:dyDescent="0.3">
      <c r="A2" s="24" t="s">
        <v>44</v>
      </c>
    </row>
    <row r="3" spans="1:5" x14ac:dyDescent="0.3">
      <c r="A3" s="24" t="s">
        <v>126</v>
      </c>
    </row>
    <row r="4" spans="1:5" x14ac:dyDescent="0.3">
      <c r="A4" s="24" t="s">
        <v>45</v>
      </c>
    </row>
    <row r="5" spans="1:5" x14ac:dyDescent="0.3">
      <c r="A5" s="24" t="s">
        <v>46</v>
      </c>
    </row>
    <row r="6" spans="1:5" x14ac:dyDescent="0.3">
      <c r="A6" s="24"/>
      <c r="B6" t="s">
        <v>47</v>
      </c>
    </row>
    <row r="7" spans="1:5" x14ac:dyDescent="0.3">
      <c r="A7" s="24"/>
      <c r="B7" t="s">
        <v>48</v>
      </c>
    </row>
    <row r="8" spans="1:5" x14ac:dyDescent="0.3">
      <c r="A8" s="24"/>
      <c r="B8" t="s">
        <v>127</v>
      </c>
    </row>
    <row r="9" spans="1:5" x14ac:dyDescent="0.3">
      <c r="A9" s="24" t="s">
        <v>49</v>
      </c>
    </row>
    <row r="10" spans="1:5" x14ac:dyDescent="0.3">
      <c r="B10" t="s">
        <v>50</v>
      </c>
    </row>
    <row r="11" spans="1:5" x14ac:dyDescent="0.3">
      <c r="B11" t="s">
        <v>51</v>
      </c>
    </row>
    <row r="14" spans="1:5" ht="15" thickBot="1" x14ac:dyDescent="0.35">
      <c r="A14" t="s">
        <v>52</v>
      </c>
    </row>
    <row r="15" spans="1:5" ht="15" thickBot="1" x14ac:dyDescent="0.35">
      <c r="B15" s="26" t="s">
        <v>53</v>
      </c>
      <c r="C15" s="26" t="s">
        <v>54</v>
      </c>
      <c r="D15" s="26" t="s">
        <v>55</v>
      </c>
      <c r="E15" s="26" t="s">
        <v>56</v>
      </c>
    </row>
    <row r="16" spans="1:5" ht="15" thickBot="1" x14ac:dyDescent="0.35">
      <c r="B16" s="25" t="s">
        <v>64</v>
      </c>
      <c r="C16" s="25" t="s">
        <v>6</v>
      </c>
      <c r="D16" s="25">
        <v>240</v>
      </c>
      <c r="E16" s="25">
        <v>320</v>
      </c>
    </row>
    <row r="19" spans="1:6" ht="15" thickBot="1" x14ac:dyDescent="0.35">
      <c r="A19" t="s">
        <v>57</v>
      </c>
    </row>
    <row r="20" spans="1:6" ht="15" thickBot="1" x14ac:dyDescent="0.35">
      <c r="B20" s="26" t="s">
        <v>53</v>
      </c>
      <c r="C20" s="26" t="s">
        <v>54</v>
      </c>
      <c r="D20" s="26" t="s">
        <v>55</v>
      </c>
      <c r="E20" s="26" t="s">
        <v>56</v>
      </c>
      <c r="F20" s="26" t="s">
        <v>58</v>
      </c>
    </row>
    <row r="21" spans="1:6" ht="28.8" x14ac:dyDescent="0.3">
      <c r="B21" s="27" t="s">
        <v>65</v>
      </c>
      <c r="C21" s="28" t="s">
        <v>10</v>
      </c>
      <c r="D21" s="27">
        <v>0</v>
      </c>
      <c r="E21" s="27">
        <v>0</v>
      </c>
      <c r="F21" s="27" t="s">
        <v>66</v>
      </c>
    </row>
    <row r="22" spans="1:6" ht="28.8" x14ac:dyDescent="0.3">
      <c r="B22" s="27" t="s">
        <v>67</v>
      </c>
      <c r="C22" s="28" t="s">
        <v>12</v>
      </c>
      <c r="D22" s="27">
        <v>20</v>
      </c>
      <c r="E22" s="27">
        <v>20</v>
      </c>
      <c r="F22" s="27" t="s">
        <v>66</v>
      </c>
    </row>
    <row r="23" spans="1:6" ht="28.8" x14ac:dyDescent="0.3">
      <c r="B23" s="27" t="s">
        <v>68</v>
      </c>
      <c r="C23" s="28" t="s">
        <v>10</v>
      </c>
      <c r="D23" s="27">
        <v>0</v>
      </c>
      <c r="E23" s="27">
        <v>0</v>
      </c>
      <c r="F23" s="27" t="s">
        <v>66</v>
      </c>
    </row>
    <row r="24" spans="1:6" ht="28.8" x14ac:dyDescent="0.3">
      <c r="B24" s="27" t="s">
        <v>69</v>
      </c>
      <c r="C24" s="28" t="s">
        <v>11</v>
      </c>
      <c r="D24" s="27">
        <v>0</v>
      </c>
      <c r="E24" s="27">
        <v>0</v>
      </c>
      <c r="F24" s="27" t="s">
        <v>66</v>
      </c>
    </row>
    <row r="25" spans="1:6" ht="28.8" x14ac:dyDescent="0.3">
      <c r="B25" s="27" t="s">
        <v>70</v>
      </c>
      <c r="C25" s="28" t="s">
        <v>13</v>
      </c>
      <c r="D25" s="27">
        <v>0</v>
      </c>
      <c r="E25" s="27">
        <v>0</v>
      </c>
      <c r="F25" s="27" t="s">
        <v>66</v>
      </c>
    </row>
    <row r="26" spans="1:6" ht="28.8" x14ac:dyDescent="0.3">
      <c r="B26" s="27" t="s">
        <v>71</v>
      </c>
      <c r="C26" s="28" t="s">
        <v>10</v>
      </c>
      <c r="D26" s="27">
        <v>0</v>
      </c>
      <c r="E26" s="27">
        <v>0</v>
      </c>
      <c r="F26" s="27" t="s">
        <v>66</v>
      </c>
    </row>
    <row r="27" spans="1:6" ht="28.8" x14ac:dyDescent="0.3">
      <c r="B27" s="27" t="s">
        <v>72</v>
      </c>
      <c r="C27" s="28" t="s">
        <v>12</v>
      </c>
      <c r="D27" s="27">
        <v>0</v>
      </c>
      <c r="E27" s="27">
        <v>0</v>
      </c>
      <c r="F27" s="27" t="s">
        <v>66</v>
      </c>
    </row>
    <row r="28" spans="1:6" ht="28.8" x14ac:dyDescent="0.3">
      <c r="B28" s="27" t="s">
        <v>73</v>
      </c>
      <c r="C28" s="28" t="s">
        <v>10</v>
      </c>
      <c r="D28" s="27">
        <v>0</v>
      </c>
      <c r="E28" s="27">
        <v>20</v>
      </c>
      <c r="F28" s="27" t="s">
        <v>66</v>
      </c>
    </row>
    <row r="29" spans="1:6" ht="28.8" x14ac:dyDescent="0.3">
      <c r="B29" s="27" t="s">
        <v>74</v>
      </c>
      <c r="C29" s="28" t="s">
        <v>11</v>
      </c>
      <c r="D29" s="27">
        <v>0</v>
      </c>
      <c r="E29" s="27">
        <v>0</v>
      </c>
      <c r="F29" s="27" t="s">
        <v>66</v>
      </c>
    </row>
    <row r="30" spans="1:6" ht="28.8" x14ac:dyDescent="0.3">
      <c r="B30" s="27" t="s">
        <v>75</v>
      </c>
      <c r="C30" s="28" t="s">
        <v>13</v>
      </c>
      <c r="D30" s="27">
        <v>20</v>
      </c>
      <c r="E30" s="27">
        <v>20</v>
      </c>
      <c r="F30" s="27" t="s">
        <v>66</v>
      </c>
    </row>
    <row r="31" spans="1:6" ht="28.8" x14ac:dyDescent="0.3">
      <c r="B31" s="27" t="s">
        <v>76</v>
      </c>
      <c r="C31" s="28" t="s">
        <v>10</v>
      </c>
      <c r="D31" s="27">
        <v>0</v>
      </c>
      <c r="E31" s="27">
        <v>0</v>
      </c>
      <c r="F31" s="27" t="s">
        <v>66</v>
      </c>
    </row>
    <row r="32" spans="1:6" ht="28.8" x14ac:dyDescent="0.3">
      <c r="B32" s="27" t="s">
        <v>77</v>
      </c>
      <c r="C32" s="28" t="s">
        <v>12</v>
      </c>
      <c r="D32" s="27">
        <v>0</v>
      </c>
      <c r="E32" s="27">
        <v>0</v>
      </c>
      <c r="F32" s="27" t="s">
        <v>66</v>
      </c>
    </row>
    <row r="33" spans="1:7" ht="28.8" x14ac:dyDescent="0.3">
      <c r="B33" s="27" t="s">
        <v>78</v>
      </c>
      <c r="C33" s="28" t="s">
        <v>10</v>
      </c>
      <c r="D33" s="27">
        <v>20</v>
      </c>
      <c r="E33" s="27">
        <v>20</v>
      </c>
      <c r="F33" s="27" t="s">
        <v>66</v>
      </c>
    </row>
    <row r="34" spans="1:7" ht="28.8" x14ac:dyDescent="0.3">
      <c r="B34" s="27" t="s">
        <v>79</v>
      </c>
      <c r="C34" s="28" t="s">
        <v>11</v>
      </c>
      <c r="D34" s="27">
        <v>0</v>
      </c>
      <c r="E34" s="27">
        <v>0</v>
      </c>
      <c r="F34" s="27" t="s">
        <v>66</v>
      </c>
    </row>
    <row r="35" spans="1:7" ht="28.8" x14ac:dyDescent="0.3">
      <c r="B35" s="27" t="s">
        <v>80</v>
      </c>
      <c r="C35" s="28" t="s">
        <v>13</v>
      </c>
      <c r="D35" s="27">
        <v>0</v>
      </c>
      <c r="E35" s="27">
        <v>0</v>
      </c>
      <c r="F35" s="27" t="s">
        <v>66</v>
      </c>
    </row>
    <row r="36" spans="1:7" ht="28.8" x14ac:dyDescent="0.3">
      <c r="B36" s="27" t="s">
        <v>81</v>
      </c>
      <c r="C36" s="28" t="s">
        <v>10</v>
      </c>
      <c r="D36" s="27">
        <v>20</v>
      </c>
      <c r="E36" s="27">
        <v>20</v>
      </c>
      <c r="F36" s="27" t="s">
        <v>66</v>
      </c>
    </row>
    <row r="37" spans="1:7" ht="28.8" x14ac:dyDescent="0.3">
      <c r="B37" s="27" t="s">
        <v>82</v>
      </c>
      <c r="C37" s="28" t="s">
        <v>12</v>
      </c>
      <c r="D37" s="27">
        <v>0</v>
      </c>
      <c r="E37" s="27">
        <v>0</v>
      </c>
      <c r="F37" s="27" t="s">
        <v>66</v>
      </c>
    </row>
    <row r="38" spans="1:7" ht="28.8" x14ac:dyDescent="0.3">
      <c r="B38" s="27" t="s">
        <v>83</v>
      </c>
      <c r="C38" s="28" t="s">
        <v>10</v>
      </c>
      <c r="D38" s="27">
        <v>0</v>
      </c>
      <c r="E38" s="27">
        <v>0</v>
      </c>
      <c r="F38" s="27" t="s">
        <v>66</v>
      </c>
    </row>
    <row r="39" spans="1:7" ht="28.8" x14ac:dyDescent="0.3">
      <c r="B39" s="27" t="s">
        <v>84</v>
      </c>
      <c r="C39" s="28" t="s">
        <v>11</v>
      </c>
      <c r="D39" s="27">
        <v>20</v>
      </c>
      <c r="E39" s="27">
        <v>20</v>
      </c>
      <c r="F39" s="27" t="s">
        <v>66</v>
      </c>
    </row>
    <row r="40" spans="1:7" ht="29.4" thickBot="1" x14ac:dyDescent="0.35">
      <c r="B40" s="25" t="s">
        <v>85</v>
      </c>
      <c r="C40" s="29" t="s">
        <v>13</v>
      </c>
      <c r="D40" s="25">
        <v>0</v>
      </c>
      <c r="E40" s="25">
        <v>0</v>
      </c>
      <c r="F40" s="25" t="s">
        <v>66</v>
      </c>
    </row>
    <row r="43" spans="1:7" ht="15" thickBot="1" x14ac:dyDescent="0.35">
      <c r="A43" t="s">
        <v>59</v>
      </c>
    </row>
    <row r="44" spans="1:7" ht="15" thickBot="1" x14ac:dyDescent="0.35">
      <c r="B44" s="26" t="s">
        <v>53</v>
      </c>
      <c r="C44" s="26" t="s">
        <v>54</v>
      </c>
      <c r="D44" s="26" t="s">
        <v>60</v>
      </c>
      <c r="E44" s="26" t="s">
        <v>61</v>
      </c>
      <c r="F44" s="26" t="s">
        <v>62</v>
      </c>
      <c r="G44" s="26" t="s">
        <v>63</v>
      </c>
    </row>
    <row r="45" spans="1:7" x14ac:dyDescent="0.3">
      <c r="B45" s="27" t="s">
        <v>86</v>
      </c>
      <c r="C45" s="27" t="s">
        <v>6</v>
      </c>
      <c r="D45" s="27">
        <v>20</v>
      </c>
      <c r="E45" s="27" t="s">
        <v>87</v>
      </c>
      <c r="F45" s="27" t="s">
        <v>88</v>
      </c>
      <c r="G45" s="27">
        <v>0</v>
      </c>
    </row>
    <row r="46" spans="1:7" x14ac:dyDescent="0.3">
      <c r="B46" s="27" t="s">
        <v>89</v>
      </c>
      <c r="C46" s="27" t="s">
        <v>6</v>
      </c>
      <c r="D46" s="27">
        <v>40</v>
      </c>
      <c r="E46" s="27" t="s">
        <v>90</v>
      </c>
      <c r="F46" s="27" t="s">
        <v>88</v>
      </c>
      <c r="G46" s="27">
        <v>0</v>
      </c>
    </row>
    <row r="47" spans="1:7" x14ac:dyDescent="0.3">
      <c r="B47" s="27" t="s">
        <v>91</v>
      </c>
      <c r="C47" s="27" t="s">
        <v>6</v>
      </c>
      <c r="D47" s="27">
        <v>20</v>
      </c>
      <c r="E47" s="27" t="s">
        <v>92</v>
      </c>
      <c r="F47" s="27" t="s">
        <v>88</v>
      </c>
      <c r="G47" s="27">
        <v>0</v>
      </c>
    </row>
    <row r="48" spans="1:7" x14ac:dyDescent="0.3">
      <c r="B48" s="27" t="s">
        <v>93</v>
      </c>
      <c r="C48" s="27" t="s">
        <v>6</v>
      </c>
      <c r="D48" s="27">
        <v>40</v>
      </c>
      <c r="E48" s="27" t="s">
        <v>94</v>
      </c>
      <c r="F48" s="27" t="s">
        <v>88</v>
      </c>
      <c r="G48" s="27">
        <v>0</v>
      </c>
    </row>
    <row r="49" spans="2:7" ht="28.8" x14ac:dyDescent="0.3">
      <c r="B49" s="27" t="s">
        <v>95</v>
      </c>
      <c r="C49" s="28" t="s">
        <v>10</v>
      </c>
      <c r="D49" s="27">
        <v>20</v>
      </c>
      <c r="E49" s="27" t="s">
        <v>96</v>
      </c>
      <c r="F49" s="27" t="s">
        <v>88</v>
      </c>
      <c r="G49" s="27">
        <v>0</v>
      </c>
    </row>
    <row r="50" spans="2:7" ht="28.8" x14ac:dyDescent="0.3">
      <c r="B50" s="27" t="s">
        <v>97</v>
      </c>
      <c r="C50" s="28" t="s">
        <v>12</v>
      </c>
      <c r="D50" s="27">
        <v>20</v>
      </c>
      <c r="E50" s="27" t="s">
        <v>98</v>
      </c>
      <c r="F50" s="27" t="s">
        <v>88</v>
      </c>
      <c r="G50" s="27">
        <v>0</v>
      </c>
    </row>
    <row r="51" spans="2:7" ht="28.8" x14ac:dyDescent="0.3">
      <c r="B51" s="27" t="s">
        <v>99</v>
      </c>
      <c r="C51" s="28" t="s">
        <v>10</v>
      </c>
      <c r="D51" s="27">
        <v>40</v>
      </c>
      <c r="E51" s="27" t="s">
        <v>100</v>
      </c>
      <c r="F51" s="27" t="s">
        <v>88</v>
      </c>
      <c r="G51" s="27">
        <v>0</v>
      </c>
    </row>
    <row r="52" spans="2:7" ht="28.8" x14ac:dyDescent="0.3">
      <c r="B52" s="27" t="s">
        <v>101</v>
      </c>
      <c r="C52" s="28" t="s">
        <v>11</v>
      </c>
      <c r="D52" s="27">
        <v>20</v>
      </c>
      <c r="E52" s="27" t="s">
        <v>102</v>
      </c>
      <c r="F52" s="27" t="s">
        <v>88</v>
      </c>
      <c r="G52" s="27">
        <v>0</v>
      </c>
    </row>
    <row r="53" spans="2:7" ht="28.8" x14ac:dyDescent="0.3">
      <c r="B53" s="27" t="s">
        <v>103</v>
      </c>
      <c r="C53" s="28" t="s">
        <v>13</v>
      </c>
      <c r="D53" s="27">
        <v>20</v>
      </c>
      <c r="E53" s="27" t="s">
        <v>104</v>
      </c>
      <c r="F53" s="27" t="s">
        <v>88</v>
      </c>
      <c r="G53" s="27">
        <v>0</v>
      </c>
    </row>
    <row r="54" spans="2:7" ht="28.8" x14ac:dyDescent="0.3">
      <c r="B54" s="27" t="s">
        <v>65</v>
      </c>
      <c r="C54" s="28" t="s">
        <v>10</v>
      </c>
      <c r="D54" s="27">
        <v>0</v>
      </c>
      <c r="E54" s="27" t="s">
        <v>105</v>
      </c>
      <c r="F54" s="27" t="s">
        <v>88</v>
      </c>
      <c r="G54" s="27">
        <v>0</v>
      </c>
    </row>
    <row r="55" spans="2:7" ht="28.8" x14ac:dyDescent="0.3">
      <c r="B55" s="27" t="s">
        <v>67</v>
      </c>
      <c r="C55" s="28" t="s">
        <v>12</v>
      </c>
      <c r="D55" s="27">
        <v>20</v>
      </c>
      <c r="E55" s="27" t="s">
        <v>106</v>
      </c>
      <c r="F55" s="27" t="s">
        <v>107</v>
      </c>
      <c r="G55" s="27">
        <v>20</v>
      </c>
    </row>
    <row r="56" spans="2:7" ht="28.8" x14ac:dyDescent="0.3">
      <c r="B56" s="27" t="s">
        <v>68</v>
      </c>
      <c r="C56" s="28" t="s">
        <v>10</v>
      </c>
      <c r="D56" s="27">
        <v>0</v>
      </c>
      <c r="E56" s="27" t="s">
        <v>108</v>
      </c>
      <c r="F56" s="27" t="s">
        <v>88</v>
      </c>
      <c r="G56" s="27">
        <v>0</v>
      </c>
    </row>
    <row r="57" spans="2:7" ht="28.8" x14ac:dyDescent="0.3">
      <c r="B57" s="27" t="s">
        <v>69</v>
      </c>
      <c r="C57" s="28" t="s">
        <v>11</v>
      </c>
      <c r="D57" s="27">
        <v>0</v>
      </c>
      <c r="E57" s="27" t="s">
        <v>109</v>
      </c>
      <c r="F57" s="27" t="s">
        <v>88</v>
      </c>
      <c r="G57" s="27">
        <v>0</v>
      </c>
    </row>
    <row r="58" spans="2:7" ht="28.8" x14ac:dyDescent="0.3">
      <c r="B58" s="27" t="s">
        <v>70</v>
      </c>
      <c r="C58" s="28" t="s">
        <v>13</v>
      </c>
      <c r="D58" s="27">
        <v>0</v>
      </c>
      <c r="E58" s="27" t="s">
        <v>110</v>
      </c>
      <c r="F58" s="27" t="s">
        <v>88</v>
      </c>
      <c r="G58" s="27">
        <v>0</v>
      </c>
    </row>
    <row r="59" spans="2:7" ht="28.8" x14ac:dyDescent="0.3">
      <c r="B59" s="27" t="s">
        <v>71</v>
      </c>
      <c r="C59" s="28" t="s">
        <v>10</v>
      </c>
      <c r="D59" s="27">
        <v>0</v>
      </c>
      <c r="E59" s="27" t="s">
        <v>111</v>
      </c>
      <c r="F59" s="27" t="s">
        <v>88</v>
      </c>
      <c r="G59" s="27">
        <v>0</v>
      </c>
    </row>
    <row r="60" spans="2:7" ht="28.8" x14ac:dyDescent="0.3">
      <c r="B60" s="27" t="s">
        <v>72</v>
      </c>
      <c r="C60" s="28" t="s">
        <v>12</v>
      </c>
      <c r="D60" s="27">
        <v>0</v>
      </c>
      <c r="E60" s="27" t="s">
        <v>112</v>
      </c>
      <c r="F60" s="27" t="s">
        <v>88</v>
      </c>
      <c r="G60" s="27">
        <v>0</v>
      </c>
    </row>
    <row r="61" spans="2:7" ht="28.8" x14ac:dyDescent="0.3">
      <c r="B61" s="27" t="s">
        <v>73</v>
      </c>
      <c r="C61" s="28" t="s">
        <v>10</v>
      </c>
      <c r="D61" s="27">
        <v>20</v>
      </c>
      <c r="E61" s="27" t="s">
        <v>113</v>
      </c>
      <c r="F61" s="27" t="s">
        <v>107</v>
      </c>
      <c r="G61" s="27">
        <v>20</v>
      </c>
    </row>
    <row r="62" spans="2:7" ht="28.8" x14ac:dyDescent="0.3">
      <c r="B62" s="27" t="s">
        <v>74</v>
      </c>
      <c r="C62" s="28" t="s">
        <v>11</v>
      </c>
      <c r="D62" s="27">
        <v>0</v>
      </c>
      <c r="E62" s="27" t="s">
        <v>114</v>
      </c>
      <c r="F62" s="27" t="s">
        <v>88</v>
      </c>
      <c r="G62" s="27">
        <v>0</v>
      </c>
    </row>
    <row r="63" spans="2:7" ht="28.8" x14ac:dyDescent="0.3">
      <c r="B63" s="27" t="s">
        <v>75</v>
      </c>
      <c r="C63" s="28" t="s">
        <v>13</v>
      </c>
      <c r="D63" s="27">
        <v>20</v>
      </c>
      <c r="E63" s="27" t="s">
        <v>115</v>
      </c>
      <c r="F63" s="27" t="s">
        <v>107</v>
      </c>
      <c r="G63" s="27">
        <v>20</v>
      </c>
    </row>
    <row r="64" spans="2:7" ht="28.8" x14ac:dyDescent="0.3">
      <c r="B64" s="27" t="s">
        <v>76</v>
      </c>
      <c r="C64" s="28" t="s">
        <v>10</v>
      </c>
      <c r="D64" s="27">
        <v>0</v>
      </c>
      <c r="E64" s="27" t="s">
        <v>116</v>
      </c>
      <c r="F64" s="27" t="s">
        <v>88</v>
      </c>
      <c r="G64" s="27">
        <v>0</v>
      </c>
    </row>
    <row r="65" spans="2:7" ht="28.8" x14ac:dyDescent="0.3">
      <c r="B65" s="27" t="s">
        <v>77</v>
      </c>
      <c r="C65" s="28" t="s">
        <v>12</v>
      </c>
      <c r="D65" s="27">
        <v>0</v>
      </c>
      <c r="E65" s="27" t="s">
        <v>117</v>
      </c>
      <c r="F65" s="27" t="s">
        <v>88</v>
      </c>
      <c r="G65" s="27">
        <v>0</v>
      </c>
    </row>
    <row r="66" spans="2:7" ht="28.8" x14ac:dyDescent="0.3">
      <c r="B66" s="27" t="s">
        <v>78</v>
      </c>
      <c r="C66" s="28" t="s">
        <v>10</v>
      </c>
      <c r="D66" s="27">
        <v>20</v>
      </c>
      <c r="E66" s="27" t="s">
        <v>118</v>
      </c>
      <c r="F66" s="27" t="s">
        <v>107</v>
      </c>
      <c r="G66" s="27">
        <v>20</v>
      </c>
    </row>
    <row r="67" spans="2:7" ht="28.8" x14ac:dyDescent="0.3">
      <c r="B67" s="27" t="s">
        <v>79</v>
      </c>
      <c r="C67" s="28" t="s">
        <v>11</v>
      </c>
      <c r="D67" s="27">
        <v>0</v>
      </c>
      <c r="E67" s="27" t="s">
        <v>119</v>
      </c>
      <c r="F67" s="27" t="s">
        <v>88</v>
      </c>
      <c r="G67" s="27">
        <v>0</v>
      </c>
    </row>
    <row r="68" spans="2:7" ht="28.8" x14ac:dyDescent="0.3">
      <c r="B68" s="27" t="s">
        <v>80</v>
      </c>
      <c r="C68" s="28" t="s">
        <v>13</v>
      </c>
      <c r="D68" s="27">
        <v>0</v>
      </c>
      <c r="E68" s="27" t="s">
        <v>120</v>
      </c>
      <c r="F68" s="27" t="s">
        <v>88</v>
      </c>
      <c r="G68" s="27">
        <v>0</v>
      </c>
    </row>
    <row r="69" spans="2:7" ht="28.8" x14ac:dyDescent="0.3">
      <c r="B69" s="27" t="s">
        <v>81</v>
      </c>
      <c r="C69" s="28" t="s">
        <v>10</v>
      </c>
      <c r="D69" s="27">
        <v>20</v>
      </c>
      <c r="E69" s="27" t="s">
        <v>121</v>
      </c>
      <c r="F69" s="27" t="s">
        <v>107</v>
      </c>
      <c r="G69" s="27">
        <v>20</v>
      </c>
    </row>
    <row r="70" spans="2:7" ht="28.8" x14ac:dyDescent="0.3">
      <c r="B70" s="27" t="s">
        <v>82</v>
      </c>
      <c r="C70" s="28" t="s">
        <v>12</v>
      </c>
      <c r="D70" s="27">
        <v>0</v>
      </c>
      <c r="E70" s="27" t="s">
        <v>122</v>
      </c>
      <c r="F70" s="27" t="s">
        <v>88</v>
      </c>
      <c r="G70" s="27">
        <v>0</v>
      </c>
    </row>
    <row r="71" spans="2:7" ht="28.8" x14ac:dyDescent="0.3">
      <c r="B71" s="27" t="s">
        <v>83</v>
      </c>
      <c r="C71" s="28" t="s">
        <v>10</v>
      </c>
      <c r="D71" s="27">
        <v>0</v>
      </c>
      <c r="E71" s="27" t="s">
        <v>123</v>
      </c>
      <c r="F71" s="27" t="s">
        <v>88</v>
      </c>
      <c r="G71" s="27">
        <v>0</v>
      </c>
    </row>
    <row r="72" spans="2:7" ht="28.8" x14ac:dyDescent="0.3">
      <c r="B72" s="27" t="s">
        <v>84</v>
      </c>
      <c r="C72" s="28" t="s">
        <v>11</v>
      </c>
      <c r="D72" s="27">
        <v>20</v>
      </c>
      <c r="E72" s="27" t="s">
        <v>124</v>
      </c>
      <c r="F72" s="27" t="s">
        <v>107</v>
      </c>
      <c r="G72" s="27">
        <v>20</v>
      </c>
    </row>
    <row r="73" spans="2:7" ht="29.4" thickBot="1" x14ac:dyDescent="0.35">
      <c r="B73" s="25" t="s">
        <v>85</v>
      </c>
      <c r="C73" s="29" t="s">
        <v>13</v>
      </c>
      <c r="D73" s="25">
        <v>0</v>
      </c>
      <c r="E73" s="25" t="s">
        <v>125</v>
      </c>
      <c r="F73" s="25" t="s">
        <v>88</v>
      </c>
      <c r="G73" s="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4F10-D4CA-40F7-A326-A1EEED7658E8}">
  <dimension ref="A1:W133"/>
  <sheetViews>
    <sheetView topLeftCell="A10" zoomScale="85" zoomScaleNormal="85" workbookViewId="0">
      <selection activeCell="G15" sqref="G15"/>
    </sheetView>
  </sheetViews>
  <sheetFormatPr defaultRowHeight="14.4" x14ac:dyDescent="0.3"/>
  <cols>
    <col min="2" max="2" width="8.109375" customWidth="1"/>
    <col min="3" max="3" width="9" customWidth="1"/>
    <col min="4" max="4" width="8.44140625" customWidth="1"/>
    <col min="5" max="5" width="8.88671875" customWidth="1"/>
    <col min="6" max="6" width="9" customWidth="1"/>
    <col min="7" max="7" width="8.5546875" customWidth="1"/>
    <col min="8" max="8" width="8.21875" customWidth="1"/>
    <col min="9" max="10" width="8.33203125" customWidth="1"/>
  </cols>
  <sheetData>
    <row r="1" spans="1:1" x14ac:dyDescent="0.3">
      <c r="A1" t="s">
        <v>0</v>
      </c>
    </row>
    <row r="11" spans="1:1" x14ac:dyDescent="0.3">
      <c r="A11" t="s">
        <v>1</v>
      </c>
    </row>
    <row r="17" spans="1:10" x14ac:dyDescent="0.3">
      <c r="A17" s="56" t="s">
        <v>328</v>
      </c>
      <c r="B17" s="56"/>
      <c r="C17" s="56"/>
      <c r="D17" s="56"/>
      <c r="E17" s="56"/>
      <c r="F17" s="56"/>
      <c r="G17" s="56"/>
      <c r="H17" s="56"/>
      <c r="I17" s="56"/>
      <c r="J17" s="56"/>
    </row>
    <row r="18" spans="1:10" x14ac:dyDescent="0.3">
      <c r="A18" s="56"/>
      <c r="B18" s="56"/>
      <c r="C18" s="56"/>
      <c r="D18" s="56"/>
      <c r="E18" s="56"/>
      <c r="F18" s="56"/>
      <c r="G18" s="56"/>
      <c r="H18" s="56"/>
      <c r="I18" s="56"/>
      <c r="J18" s="56"/>
    </row>
    <row r="19" spans="1:10" x14ac:dyDescent="0.3">
      <c r="A19" s="55"/>
      <c r="B19" s="55"/>
      <c r="C19" s="55"/>
      <c r="D19" s="55"/>
      <c r="E19" s="55"/>
      <c r="F19" s="55"/>
      <c r="G19" s="55"/>
      <c r="H19" s="55"/>
      <c r="I19" s="55"/>
      <c r="J19" s="55"/>
    </row>
    <row r="20" spans="1:10" x14ac:dyDescent="0.3">
      <c r="A20" t="s">
        <v>330</v>
      </c>
      <c r="E20" t="s">
        <v>2</v>
      </c>
    </row>
    <row r="21" spans="1:10" x14ac:dyDescent="0.3">
      <c r="A21" t="s">
        <v>331</v>
      </c>
      <c r="E21" t="s">
        <v>3</v>
      </c>
    </row>
    <row r="22" spans="1:10" x14ac:dyDescent="0.3">
      <c r="A22" t="s">
        <v>332</v>
      </c>
      <c r="E22" t="s">
        <v>4</v>
      </c>
    </row>
    <row r="23" spans="1:10" x14ac:dyDescent="0.3">
      <c r="A23" t="s">
        <v>333</v>
      </c>
      <c r="E23" t="s">
        <v>5</v>
      </c>
    </row>
    <row r="25" spans="1:10" x14ac:dyDescent="0.3">
      <c r="A25" t="s">
        <v>7</v>
      </c>
    </row>
    <row r="27" spans="1:10" x14ac:dyDescent="0.3">
      <c r="A27" t="s">
        <v>329</v>
      </c>
    </row>
    <row r="28" spans="1:10" x14ac:dyDescent="0.3">
      <c r="A28" t="s">
        <v>8</v>
      </c>
    </row>
    <row r="30" spans="1:10" x14ac:dyDescent="0.3">
      <c r="A30" s="2" t="s">
        <v>6</v>
      </c>
      <c r="B30" s="3">
        <v>20</v>
      </c>
      <c r="C30" s="3">
        <v>20</v>
      </c>
      <c r="D30" s="3">
        <v>40</v>
      </c>
      <c r="E30" s="3">
        <v>20</v>
      </c>
      <c r="F30" s="3">
        <v>20</v>
      </c>
    </row>
    <row r="31" spans="1:10" x14ac:dyDescent="0.3">
      <c r="A31" s="4">
        <v>20</v>
      </c>
      <c r="B31">
        <v>2</v>
      </c>
      <c r="C31">
        <v>2</v>
      </c>
      <c r="D31">
        <v>3</v>
      </c>
      <c r="E31">
        <v>4</v>
      </c>
      <c r="F31" s="5">
        <v>0</v>
      </c>
    </row>
    <row r="32" spans="1:10" x14ac:dyDescent="0.3">
      <c r="A32" s="4">
        <v>40</v>
      </c>
      <c r="B32">
        <v>4</v>
      </c>
      <c r="C32">
        <v>5</v>
      </c>
      <c r="D32">
        <v>4</v>
      </c>
      <c r="E32">
        <v>7</v>
      </c>
      <c r="F32" s="5">
        <v>0</v>
      </c>
    </row>
    <row r="33" spans="1:20" x14ac:dyDescent="0.3">
      <c r="A33" s="4">
        <v>20</v>
      </c>
      <c r="B33">
        <v>6</v>
      </c>
      <c r="C33">
        <v>7</v>
      </c>
      <c r="D33">
        <v>3</v>
      </c>
      <c r="E33">
        <v>5</v>
      </c>
      <c r="F33" s="5">
        <v>0</v>
      </c>
    </row>
    <row r="34" spans="1:20" x14ac:dyDescent="0.3">
      <c r="A34" s="4">
        <v>40</v>
      </c>
      <c r="B34" s="6">
        <v>3</v>
      </c>
      <c r="C34" s="6">
        <v>5</v>
      </c>
      <c r="D34" s="6">
        <v>7</v>
      </c>
      <c r="E34" s="6">
        <v>4</v>
      </c>
      <c r="F34" s="7">
        <v>0</v>
      </c>
    </row>
    <row r="36" spans="1:20" x14ac:dyDescent="0.3">
      <c r="A36" s="2" t="s">
        <v>6</v>
      </c>
      <c r="B36" s="3">
        <v>20</v>
      </c>
      <c r="C36" s="3">
        <v>0</v>
      </c>
      <c r="D36" s="3">
        <v>40</v>
      </c>
      <c r="E36" s="3">
        <v>20</v>
      </c>
      <c r="F36" s="3">
        <v>20</v>
      </c>
      <c r="H36" s="2" t="s">
        <v>6</v>
      </c>
      <c r="I36" s="3">
        <v>0</v>
      </c>
      <c r="J36" s="3">
        <v>0</v>
      </c>
      <c r="K36" s="3">
        <v>40</v>
      </c>
      <c r="L36" s="3">
        <v>20</v>
      </c>
      <c r="M36" s="3">
        <v>20</v>
      </c>
      <c r="O36" s="2" t="s">
        <v>6</v>
      </c>
      <c r="P36" s="3">
        <v>0</v>
      </c>
      <c r="Q36" s="3">
        <v>0</v>
      </c>
      <c r="R36" s="3">
        <v>20</v>
      </c>
      <c r="S36" s="3">
        <v>20</v>
      </c>
      <c r="T36" s="3">
        <v>20</v>
      </c>
    </row>
    <row r="37" spans="1:20" ht="28.8" x14ac:dyDescent="0.3">
      <c r="A37" s="4">
        <v>0</v>
      </c>
      <c r="B37" s="16">
        <v>2</v>
      </c>
      <c r="C37" s="15" t="s">
        <v>9</v>
      </c>
      <c r="D37" s="16">
        <v>3</v>
      </c>
      <c r="E37" s="16">
        <v>4</v>
      </c>
      <c r="F37" s="16">
        <v>0</v>
      </c>
      <c r="H37" s="4">
        <v>0</v>
      </c>
      <c r="I37" s="16">
        <v>2</v>
      </c>
      <c r="J37" s="15" t="s">
        <v>9</v>
      </c>
      <c r="K37" s="16">
        <v>3</v>
      </c>
      <c r="L37" s="16">
        <v>4</v>
      </c>
      <c r="M37" s="16">
        <v>0</v>
      </c>
      <c r="O37" s="4">
        <v>0</v>
      </c>
      <c r="P37" s="16">
        <v>2</v>
      </c>
      <c r="Q37" s="15" t="s">
        <v>9</v>
      </c>
      <c r="R37" s="16">
        <v>3</v>
      </c>
      <c r="S37" s="16">
        <v>4</v>
      </c>
      <c r="T37" s="16">
        <v>0</v>
      </c>
    </row>
    <row r="38" spans="1:20" ht="28.2" customHeight="1" x14ac:dyDescent="0.3">
      <c r="A38" s="4">
        <v>40</v>
      </c>
      <c r="B38">
        <v>4</v>
      </c>
      <c r="C38">
        <v>5</v>
      </c>
      <c r="D38">
        <v>4</v>
      </c>
      <c r="E38">
        <v>7</v>
      </c>
      <c r="F38">
        <v>0</v>
      </c>
      <c r="H38" s="4">
        <v>40</v>
      </c>
      <c r="I38" s="16">
        <v>4</v>
      </c>
      <c r="J38">
        <v>5</v>
      </c>
      <c r="K38">
        <v>4</v>
      </c>
      <c r="L38">
        <v>7</v>
      </c>
      <c r="M38">
        <v>0</v>
      </c>
      <c r="O38" s="4">
        <v>40</v>
      </c>
      <c r="P38" s="16">
        <v>4</v>
      </c>
      <c r="Q38">
        <v>5</v>
      </c>
      <c r="R38">
        <v>4</v>
      </c>
      <c r="S38">
        <v>7</v>
      </c>
      <c r="T38">
        <v>0</v>
      </c>
    </row>
    <row r="39" spans="1:20" ht="28.2" customHeight="1" x14ac:dyDescent="0.3">
      <c r="A39" s="4">
        <v>20</v>
      </c>
      <c r="B39">
        <v>6</v>
      </c>
      <c r="C39">
        <v>7</v>
      </c>
      <c r="D39">
        <v>3</v>
      </c>
      <c r="E39">
        <v>5</v>
      </c>
      <c r="F39">
        <v>0</v>
      </c>
      <c r="H39" s="4">
        <v>20</v>
      </c>
      <c r="I39" s="16">
        <v>6</v>
      </c>
      <c r="J39">
        <v>7</v>
      </c>
      <c r="K39">
        <v>3</v>
      </c>
      <c r="L39">
        <v>5</v>
      </c>
      <c r="M39">
        <v>0</v>
      </c>
      <c r="O39" s="4">
        <v>0</v>
      </c>
      <c r="P39" s="16">
        <v>6</v>
      </c>
      <c r="Q39" s="16">
        <v>7</v>
      </c>
      <c r="R39" s="15" t="s">
        <v>10</v>
      </c>
      <c r="S39" s="16">
        <v>5</v>
      </c>
      <c r="T39" s="16">
        <v>0</v>
      </c>
    </row>
    <row r="40" spans="1:20" ht="28.2" customHeight="1" x14ac:dyDescent="0.3">
      <c r="A40" s="4">
        <v>40</v>
      </c>
      <c r="B40">
        <v>3</v>
      </c>
      <c r="C40">
        <v>5</v>
      </c>
      <c r="D40">
        <v>7</v>
      </c>
      <c r="E40">
        <v>4</v>
      </c>
      <c r="F40">
        <v>0</v>
      </c>
      <c r="H40" s="4">
        <v>20</v>
      </c>
      <c r="I40" s="15" t="s">
        <v>10</v>
      </c>
      <c r="J40">
        <v>5</v>
      </c>
      <c r="K40">
        <v>7</v>
      </c>
      <c r="L40">
        <v>4</v>
      </c>
      <c r="M40">
        <v>0</v>
      </c>
      <c r="O40" s="4">
        <v>20</v>
      </c>
      <c r="P40" s="15" t="s">
        <v>10</v>
      </c>
      <c r="Q40">
        <v>5</v>
      </c>
      <c r="R40">
        <v>7</v>
      </c>
      <c r="S40">
        <v>4</v>
      </c>
      <c r="T40">
        <v>0</v>
      </c>
    </row>
    <row r="42" spans="1:20" x14ac:dyDescent="0.3">
      <c r="A42" s="2" t="s">
        <v>6</v>
      </c>
      <c r="B42" s="3">
        <v>0</v>
      </c>
      <c r="C42" s="3">
        <v>0</v>
      </c>
      <c r="D42" s="3">
        <v>0</v>
      </c>
      <c r="E42" s="3">
        <v>20</v>
      </c>
      <c r="F42" s="3">
        <v>20</v>
      </c>
      <c r="H42" s="2" t="s">
        <v>6</v>
      </c>
      <c r="I42" s="3">
        <v>0</v>
      </c>
      <c r="J42" s="3">
        <v>0</v>
      </c>
      <c r="K42" s="3">
        <v>0</v>
      </c>
      <c r="L42" s="3">
        <v>0</v>
      </c>
      <c r="M42" s="3">
        <v>20</v>
      </c>
      <c r="O42" s="2" t="s">
        <v>6</v>
      </c>
      <c r="P42" s="3">
        <v>0</v>
      </c>
      <c r="Q42" s="3">
        <v>0</v>
      </c>
      <c r="R42" s="3">
        <v>0</v>
      </c>
      <c r="S42" s="3">
        <v>0</v>
      </c>
      <c r="T42" s="3">
        <v>20</v>
      </c>
    </row>
    <row r="43" spans="1:20" ht="28.8" x14ac:dyDescent="0.3">
      <c r="A43" s="4">
        <v>0</v>
      </c>
      <c r="B43" s="16">
        <v>2</v>
      </c>
      <c r="C43" s="15" t="s">
        <v>9</v>
      </c>
      <c r="D43" s="16">
        <v>3</v>
      </c>
      <c r="E43" s="16">
        <v>4</v>
      </c>
      <c r="F43" s="16">
        <v>0</v>
      </c>
      <c r="H43" s="4">
        <v>0</v>
      </c>
      <c r="I43" s="16">
        <v>2</v>
      </c>
      <c r="J43" s="15" t="s">
        <v>9</v>
      </c>
      <c r="K43" s="16">
        <v>3</v>
      </c>
      <c r="L43" s="16">
        <v>4</v>
      </c>
      <c r="M43" s="16">
        <v>0</v>
      </c>
      <c r="O43" s="4">
        <v>0</v>
      </c>
      <c r="P43" s="16">
        <v>2</v>
      </c>
      <c r="Q43" s="15" t="s">
        <v>9</v>
      </c>
      <c r="R43" s="16">
        <v>3</v>
      </c>
      <c r="S43" s="16">
        <v>4</v>
      </c>
      <c r="T43" s="16">
        <v>0</v>
      </c>
    </row>
    <row r="44" spans="1:20" ht="28.8" customHeight="1" x14ac:dyDescent="0.3">
      <c r="A44" s="4">
        <v>20</v>
      </c>
      <c r="B44" s="16">
        <v>4</v>
      </c>
      <c r="C44">
        <v>5</v>
      </c>
      <c r="D44" s="15" t="s">
        <v>11</v>
      </c>
      <c r="E44">
        <v>7</v>
      </c>
      <c r="F44">
        <v>0</v>
      </c>
      <c r="H44" s="4">
        <v>20</v>
      </c>
      <c r="I44" s="16">
        <v>4</v>
      </c>
      <c r="J44">
        <v>5</v>
      </c>
      <c r="K44" s="15" t="s">
        <v>11</v>
      </c>
      <c r="L44">
        <v>7</v>
      </c>
      <c r="M44">
        <v>0</v>
      </c>
      <c r="O44" s="4">
        <v>20</v>
      </c>
      <c r="P44" s="16">
        <v>4</v>
      </c>
      <c r="Q44" s="15" t="s">
        <v>12</v>
      </c>
      <c r="R44" s="15" t="s">
        <v>11</v>
      </c>
      <c r="S44">
        <v>7</v>
      </c>
      <c r="T44">
        <v>0</v>
      </c>
    </row>
    <row r="45" spans="1:20" ht="28.2" customHeight="1" x14ac:dyDescent="0.3">
      <c r="A45" s="4">
        <v>0</v>
      </c>
      <c r="B45" s="16">
        <v>6</v>
      </c>
      <c r="C45" s="16">
        <v>7</v>
      </c>
      <c r="D45" s="15" t="s">
        <v>10</v>
      </c>
      <c r="E45" s="16">
        <v>5</v>
      </c>
      <c r="F45" s="16">
        <v>0</v>
      </c>
      <c r="H45" s="4">
        <v>0</v>
      </c>
      <c r="I45" s="16">
        <v>6</v>
      </c>
      <c r="J45" s="16">
        <v>7</v>
      </c>
      <c r="K45" s="15" t="s">
        <v>10</v>
      </c>
      <c r="L45" s="16">
        <v>5</v>
      </c>
      <c r="M45" s="16">
        <v>0</v>
      </c>
      <c r="O45" s="4">
        <v>0</v>
      </c>
      <c r="P45" s="16">
        <v>6</v>
      </c>
      <c r="Q45" s="16">
        <v>7</v>
      </c>
      <c r="R45" s="15" t="s">
        <v>10</v>
      </c>
      <c r="S45" s="16">
        <v>5</v>
      </c>
      <c r="T45" s="16">
        <v>0</v>
      </c>
    </row>
    <row r="46" spans="1:20" ht="28.2" customHeight="1" x14ac:dyDescent="0.3">
      <c r="A46" s="4">
        <v>20</v>
      </c>
      <c r="B46" s="15" t="s">
        <v>10</v>
      </c>
      <c r="C46">
        <v>5</v>
      </c>
      <c r="D46" s="16">
        <v>7</v>
      </c>
      <c r="E46">
        <v>4</v>
      </c>
      <c r="F46">
        <v>0</v>
      </c>
      <c r="H46" s="4">
        <v>0</v>
      </c>
      <c r="I46" s="15" t="s">
        <v>10</v>
      </c>
      <c r="J46" s="16">
        <v>5</v>
      </c>
      <c r="K46" s="16">
        <v>7</v>
      </c>
      <c r="L46" s="15" t="s">
        <v>11</v>
      </c>
      <c r="M46" s="16">
        <v>0</v>
      </c>
      <c r="O46" s="4">
        <v>0</v>
      </c>
      <c r="P46" s="15" t="s">
        <v>10</v>
      </c>
      <c r="Q46" s="16">
        <v>5</v>
      </c>
      <c r="R46" s="16">
        <v>7</v>
      </c>
      <c r="S46" s="15" t="s">
        <v>11</v>
      </c>
      <c r="T46" s="16">
        <v>0</v>
      </c>
    </row>
    <row r="48" spans="1:20" x14ac:dyDescent="0.3">
      <c r="A48" s="2" t="s">
        <v>6</v>
      </c>
      <c r="B48" s="3">
        <v>0</v>
      </c>
      <c r="C48" s="3">
        <v>0</v>
      </c>
      <c r="D48" s="3">
        <v>0</v>
      </c>
      <c r="E48" s="3">
        <v>0</v>
      </c>
      <c r="F48" s="3">
        <v>20</v>
      </c>
      <c r="H48" s="2" t="s">
        <v>6</v>
      </c>
      <c r="I48" s="3">
        <v>0</v>
      </c>
      <c r="J48" s="3">
        <v>0</v>
      </c>
      <c r="K48" s="3">
        <v>0</v>
      </c>
      <c r="L48" s="3">
        <v>0</v>
      </c>
      <c r="M48" s="3">
        <v>20</v>
      </c>
      <c r="O48" s="2" t="s">
        <v>6</v>
      </c>
      <c r="P48" s="3">
        <v>0</v>
      </c>
      <c r="Q48" s="3">
        <v>0</v>
      </c>
      <c r="R48" s="3">
        <v>0</v>
      </c>
      <c r="S48" s="3">
        <v>0</v>
      </c>
      <c r="T48" s="3">
        <v>20</v>
      </c>
    </row>
    <row r="49" spans="1:20" ht="28.8" x14ac:dyDescent="0.3">
      <c r="A49" s="4">
        <v>0</v>
      </c>
      <c r="B49" s="16">
        <v>2</v>
      </c>
      <c r="C49" s="15" t="s">
        <v>9</v>
      </c>
      <c r="D49" s="16">
        <v>3</v>
      </c>
      <c r="E49" s="16">
        <v>4</v>
      </c>
      <c r="F49" s="16">
        <v>0</v>
      </c>
      <c r="H49" s="4">
        <v>0</v>
      </c>
      <c r="I49" s="16">
        <v>2</v>
      </c>
      <c r="J49" s="15" t="s">
        <v>9</v>
      </c>
      <c r="K49" s="16">
        <v>3</v>
      </c>
      <c r="L49" s="16">
        <v>4</v>
      </c>
      <c r="M49" s="16">
        <v>0</v>
      </c>
      <c r="O49" s="4">
        <v>0</v>
      </c>
      <c r="P49" s="16">
        <v>2</v>
      </c>
      <c r="Q49" s="15" t="s">
        <v>9</v>
      </c>
      <c r="R49" s="16">
        <v>3</v>
      </c>
      <c r="S49" s="16">
        <v>4</v>
      </c>
      <c r="T49" s="16">
        <v>0</v>
      </c>
    </row>
    <row r="50" spans="1:20" ht="28.2" customHeight="1" x14ac:dyDescent="0.3">
      <c r="A50" s="4">
        <v>20</v>
      </c>
      <c r="B50" s="16">
        <v>4</v>
      </c>
      <c r="C50" s="15" t="s">
        <v>12</v>
      </c>
      <c r="D50" s="15" t="s">
        <v>11</v>
      </c>
      <c r="E50" s="15" t="s">
        <v>25</v>
      </c>
      <c r="F50">
        <v>0</v>
      </c>
      <c r="H50" s="4">
        <v>20</v>
      </c>
      <c r="I50" s="16">
        <v>4</v>
      </c>
      <c r="J50" s="15" t="s">
        <v>12</v>
      </c>
      <c r="K50" s="15" t="s">
        <v>11</v>
      </c>
      <c r="L50" s="15" t="s">
        <v>25</v>
      </c>
      <c r="M50" s="15" t="s">
        <v>13</v>
      </c>
      <c r="O50" s="4">
        <v>20</v>
      </c>
      <c r="P50" s="16">
        <v>4</v>
      </c>
      <c r="Q50" s="15" t="s">
        <v>12</v>
      </c>
      <c r="R50" s="15" t="s">
        <v>11</v>
      </c>
      <c r="S50" s="15" t="s">
        <v>25</v>
      </c>
      <c r="T50" s="15" t="s">
        <v>13</v>
      </c>
    </row>
    <row r="51" spans="1:20" ht="29.4" customHeight="1" x14ac:dyDescent="0.3">
      <c r="A51" s="4">
        <v>0</v>
      </c>
      <c r="B51" s="16">
        <v>6</v>
      </c>
      <c r="C51" s="16">
        <v>7</v>
      </c>
      <c r="D51" s="15" t="s">
        <v>10</v>
      </c>
      <c r="E51" s="16">
        <v>5</v>
      </c>
      <c r="F51" s="16">
        <v>0</v>
      </c>
      <c r="H51" s="4">
        <v>0</v>
      </c>
      <c r="I51" s="16">
        <v>6</v>
      </c>
      <c r="J51" s="16">
        <v>7</v>
      </c>
      <c r="K51" s="15" t="s">
        <v>10</v>
      </c>
      <c r="L51" s="16">
        <v>5</v>
      </c>
      <c r="M51" s="16">
        <v>0</v>
      </c>
      <c r="O51" s="4">
        <v>0</v>
      </c>
      <c r="P51" s="16">
        <v>6</v>
      </c>
      <c r="Q51" s="16">
        <v>7</v>
      </c>
      <c r="R51" s="15" t="s">
        <v>10</v>
      </c>
      <c r="S51" s="16">
        <v>5</v>
      </c>
      <c r="T51" s="16">
        <v>0</v>
      </c>
    </row>
    <row r="52" spans="1:20" ht="28.2" customHeight="1" x14ac:dyDescent="0.3">
      <c r="A52" s="4">
        <v>0</v>
      </c>
      <c r="B52" s="15" t="s">
        <v>10</v>
      </c>
      <c r="C52" s="16">
        <v>5</v>
      </c>
      <c r="D52" s="16">
        <v>7</v>
      </c>
      <c r="E52" s="15" t="s">
        <v>11</v>
      </c>
      <c r="F52" s="16">
        <v>0</v>
      </c>
      <c r="H52" s="4">
        <v>0</v>
      </c>
      <c r="I52" s="15" t="s">
        <v>10</v>
      </c>
      <c r="J52" s="16">
        <v>5</v>
      </c>
      <c r="K52" s="16">
        <v>7</v>
      </c>
      <c r="L52" s="15" t="s">
        <v>11</v>
      </c>
      <c r="M52" s="16">
        <v>0</v>
      </c>
      <c r="O52" s="4">
        <v>0</v>
      </c>
      <c r="P52" s="15" t="s">
        <v>10</v>
      </c>
      <c r="Q52" s="16">
        <v>5</v>
      </c>
      <c r="R52" s="16">
        <v>7</v>
      </c>
      <c r="S52" s="15" t="s">
        <v>11</v>
      </c>
      <c r="T52" s="16">
        <v>0</v>
      </c>
    </row>
    <row r="56" spans="1:20" ht="28.8" customHeight="1" x14ac:dyDescent="0.3">
      <c r="A56" s="1"/>
      <c r="B56" s="1" t="s">
        <v>29</v>
      </c>
      <c r="C56" s="1" t="s">
        <v>17</v>
      </c>
      <c r="D56" s="1" t="s">
        <v>21</v>
      </c>
      <c r="E56" s="1" t="s">
        <v>27</v>
      </c>
      <c r="F56" s="1" t="s">
        <v>23</v>
      </c>
      <c r="H56" s="1"/>
      <c r="I56" s="1" t="s">
        <v>31</v>
      </c>
      <c r="J56" s="1" t="s">
        <v>17</v>
      </c>
      <c r="K56" s="1" t="s">
        <v>21</v>
      </c>
      <c r="L56" s="1" t="s">
        <v>33</v>
      </c>
      <c r="M56" s="1" t="s">
        <v>23</v>
      </c>
    </row>
    <row r="57" spans="1:20" ht="28.8" x14ac:dyDescent="0.3">
      <c r="A57" s="1" t="s">
        <v>15</v>
      </c>
      <c r="B57" s="16">
        <v>2</v>
      </c>
      <c r="C57" s="15" t="s">
        <v>9</v>
      </c>
      <c r="D57" s="16">
        <v>3</v>
      </c>
      <c r="E57" s="16">
        <v>4</v>
      </c>
      <c r="F57" s="16">
        <v>0</v>
      </c>
      <c r="H57" s="1" t="s">
        <v>15</v>
      </c>
      <c r="I57" s="16">
        <v>2</v>
      </c>
      <c r="J57" s="15" t="s">
        <v>9</v>
      </c>
      <c r="K57" s="16">
        <v>3</v>
      </c>
      <c r="L57" s="16">
        <v>4</v>
      </c>
      <c r="M57" s="16">
        <v>0</v>
      </c>
    </row>
    <row r="58" spans="1:20" ht="28.8" customHeight="1" x14ac:dyDescent="0.3">
      <c r="A58" s="1" t="s">
        <v>18</v>
      </c>
      <c r="B58" s="16">
        <v>4</v>
      </c>
      <c r="C58" s="15" t="s">
        <v>12</v>
      </c>
      <c r="D58" s="15" t="s">
        <v>11</v>
      </c>
      <c r="E58" s="15" t="s">
        <v>25</v>
      </c>
      <c r="F58" s="15" t="s">
        <v>13</v>
      </c>
      <c r="H58" s="1" t="s">
        <v>18</v>
      </c>
      <c r="I58" s="15" t="s">
        <v>30</v>
      </c>
      <c r="J58" s="15" t="s">
        <v>12</v>
      </c>
      <c r="K58" s="15" t="s">
        <v>11</v>
      </c>
      <c r="L58" s="14">
        <v>7</v>
      </c>
      <c r="M58" s="15" t="s">
        <v>13</v>
      </c>
    </row>
    <row r="59" spans="1:20" ht="28.8" x14ac:dyDescent="0.3">
      <c r="A59" s="1" t="s">
        <v>22</v>
      </c>
      <c r="B59" s="16">
        <v>6</v>
      </c>
      <c r="C59" s="16">
        <v>7</v>
      </c>
      <c r="D59" s="15" t="s">
        <v>10</v>
      </c>
      <c r="E59" s="16">
        <v>5</v>
      </c>
      <c r="F59" s="16">
        <v>0</v>
      </c>
      <c r="H59" s="1" t="s">
        <v>22</v>
      </c>
      <c r="I59" s="16">
        <v>6</v>
      </c>
      <c r="J59" s="16">
        <v>7</v>
      </c>
      <c r="K59" s="15" t="s">
        <v>10</v>
      </c>
      <c r="L59" s="16">
        <v>5</v>
      </c>
      <c r="M59" s="16">
        <v>0</v>
      </c>
    </row>
    <row r="60" spans="1:20" ht="28.8" x14ac:dyDescent="0.3">
      <c r="A60" s="1" t="s">
        <v>28</v>
      </c>
      <c r="B60" s="15" t="s">
        <v>10</v>
      </c>
      <c r="C60" s="16">
        <v>5</v>
      </c>
      <c r="D60" s="16">
        <v>7</v>
      </c>
      <c r="E60" s="15" t="s">
        <v>11</v>
      </c>
      <c r="F60" s="16">
        <v>0</v>
      </c>
      <c r="H60" s="1" t="s">
        <v>32</v>
      </c>
      <c r="I60" s="15" t="s">
        <v>10</v>
      </c>
      <c r="J60" s="16">
        <v>5</v>
      </c>
      <c r="K60" s="16">
        <v>7</v>
      </c>
      <c r="L60" s="15" t="s">
        <v>11</v>
      </c>
      <c r="M60" s="16">
        <v>0</v>
      </c>
    </row>
    <row r="62" spans="1:20" x14ac:dyDescent="0.3">
      <c r="H62" t="s">
        <v>34</v>
      </c>
    </row>
    <row r="63" spans="1:20" x14ac:dyDescent="0.3">
      <c r="H63" t="s">
        <v>35</v>
      </c>
    </row>
    <row r="64" spans="1:20" ht="14.4" customHeight="1" x14ac:dyDescent="0.3"/>
    <row r="65" spans="1:8" x14ac:dyDescent="0.3">
      <c r="H65" t="s">
        <v>36</v>
      </c>
    </row>
    <row r="66" spans="1:8" x14ac:dyDescent="0.3">
      <c r="H66" t="s">
        <v>37</v>
      </c>
    </row>
    <row r="67" spans="1:8" x14ac:dyDescent="0.3">
      <c r="H67" t="s">
        <v>38</v>
      </c>
    </row>
    <row r="68" spans="1:8" x14ac:dyDescent="0.3">
      <c r="H68" t="s">
        <v>39</v>
      </c>
    </row>
    <row r="70" spans="1:8" x14ac:dyDescent="0.3">
      <c r="H70" t="s">
        <v>142</v>
      </c>
    </row>
    <row r="73" spans="1:8" x14ac:dyDescent="0.3">
      <c r="A73" t="s">
        <v>40</v>
      </c>
    </row>
    <row r="75" spans="1:8" x14ac:dyDescent="0.3">
      <c r="A75" s="2" t="s">
        <v>6</v>
      </c>
      <c r="B75" s="3">
        <v>20</v>
      </c>
      <c r="C75" s="3">
        <v>20</v>
      </c>
      <c r="D75" s="3">
        <v>40</v>
      </c>
      <c r="E75" s="3">
        <v>20</v>
      </c>
      <c r="F75" s="3">
        <v>20</v>
      </c>
    </row>
    <row r="76" spans="1:8" x14ac:dyDescent="0.3">
      <c r="A76" s="4">
        <v>20</v>
      </c>
      <c r="B76">
        <v>2</v>
      </c>
      <c r="C76">
        <v>2</v>
      </c>
      <c r="D76">
        <v>3</v>
      </c>
      <c r="E76">
        <v>4</v>
      </c>
      <c r="F76" s="5">
        <v>0</v>
      </c>
    </row>
    <row r="77" spans="1:8" x14ac:dyDescent="0.3">
      <c r="A77" s="4">
        <v>40</v>
      </c>
      <c r="B77">
        <v>4</v>
      </c>
      <c r="C77">
        <v>5</v>
      </c>
      <c r="D77">
        <v>4</v>
      </c>
      <c r="E77">
        <v>7</v>
      </c>
      <c r="F77" s="5">
        <v>0</v>
      </c>
    </row>
    <row r="78" spans="1:8" x14ac:dyDescent="0.3">
      <c r="A78" s="4">
        <v>20</v>
      </c>
      <c r="B78">
        <v>6</v>
      </c>
      <c r="C78">
        <v>7</v>
      </c>
      <c r="D78">
        <v>3</v>
      </c>
      <c r="E78">
        <v>5</v>
      </c>
      <c r="F78" s="5">
        <v>0</v>
      </c>
    </row>
    <row r="79" spans="1:8" x14ac:dyDescent="0.3">
      <c r="A79" s="4">
        <v>40</v>
      </c>
      <c r="B79" s="6">
        <v>3</v>
      </c>
      <c r="C79" s="6">
        <v>5</v>
      </c>
      <c r="D79" s="6">
        <v>7</v>
      </c>
      <c r="E79" s="6">
        <v>4</v>
      </c>
      <c r="F79" s="7">
        <v>0</v>
      </c>
    </row>
    <row r="81" spans="1:7" x14ac:dyDescent="0.3">
      <c r="A81" s="30"/>
      <c r="B81" s="1">
        <f>SUM(B82:B85)</f>
        <v>20</v>
      </c>
      <c r="C81" s="1">
        <f>SUM(C82:C85)</f>
        <v>20</v>
      </c>
      <c r="D81" s="1">
        <f>SUM(D82:D85)</f>
        <v>40</v>
      </c>
      <c r="E81" s="1">
        <f>SUM(E82:E85)</f>
        <v>20</v>
      </c>
      <c r="F81" s="1">
        <f>SUM(F82:F85)</f>
        <v>20</v>
      </c>
    </row>
    <row r="82" spans="1:7" x14ac:dyDescent="0.3">
      <c r="A82" s="1">
        <f>SUM(B82:F82)</f>
        <v>20</v>
      </c>
      <c r="B82" s="30">
        <v>0</v>
      </c>
      <c r="C82" s="30">
        <v>20</v>
      </c>
      <c r="D82" s="30">
        <v>0</v>
      </c>
      <c r="E82" s="30">
        <v>0</v>
      </c>
      <c r="F82" s="30">
        <v>0</v>
      </c>
    </row>
    <row r="83" spans="1:7" x14ac:dyDescent="0.3">
      <c r="A83" s="1">
        <f>SUM(B83:F83)</f>
        <v>40</v>
      </c>
      <c r="B83" s="30">
        <v>0</v>
      </c>
      <c r="C83" s="30">
        <v>0</v>
      </c>
      <c r="D83" s="30">
        <v>20</v>
      </c>
      <c r="E83" s="30">
        <v>0</v>
      </c>
      <c r="F83" s="30">
        <v>20</v>
      </c>
    </row>
    <row r="84" spans="1:7" x14ac:dyDescent="0.3">
      <c r="A84" s="1">
        <f>SUM(B84:F84)</f>
        <v>20</v>
      </c>
      <c r="B84" s="30">
        <v>0</v>
      </c>
      <c r="C84" s="30">
        <v>0</v>
      </c>
      <c r="D84" s="30">
        <v>20</v>
      </c>
      <c r="E84" s="30">
        <v>0</v>
      </c>
      <c r="F84" s="30">
        <v>0</v>
      </c>
    </row>
    <row r="85" spans="1:7" x14ac:dyDescent="0.3">
      <c r="A85" s="1">
        <f>SUM(B85:F85)</f>
        <v>40</v>
      </c>
      <c r="B85" s="30">
        <v>20</v>
      </c>
      <c r="C85" s="30">
        <v>0</v>
      </c>
      <c r="D85" s="30">
        <v>0</v>
      </c>
      <c r="E85" s="30">
        <v>20</v>
      </c>
      <c r="F85" s="30">
        <v>0</v>
      </c>
    </row>
    <row r="87" spans="1:7" x14ac:dyDescent="0.3">
      <c r="A87">
        <f>SUMPRODUCT(B76:F79,B82:F85)</f>
        <v>320</v>
      </c>
    </row>
    <row r="90" spans="1:7" x14ac:dyDescent="0.3">
      <c r="A90" t="s">
        <v>41</v>
      </c>
    </row>
    <row r="92" spans="1:7" x14ac:dyDescent="0.3">
      <c r="A92" t="s">
        <v>128</v>
      </c>
    </row>
    <row r="94" spans="1:7" x14ac:dyDescent="0.3">
      <c r="A94" s="2" t="s">
        <v>6</v>
      </c>
      <c r="B94" s="18">
        <v>20</v>
      </c>
      <c r="C94" s="18">
        <v>10</v>
      </c>
      <c r="D94" s="18">
        <v>20</v>
      </c>
      <c r="E94" s="18">
        <v>20</v>
      </c>
      <c r="F94" s="18">
        <v>10</v>
      </c>
      <c r="G94" s="18">
        <v>20</v>
      </c>
    </row>
    <row r="95" spans="1:7" ht="28.8" customHeight="1" x14ac:dyDescent="0.3">
      <c r="A95" s="17">
        <v>20</v>
      </c>
      <c r="B95" s="19">
        <v>2</v>
      </c>
      <c r="C95" s="20">
        <v>2</v>
      </c>
      <c r="D95" s="20">
        <v>3</v>
      </c>
      <c r="E95" s="20">
        <v>4</v>
      </c>
      <c r="F95" s="20">
        <v>2</v>
      </c>
      <c r="G95" s="21">
        <v>0</v>
      </c>
    </row>
    <row r="96" spans="1:7" ht="28.8" customHeight="1" x14ac:dyDescent="0.3">
      <c r="A96" s="17">
        <v>20</v>
      </c>
      <c r="B96" s="22">
        <v>4</v>
      </c>
      <c r="C96">
        <v>5</v>
      </c>
      <c r="D96">
        <v>4</v>
      </c>
      <c r="E96">
        <v>7</v>
      </c>
      <c r="F96">
        <v>5</v>
      </c>
      <c r="G96" s="5">
        <v>0</v>
      </c>
    </row>
    <row r="97" spans="1:23" ht="29.4" customHeight="1" x14ac:dyDescent="0.3">
      <c r="A97" s="17">
        <v>20</v>
      </c>
      <c r="B97" s="22">
        <v>6</v>
      </c>
      <c r="C97">
        <v>7</v>
      </c>
      <c r="D97">
        <v>3</v>
      </c>
      <c r="E97">
        <v>5</v>
      </c>
      <c r="F97">
        <v>7</v>
      </c>
      <c r="G97" s="5">
        <v>0</v>
      </c>
    </row>
    <row r="98" spans="1:23" ht="28.8" customHeight="1" x14ac:dyDescent="0.3">
      <c r="A98" s="17">
        <v>40</v>
      </c>
      <c r="B98" s="23">
        <v>3</v>
      </c>
      <c r="C98" s="6">
        <v>5</v>
      </c>
      <c r="D98" s="6">
        <v>7</v>
      </c>
      <c r="E98" s="6">
        <v>4</v>
      </c>
      <c r="F98" s="6" t="s">
        <v>42</v>
      </c>
      <c r="G98" s="7">
        <v>0</v>
      </c>
    </row>
    <row r="100" spans="1:23" x14ac:dyDescent="0.3">
      <c r="A100" s="2" t="s">
        <v>6</v>
      </c>
      <c r="B100" s="18">
        <v>20</v>
      </c>
      <c r="C100" s="18">
        <v>0</v>
      </c>
      <c r="D100" s="18">
        <v>20</v>
      </c>
      <c r="E100" s="18">
        <v>20</v>
      </c>
      <c r="F100" s="18">
        <v>10</v>
      </c>
      <c r="G100" s="18">
        <v>20</v>
      </c>
      <c r="I100" s="2" t="s">
        <v>6</v>
      </c>
      <c r="J100" s="18">
        <v>10</v>
      </c>
      <c r="K100" s="18">
        <v>0</v>
      </c>
      <c r="L100" s="18">
        <v>20</v>
      </c>
      <c r="M100" s="18">
        <v>20</v>
      </c>
      <c r="N100" s="18">
        <v>10</v>
      </c>
      <c r="O100" s="18">
        <v>20</v>
      </c>
      <c r="Q100" s="2" t="s">
        <v>6</v>
      </c>
      <c r="R100" s="18">
        <v>0</v>
      </c>
      <c r="S100" s="18">
        <v>0</v>
      </c>
      <c r="T100" s="18">
        <v>20</v>
      </c>
      <c r="U100" s="18">
        <v>20</v>
      </c>
      <c r="V100" s="18">
        <v>10</v>
      </c>
      <c r="W100" s="18">
        <v>20</v>
      </c>
    </row>
    <row r="101" spans="1:23" ht="28.8" x14ac:dyDescent="0.3">
      <c r="A101" s="17">
        <v>10</v>
      </c>
      <c r="B101" s="19">
        <v>2</v>
      </c>
      <c r="C101" s="31" t="s">
        <v>129</v>
      </c>
      <c r="D101" s="20">
        <v>3</v>
      </c>
      <c r="E101" s="20">
        <v>4</v>
      </c>
      <c r="F101" s="20">
        <v>2</v>
      </c>
      <c r="G101" s="21">
        <v>0</v>
      </c>
      <c r="I101" s="17">
        <v>0</v>
      </c>
      <c r="J101" s="32" t="s">
        <v>129</v>
      </c>
      <c r="K101" s="31" t="s">
        <v>129</v>
      </c>
      <c r="L101" s="33">
        <v>3</v>
      </c>
      <c r="M101" s="33">
        <v>4</v>
      </c>
      <c r="N101" s="33">
        <v>2</v>
      </c>
      <c r="O101" s="34">
        <v>0</v>
      </c>
      <c r="Q101" s="17">
        <v>0</v>
      </c>
      <c r="R101" s="32" t="s">
        <v>129</v>
      </c>
      <c r="S101" s="31" t="s">
        <v>129</v>
      </c>
      <c r="T101" s="33">
        <v>3</v>
      </c>
      <c r="U101" s="33">
        <v>4</v>
      </c>
      <c r="V101" s="33">
        <v>2</v>
      </c>
      <c r="W101" s="34">
        <v>0</v>
      </c>
    </row>
    <row r="102" spans="1:23" x14ac:dyDescent="0.3">
      <c r="A102" s="17">
        <v>20</v>
      </c>
      <c r="B102" s="22">
        <v>4</v>
      </c>
      <c r="C102" s="9">
        <v>5</v>
      </c>
      <c r="D102">
        <v>4</v>
      </c>
      <c r="E102">
        <v>7</v>
      </c>
      <c r="F102">
        <v>5</v>
      </c>
      <c r="G102" s="5">
        <v>0</v>
      </c>
      <c r="I102" s="17">
        <v>20</v>
      </c>
      <c r="J102" s="22">
        <v>4</v>
      </c>
      <c r="K102" s="9">
        <v>5</v>
      </c>
      <c r="L102">
        <v>4</v>
      </c>
      <c r="M102">
        <v>7</v>
      </c>
      <c r="N102">
        <v>5</v>
      </c>
      <c r="O102" s="5">
        <v>0</v>
      </c>
      <c r="Q102" s="17">
        <v>20</v>
      </c>
      <c r="R102" s="36">
        <v>4</v>
      </c>
      <c r="S102" s="9">
        <v>5</v>
      </c>
      <c r="T102">
        <v>4</v>
      </c>
      <c r="U102">
        <v>7</v>
      </c>
      <c r="V102">
        <v>5</v>
      </c>
      <c r="W102" s="5">
        <v>0</v>
      </c>
    </row>
    <row r="103" spans="1:23" x14ac:dyDescent="0.3">
      <c r="A103" s="17">
        <v>20</v>
      </c>
      <c r="B103" s="22">
        <v>6</v>
      </c>
      <c r="C103" s="9">
        <v>7</v>
      </c>
      <c r="D103">
        <v>3</v>
      </c>
      <c r="E103">
        <v>5</v>
      </c>
      <c r="F103">
        <v>7</v>
      </c>
      <c r="G103" s="5">
        <v>0</v>
      </c>
      <c r="I103" s="17">
        <v>20</v>
      </c>
      <c r="J103" s="22">
        <v>6</v>
      </c>
      <c r="K103" s="9">
        <v>7</v>
      </c>
      <c r="L103">
        <v>3</v>
      </c>
      <c r="M103">
        <v>5</v>
      </c>
      <c r="N103">
        <v>7</v>
      </c>
      <c r="O103" s="5">
        <v>0</v>
      </c>
      <c r="Q103" s="17">
        <v>20</v>
      </c>
      <c r="R103" s="36">
        <v>6</v>
      </c>
      <c r="S103" s="9">
        <v>7</v>
      </c>
      <c r="T103">
        <v>3</v>
      </c>
      <c r="U103">
        <v>5</v>
      </c>
      <c r="V103">
        <v>7</v>
      </c>
      <c r="W103" s="5">
        <v>0</v>
      </c>
    </row>
    <row r="104" spans="1:23" ht="28.8" x14ac:dyDescent="0.3">
      <c r="A104" s="17">
        <v>40</v>
      </c>
      <c r="B104" s="23">
        <v>3</v>
      </c>
      <c r="C104" s="11">
        <v>5</v>
      </c>
      <c r="D104" s="6">
        <v>7</v>
      </c>
      <c r="E104" s="6">
        <v>4</v>
      </c>
      <c r="F104" s="6" t="s">
        <v>42</v>
      </c>
      <c r="G104" s="7">
        <v>0</v>
      </c>
      <c r="I104" s="17">
        <v>40</v>
      </c>
      <c r="J104" s="23">
        <v>3</v>
      </c>
      <c r="K104" s="11">
        <v>5</v>
      </c>
      <c r="L104" s="6">
        <v>7</v>
      </c>
      <c r="M104" s="6">
        <v>4</v>
      </c>
      <c r="N104" s="6" t="s">
        <v>42</v>
      </c>
      <c r="O104" s="7">
        <v>0</v>
      </c>
      <c r="Q104" s="17">
        <v>30</v>
      </c>
      <c r="R104" s="35" t="s">
        <v>130</v>
      </c>
      <c r="S104" s="11">
        <v>5</v>
      </c>
      <c r="T104" s="6">
        <v>7</v>
      </c>
      <c r="U104" s="6">
        <v>4</v>
      </c>
      <c r="V104" s="6" t="s">
        <v>42</v>
      </c>
      <c r="W104" s="7">
        <v>0</v>
      </c>
    </row>
    <row r="106" spans="1:23" x14ac:dyDescent="0.3">
      <c r="A106" s="2" t="s">
        <v>6</v>
      </c>
      <c r="B106" s="18">
        <v>0</v>
      </c>
      <c r="C106" s="18">
        <v>0</v>
      </c>
      <c r="D106" s="18">
        <v>0</v>
      </c>
      <c r="E106" s="18">
        <v>20</v>
      </c>
      <c r="F106" s="18">
        <v>10</v>
      </c>
      <c r="G106" s="18">
        <v>20</v>
      </c>
      <c r="I106" s="2" t="s">
        <v>6</v>
      </c>
      <c r="J106" s="18">
        <v>0</v>
      </c>
      <c r="K106" s="18">
        <v>0</v>
      </c>
      <c r="L106" s="18">
        <v>0</v>
      </c>
      <c r="M106" s="18">
        <v>20</v>
      </c>
      <c r="N106" s="18">
        <v>10</v>
      </c>
      <c r="O106" s="18">
        <v>20</v>
      </c>
      <c r="Q106" s="2" t="s">
        <v>6</v>
      </c>
      <c r="R106" s="18">
        <v>0</v>
      </c>
      <c r="S106" s="18">
        <v>0</v>
      </c>
      <c r="T106" s="18">
        <v>0</v>
      </c>
      <c r="U106" s="18">
        <v>0</v>
      </c>
      <c r="V106" s="18">
        <v>10</v>
      </c>
      <c r="W106" s="18">
        <v>20</v>
      </c>
    </row>
    <row r="107" spans="1:23" ht="28.8" x14ac:dyDescent="0.3">
      <c r="A107" s="17">
        <v>0</v>
      </c>
      <c r="B107" s="32" t="s">
        <v>129</v>
      </c>
      <c r="C107" s="31" t="s">
        <v>129</v>
      </c>
      <c r="D107" s="33">
        <v>3</v>
      </c>
      <c r="E107" s="33">
        <v>4</v>
      </c>
      <c r="F107" s="33">
        <v>2</v>
      </c>
      <c r="G107" s="34">
        <v>0</v>
      </c>
      <c r="I107" s="17">
        <v>0</v>
      </c>
      <c r="J107" s="32" t="s">
        <v>129</v>
      </c>
      <c r="K107" s="31" t="s">
        <v>129</v>
      </c>
      <c r="L107" s="33">
        <v>3</v>
      </c>
      <c r="M107" s="33">
        <v>4</v>
      </c>
      <c r="N107" s="33">
        <v>2</v>
      </c>
      <c r="O107" s="34">
        <v>0</v>
      </c>
      <c r="Q107" s="17">
        <v>0</v>
      </c>
      <c r="R107" s="32" t="s">
        <v>129</v>
      </c>
      <c r="S107" s="31" t="s">
        <v>129</v>
      </c>
      <c r="T107" s="33">
        <v>3</v>
      </c>
      <c r="U107" s="33">
        <v>4</v>
      </c>
      <c r="V107" s="33">
        <v>2</v>
      </c>
      <c r="W107" s="34">
        <v>0</v>
      </c>
    </row>
    <row r="108" spans="1:23" ht="28.8" x14ac:dyDescent="0.3">
      <c r="A108" s="17">
        <v>20</v>
      </c>
      <c r="B108" s="36">
        <v>4</v>
      </c>
      <c r="C108" s="9">
        <v>5</v>
      </c>
      <c r="D108">
        <v>4</v>
      </c>
      <c r="E108">
        <v>7</v>
      </c>
      <c r="F108">
        <v>5</v>
      </c>
      <c r="G108" s="5">
        <v>0</v>
      </c>
      <c r="I108" s="17">
        <v>20</v>
      </c>
      <c r="J108" s="36">
        <v>4</v>
      </c>
      <c r="K108" s="9">
        <v>5</v>
      </c>
      <c r="L108" s="15" t="s">
        <v>30</v>
      </c>
      <c r="M108">
        <v>7</v>
      </c>
      <c r="N108">
        <v>5</v>
      </c>
      <c r="O108" s="5">
        <v>0</v>
      </c>
      <c r="Q108" s="17">
        <v>20</v>
      </c>
      <c r="R108" s="36">
        <v>4</v>
      </c>
      <c r="S108" s="9">
        <v>5</v>
      </c>
      <c r="T108" s="15" t="s">
        <v>30</v>
      </c>
      <c r="U108" s="9">
        <v>7</v>
      </c>
      <c r="V108">
        <v>5</v>
      </c>
      <c r="W108" s="5">
        <v>0</v>
      </c>
    </row>
    <row r="109" spans="1:23" ht="28.8" x14ac:dyDescent="0.3">
      <c r="A109" s="17">
        <v>0</v>
      </c>
      <c r="B109" s="36">
        <v>6</v>
      </c>
      <c r="C109" s="9">
        <v>7</v>
      </c>
      <c r="D109" s="8" t="s">
        <v>10</v>
      </c>
      <c r="E109" s="9">
        <v>5</v>
      </c>
      <c r="F109" s="9">
        <v>7</v>
      </c>
      <c r="G109" s="10">
        <v>0</v>
      </c>
      <c r="I109" s="17">
        <v>0</v>
      </c>
      <c r="J109" s="36">
        <v>6</v>
      </c>
      <c r="K109" s="9">
        <v>7</v>
      </c>
      <c r="L109" s="8" t="s">
        <v>10</v>
      </c>
      <c r="M109" s="9">
        <v>5</v>
      </c>
      <c r="N109" s="9">
        <v>7</v>
      </c>
      <c r="O109" s="10">
        <v>0</v>
      </c>
      <c r="Q109" s="17">
        <v>0</v>
      </c>
      <c r="R109" s="36">
        <v>6</v>
      </c>
      <c r="S109" s="9">
        <v>7</v>
      </c>
      <c r="T109" s="8" t="s">
        <v>10</v>
      </c>
      <c r="U109" s="9">
        <v>5</v>
      </c>
      <c r="V109" s="9">
        <v>7</v>
      </c>
      <c r="W109" s="10">
        <v>0</v>
      </c>
    </row>
    <row r="110" spans="1:23" ht="28.8" x14ac:dyDescent="0.3">
      <c r="A110" s="17">
        <v>30</v>
      </c>
      <c r="B110" s="35" t="s">
        <v>130</v>
      </c>
      <c r="C110" s="11">
        <v>5</v>
      </c>
      <c r="D110" s="6">
        <v>7</v>
      </c>
      <c r="E110" s="6">
        <v>4</v>
      </c>
      <c r="F110" s="6" t="s">
        <v>42</v>
      </c>
      <c r="G110" s="7">
        <v>0</v>
      </c>
      <c r="I110" s="17">
        <v>30</v>
      </c>
      <c r="J110" s="35" t="s">
        <v>130</v>
      </c>
      <c r="K110" s="11">
        <v>5</v>
      </c>
      <c r="L110" s="11">
        <v>7</v>
      </c>
      <c r="M110" s="6">
        <v>4</v>
      </c>
      <c r="N110" s="6" t="s">
        <v>42</v>
      </c>
      <c r="O110" s="7">
        <v>0</v>
      </c>
      <c r="Q110" s="17">
        <v>10</v>
      </c>
      <c r="R110" s="35" t="s">
        <v>130</v>
      </c>
      <c r="S110" s="11">
        <v>5</v>
      </c>
      <c r="T110" s="11">
        <v>7</v>
      </c>
      <c r="U110" s="12" t="s">
        <v>11</v>
      </c>
      <c r="V110" s="6" t="s">
        <v>42</v>
      </c>
      <c r="W110" s="7">
        <v>0</v>
      </c>
    </row>
    <row r="112" spans="1:23" x14ac:dyDescent="0.3">
      <c r="A112" s="2" t="s">
        <v>6</v>
      </c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20</v>
      </c>
      <c r="I112" s="2" t="s">
        <v>6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10</v>
      </c>
      <c r="Q112" s="2" t="s">
        <v>6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</row>
    <row r="113" spans="1:23" ht="28.8" x14ac:dyDescent="0.3">
      <c r="A113" s="17">
        <v>0</v>
      </c>
      <c r="B113" s="32" t="s">
        <v>129</v>
      </c>
      <c r="C113" s="31" t="s">
        <v>129</v>
      </c>
      <c r="D113" s="33">
        <v>3</v>
      </c>
      <c r="E113" s="33">
        <v>4</v>
      </c>
      <c r="F113" s="33">
        <v>2</v>
      </c>
      <c r="G113" s="34">
        <v>0</v>
      </c>
      <c r="I113" s="17">
        <v>0</v>
      </c>
      <c r="J113" s="32" t="s">
        <v>129</v>
      </c>
      <c r="K113" s="31" t="s">
        <v>129</v>
      </c>
      <c r="L113" s="33">
        <v>3</v>
      </c>
      <c r="M113" s="33">
        <v>4</v>
      </c>
      <c r="N113" s="33">
        <v>2</v>
      </c>
      <c r="O113" s="34">
        <v>0</v>
      </c>
      <c r="Q113" s="17">
        <v>0</v>
      </c>
      <c r="R113" s="32" t="s">
        <v>129</v>
      </c>
      <c r="S113" s="31" t="s">
        <v>129</v>
      </c>
      <c r="T113" s="33">
        <v>3</v>
      </c>
      <c r="U113" s="33">
        <v>4</v>
      </c>
      <c r="V113" s="33">
        <v>2</v>
      </c>
      <c r="W113" s="34">
        <v>0</v>
      </c>
    </row>
    <row r="114" spans="1:23" ht="28.8" x14ac:dyDescent="0.3">
      <c r="A114" s="17">
        <v>10</v>
      </c>
      <c r="B114" s="36">
        <v>4</v>
      </c>
      <c r="C114" s="9">
        <v>5</v>
      </c>
      <c r="D114" s="15" t="s">
        <v>30</v>
      </c>
      <c r="E114" s="9">
        <v>7</v>
      </c>
      <c r="F114" s="8" t="s">
        <v>131</v>
      </c>
      <c r="G114" s="5">
        <v>0</v>
      </c>
      <c r="I114" s="17">
        <v>0</v>
      </c>
      <c r="J114" s="36">
        <v>4</v>
      </c>
      <c r="K114" s="9">
        <v>5</v>
      </c>
      <c r="L114" s="15" t="s">
        <v>30</v>
      </c>
      <c r="M114" s="9">
        <v>7</v>
      </c>
      <c r="N114" s="8" t="s">
        <v>131</v>
      </c>
      <c r="O114" s="13" t="s">
        <v>132</v>
      </c>
      <c r="Q114" s="17">
        <v>0</v>
      </c>
      <c r="R114" s="36">
        <v>4</v>
      </c>
      <c r="S114" s="9">
        <v>5</v>
      </c>
      <c r="T114" s="15" t="s">
        <v>30</v>
      </c>
      <c r="U114" s="9">
        <v>7</v>
      </c>
      <c r="V114" s="8" t="s">
        <v>131</v>
      </c>
      <c r="W114" s="13" t="s">
        <v>132</v>
      </c>
    </row>
    <row r="115" spans="1:23" ht="28.8" x14ac:dyDescent="0.3">
      <c r="A115" s="17">
        <v>0</v>
      </c>
      <c r="B115" s="36">
        <v>6</v>
      </c>
      <c r="C115" s="9">
        <v>7</v>
      </c>
      <c r="D115" s="8" t="s">
        <v>10</v>
      </c>
      <c r="E115" s="9">
        <v>5</v>
      </c>
      <c r="F115" s="9">
        <v>7</v>
      </c>
      <c r="G115" s="10">
        <v>0</v>
      </c>
      <c r="I115" s="17">
        <v>0</v>
      </c>
      <c r="J115" s="36">
        <v>6</v>
      </c>
      <c r="K115" s="9">
        <v>7</v>
      </c>
      <c r="L115" s="8" t="s">
        <v>10</v>
      </c>
      <c r="M115" s="9">
        <v>5</v>
      </c>
      <c r="N115" s="9">
        <v>7</v>
      </c>
      <c r="O115" s="10">
        <v>0</v>
      </c>
      <c r="Q115" s="17">
        <v>0</v>
      </c>
      <c r="R115" s="36">
        <v>6</v>
      </c>
      <c r="S115" s="9">
        <v>7</v>
      </c>
      <c r="T115" s="8" t="s">
        <v>10</v>
      </c>
      <c r="U115" s="9">
        <v>5</v>
      </c>
      <c r="V115" s="9">
        <v>7</v>
      </c>
      <c r="W115" s="10">
        <v>0</v>
      </c>
    </row>
    <row r="116" spans="1:23" ht="28.8" x14ac:dyDescent="0.3">
      <c r="A116" s="17">
        <v>10</v>
      </c>
      <c r="B116" s="35" t="s">
        <v>130</v>
      </c>
      <c r="C116" s="11">
        <v>5</v>
      </c>
      <c r="D116" s="11">
        <v>7</v>
      </c>
      <c r="E116" s="12" t="s">
        <v>11</v>
      </c>
      <c r="F116" s="11" t="s">
        <v>42</v>
      </c>
      <c r="G116" s="7">
        <v>0</v>
      </c>
      <c r="I116" s="17">
        <v>10</v>
      </c>
      <c r="J116" s="35" t="s">
        <v>130</v>
      </c>
      <c r="K116" s="11">
        <v>5</v>
      </c>
      <c r="L116" s="11">
        <v>7</v>
      </c>
      <c r="M116" s="12" t="s">
        <v>11</v>
      </c>
      <c r="N116" s="11" t="s">
        <v>42</v>
      </c>
      <c r="O116" s="7">
        <v>0</v>
      </c>
      <c r="Q116" s="17">
        <v>0</v>
      </c>
      <c r="R116" s="35" t="s">
        <v>130</v>
      </c>
      <c r="S116" s="11">
        <v>5</v>
      </c>
      <c r="T116" s="11">
        <v>7</v>
      </c>
      <c r="U116" s="12" t="s">
        <v>11</v>
      </c>
      <c r="V116" s="11" t="s">
        <v>42</v>
      </c>
      <c r="W116" s="37" t="s">
        <v>132</v>
      </c>
    </row>
    <row r="119" spans="1:23" x14ac:dyDescent="0.3">
      <c r="A119" s="1"/>
      <c r="B119" s="1" t="s">
        <v>16</v>
      </c>
      <c r="C119" s="1" t="s">
        <v>17</v>
      </c>
      <c r="D119" s="1" t="s">
        <v>136</v>
      </c>
      <c r="E119" s="1" t="s">
        <v>14</v>
      </c>
      <c r="F119" s="1" t="s">
        <v>133</v>
      </c>
      <c r="G119" s="1" t="s">
        <v>134</v>
      </c>
      <c r="I119" s="1"/>
      <c r="J119" s="1" t="s">
        <v>26</v>
      </c>
      <c r="K119" s="1" t="s">
        <v>17</v>
      </c>
      <c r="L119" s="1" t="s">
        <v>21</v>
      </c>
      <c r="M119" s="1" t="s">
        <v>20</v>
      </c>
      <c r="N119" s="1" t="s">
        <v>138</v>
      </c>
      <c r="O119" s="1" t="s">
        <v>139</v>
      </c>
    </row>
    <row r="120" spans="1:23" ht="28.8" x14ac:dyDescent="0.3">
      <c r="A120" s="1" t="s">
        <v>15</v>
      </c>
      <c r="B120" s="32" t="s">
        <v>129</v>
      </c>
      <c r="C120" s="31" t="s">
        <v>129</v>
      </c>
      <c r="D120" s="33">
        <v>3</v>
      </c>
      <c r="E120" s="33">
        <v>4</v>
      </c>
      <c r="F120" s="33">
        <v>2</v>
      </c>
      <c r="G120" s="34">
        <v>0</v>
      </c>
      <c r="I120" s="1" t="s">
        <v>15</v>
      </c>
      <c r="J120" s="38">
        <v>2</v>
      </c>
      <c r="K120" s="31" t="s">
        <v>129</v>
      </c>
      <c r="L120" s="33">
        <v>3</v>
      </c>
      <c r="M120" s="33">
        <v>4</v>
      </c>
      <c r="N120" s="31" t="s">
        <v>129</v>
      </c>
      <c r="O120" s="34">
        <v>0</v>
      </c>
    </row>
    <row r="121" spans="1:23" ht="28.8" x14ac:dyDescent="0.3">
      <c r="A121" s="1" t="s">
        <v>135</v>
      </c>
      <c r="B121" s="36">
        <v>4</v>
      </c>
      <c r="C121" s="9">
        <v>5</v>
      </c>
      <c r="D121" s="15" t="s">
        <v>30</v>
      </c>
      <c r="E121" s="9">
        <v>7</v>
      </c>
      <c r="F121" s="8" t="s">
        <v>131</v>
      </c>
      <c r="G121" s="13" t="s">
        <v>132</v>
      </c>
      <c r="I121" s="1" t="s">
        <v>18</v>
      </c>
      <c r="J121" s="36">
        <v>4</v>
      </c>
      <c r="K121" s="9">
        <v>5</v>
      </c>
      <c r="L121" s="15" t="s">
        <v>30</v>
      </c>
      <c r="M121" s="9">
        <v>7</v>
      </c>
      <c r="N121" s="8" t="s">
        <v>12</v>
      </c>
      <c r="O121" s="13" t="s">
        <v>13</v>
      </c>
    </row>
    <row r="122" spans="1:23" ht="28.8" x14ac:dyDescent="0.3">
      <c r="A122" s="1" t="s">
        <v>137</v>
      </c>
      <c r="B122" s="36">
        <v>6</v>
      </c>
      <c r="C122" s="9">
        <v>7</v>
      </c>
      <c r="D122" s="8" t="s">
        <v>10</v>
      </c>
      <c r="E122" s="9">
        <v>5</v>
      </c>
      <c r="F122" s="9">
        <v>7</v>
      </c>
      <c r="G122" s="10">
        <v>0</v>
      </c>
      <c r="I122" s="1" t="s">
        <v>22</v>
      </c>
      <c r="J122" s="36">
        <v>6</v>
      </c>
      <c r="K122" s="9">
        <v>7</v>
      </c>
      <c r="L122" s="8" t="s">
        <v>10</v>
      </c>
      <c r="M122" s="9">
        <v>5</v>
      </c>
      <c r="N122" s="9">
        <v>7</v>
      </c>
      <c r="O122" s="10">
        <v>0</v>
      </c>
    </row>
    <row r="123" spans="1:23" ht="28.8" x14ac:dyDescent="0.3">
      <c r="A123" s="1" t="s">
        <v>24</v>
      </c>
      <c r="B123" s="35" t="s">
        <v>130</v>
      </c>
      <c r="C123" s="11">
        <v>5</v>
      </c>
      <c r="D123" s="11">
        <v>7</v>
      </c>
      <c r="E123" s="12" t="s">
        <v>11</v>
      </c>
      <c r="F123" s="11" t="s">
        <v>42</v>
      </c>
      <c r="G123" s="37" t="s">
        <v>132</v>
      </c>
      <c r="I123" s="1" t="s">
        <v>19</v>
      </c>
      <c r="J123" s="35" t="s">
        <v>10</v>
      </c>
      <c r="K123" s="11">
        <v>5</v>
      </c>
      <c r="L123" s="11">
        <v>7</v>
      </c>
      <c r="M123" s="12" t="s">
        <v>11</v>
      </c>
      <c r="N123" s="11" t="s">
        <v>42</v>
      </c>
      <c r="O123" s="37" t="s">
        <v>140</v>
      </c>
    </row>
    <row r="125" spans="1:23" x14ac:dyDescent="0.3">
      <c r="J125" t="s">
        <v>34</v>
      </c>
    </row>
    <row r="126" spans="1:23" x14ac:dyDescent="0.3">
      <c r="J126" t="s">
        <v>141</v>
      </c>
    </row>
    <row r="128" spans="1:23" x14ac:dyDescent="0.3">
      <c r="J128" t="s">
        <v>36</v>
      </c>
    </row>
    <row r="129" spans="10:10" x14ac:dyDescent="0.3">
      <c r="J129" t="s">
        <v>37</v>
      </c>
    </row>
    <row r="130" spans="10:10" x14ac:dyDescent="0.3">
      <c r="J130" t="s">
        <v>38</v>
      </c>
    </row>
    <row r="131" spans="10:10" x14ac:dyDescent="0.3">
      <c r="J131" t="s">
        <v>39</v>
      </c>
    </row>
    <row r="133" spans="10:10" x14ac:dyDescent="0.3">
      <c r="J133" t="s">
        <v>326</v>
      </c>
    </row>
  </sheetData>
  <mergeCells count="1">
    <mergeCell ref="A17:J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EBF1-085C-4F97-9B28-16B4129AA9B1}">
  <dimension ref="A1:G79"/>
  <sheetViews>
    <sheetView showGridLines="0" workbookViewId="0"/>
  </sheetViews>
  <sheetFormatPr defaultRowHeight="14.4" x14ac:dyDescent="0.3"/>
  <cols>
    <col min="1" max="1" width="2.33203125" customWidth="1"/>
    <col min="2" max="2" width="7.21875" bestFit="1" customWidth="1"/>
    <col min="3" max="3" width="5.4414062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24" t="s">
        <v>43</v>
      </c>
    </row>
    <row r="2" spans="1:5" x14ac:dyDescent="0.3">
      <c r="A2" s="24" t="s">
        <v>162</v>
      </c>
    </row>
    <row r="3" spans="1:5" x14ac:dyDescent="0.3">
      <c r="A3" s="24" t="s">
        <v>163</v>
      </c>
    </row>
    <row r="4" spans="1:5" x14ac:dyDescent="0.3">
      <c r="A4" s="24" t="s">
        <v>45</v>
      </c>
    </row>
    <row r="5" spans="1:5" x14ac:dyDescent="0.3">
      <c r="A5" s="24" t="s">
        <v>46</v>
      </c>
    </row>
    <row r="6" spans="1:5" x14ac:dyDescent="0.3">
      <c r="A6" s="24"/>
      <c r="B6" t="s">
        <v>47</v>
      </c>
    </row>
    <row r="7" spans="1:5" x14ac:dyDescent="0.3">
      <c r="A7" s="24"/>
      <c r="B7" t="s">
        <v>164</v>
      </c>
    </row>
    <row r="8" spans="1:5" x14ac:dyDescent="0.3">
      <c r="A8" s="24"/>
      <c r="B8" t="s">
        <v>165</v>
      </c>
    </row>
    <row r="9" spans="1:5" x14ac:dyDescent="0.3">
      <c r="A9" s="24" t="s">
        <v>49</v>
      </c>
    </row>
    <row r="10" spans="1:5" x14ac:dyDescent="0.3">
      <c r="B10" t="s">
        <v>50</v>
      </c>
    </row>
    <row r="11" spans="1:5" x14ac:dyDescent="0.3">
      <c r="B11" t="s">
        <v>51</v>
      </c>
    </row>
    <row r="14" spans="1:5" ht="15" thickBot="1" x14ac:dyDescent="0.35">
      <c r="A14" t="s">
        <v>52</v>
      </c>
    </row>
    <row r="15" spans="1:5" ht="15" thickBot="1" x14ac:dyDescent="0.35">
      <c r="B15" s="26" t="s">
        <v>53</v>
      </c>
      <c r="C15" s="26" t="s">
        <v>54</v>
      </c>
      <c r="D15" s="26" t="s">
        <v>55</v>
      </c>
      <c r="E15" s="26" t="s">
        <v>56</v>
      </c>
    </row>
    <row r="16" spans="1:5" ht="15" thickBot="1" x14ac:dyDescent="0.35">
      <c r="B16" s="25" t="s">
        <v>166</v>
      </c>
      <c r="C16" s="25" t="s">
        <v>160</v>
      </c>
      <c r="D16" s="25">
        <v>0</v>
      </c>
      <c r="E16" s="25">
        <v>20090</v>
      </c>
    </row>
    <row r="19" spans="1:6" ht="15" thickBot="1" x14ac:dyDescent="0.35">
      <c r="A19" t="s">
        <v>57</v>
      </c>
    </row>
    <row r="20" spans="1:6" ht="15" thickBot="1" x14ac:dyDescent="0.35">
      <c r="B20" s="26" t="s">
        <v>53</v>
      </c>
      <c r="C20" s="26" t="s">
        <v>54</v>
      </c>
      <c r="D20" s="26" t="s">
        <v>55</v>
      </c>
      <c r="E20" s="26" t="s">
        <v>56</v>
      </c>
      <c r="F20" s="26" t="s">
        <v>58</v>
      </c>
    </row>
    <row r="21" spans="1:6" x14ac:dyDescent="0.3">
      <c r="B21" s="27" t="s">
        <v>167</v>
      </c>
      <c r="C21" s="27" t="s">
        <v>168</v>
      </c>
      <c r="D21" s="27">
        <v>0</v>
      </c>
      <c r="E21" s="27">
        <v>200</v>
      </c>
      <c r="F21" s="27" t="s">
        <v>66</v>
      </c>
    </row>
    <row r="22" spans="1:6" x14ac:dyDescent="0.3">
      <c r="B22" s="27" t="s">
        <v>169</v>
      </c>
      <c r="C22" s="27" t="s">
        <v>170</v>
      </c>
      <c r="D22" s="27">
        <v>0</v>
      </c>
      <c r="E22" s="27">
        <v>0</v>
      </c>
      <c r="F22" s="27" t="s">
        <v>66</v>
      </c>
    </row>
    <row r="23" spans="1:6" x14ac:dyDescent="0.3">
      <c r="B23" s="27" t="s">
        <v>171</v>
      </c>
      <c r="C23" s="27" t="s">
        <v>172</v>
      </c>
      <c r="D23" s="27">
        <v>0</v>
      </c>
      <c r="E23" s="27">
        <v>250</v>
      </c>
      <c r="F23" s="27" t="s">
        <v>66</v>
      </c>
    </row>
    <row r="24" spans="1:6" x14ac:dyDescent="0.3">
      <c r="B24" s="27" t="s">
        <v>173</v>
      </c>
      <c r="C24" s="27" t="s">
        <v>174</v>
      </c>
      <c r="D24" s="27">
        <v>0</v>
      </c>
      <c r="E24" s="27">
        <v>50</v>
      </c>
      <c r="F24" s="27" t="s">
        <v>66</v>
      </c>
    </row>
    <row r="25" spans="1:6" x14ac:dyDescent="0.3">
      <c r="B25" s="27" t="s">
        <v>175</v>
      </c>
      <c r="C25" s="27" t="s">
        <v>176</v>
      </c>
      <c r="D25" s="27">
        <v>0</v>
      </c>
      <c r="E25" s="27">
        <v>0</v>
      </c>
      <c r="F25" s="27" t="s">
        <v>66</v>
      </c>
    </row>
    <row r="26" spans="1:6" x14ac:dyDescent="0.3">
      <c r="B26" s="27" t="s">
        <v>177</v>
      </c>
      <c r="C26" s="27" t="s">
        <v>178</v>
      </c>
      <c r="D26" s="27">
        <v>0</v>
      </c>
      <c r="E26" s="27">
        <v>0</v>
      </c>
      <c r="F26" s="27" t="s">
        <v>66</v>
      </c>
    </row>
    <row r="27" spans="1:6" x14ac:dyDescent="0.3">
      <c r="B27" s="27" t="s">
        <v>179</v>
      </c>
      <c r="C27" s="27" t="s">
        <v>180</v>
      </c>
      <c r="D27" s="27">
        <v>0</v>
      </c>
      <c r="E27" s="27">
        <v>0</v>
      </c>
      <c r="F27" s="27" t="s">
        <v>66</v>
      </c>
    </row>
    <row r="28" spans="1:6" x14ac:dyDescent="0.3">
      <c r="B28" s="27" t="s">
        <v>181</v>
      </c>
      <c r="C28" s="27" t="s">
        <v>182</v>
      </c>
      <c r="D28" s="27">
        <v>0</v>
      </c>
      <c r="E28" s="27">
        <v>0</v>
      </c>
      <c r="F28" s="27" t="s">
        <v>66</v>
      </c>
    </row>
    <row r="29" spans="1:6" x14ac:dyDescent="0.3">
      <c r="B29" s="27" t="s">
        <v>183</v>
      </c>
      <c r="C29" s="27" t="s">
        <v>184</v>
      </c>
      <c r="D29" s="27">
        <v>0</v>
      </c>
      <c r="E29" s="27">
        <v>350</v>
      </c>
      <c r="F29" s="27" t="s">
        <v>66</v>
      </c>
    </row>
    <row r="30" spans="1:6" x14ac:dyDescent="0.3">
      <c r="B30" s="27" t="s">
        <v>185</v>
      </c>
      <c r="C30" s="27" t="s">
        <v>186</v>
      </c>
      <c r="D30" s="27">
        <v>0</v>
      </c>
      <c r="E30" s="27">
        <v>0</v>
      </c>
      <c r="F30" s="27" t="s">
        <v>66</v>
      </c>
    </row>
    <row r="31" spans="1:6" x14ac:dyDescent="0.3">
      <c r="B31" s="27" t="s">
        <v>187</v>
      </c>
      <c r="C31" s="27" t="s">
        <v>188</v>
      </c>
      <c r="D31" s="27">
        <v>0</v>
      </c>
      <c r="E31" s="27">
        <v>50</v>
      </c>
      <c r="F31" s="27" t="s">
        <v>66</v>
      </c>
    </row>
    <row r="32" spans="1:6" x14ac:dyDescent="0.3">
      <c r="B32" s="27" t="s">
        <v>189</v>
      </c>
      <c r="C32" s="27" t="s">
        <v>190</v>
      </c>
      <c r="D32" s="27">
        <v>0</v>
      </c>
      <c r="E32" s="27">
        <v>0</v>
      </c>
      <c r="F32" s="27" t="s">
        <v>66</v>
      </c>
    </row>
    <row r="33" spans="2:6" x14ac:dyDescent="0.3">
      <c r="B33" s="27" t="s">
        <v>191</v>
      </c>
      <c r="C33" s="27" t="s">
        <v>192</v>
      </c>
      <c r="D33" s="27">
        <v>0</v>
      </c>
      <c r="E33" s="27">
        <v>0</v>
      </c>
      <c r="F33" s="27" t="s">
        <v>66</v>
      </c>
    </row>
    <row r="34" spans="2:6" x14ac:dyDescent="0.3">
      <c r="B34" s="27" t="s">
        <v>193</v>
      </c>
      <c r="C34" s="27" t="s">
        <v>194</v>
      </c>
      <c r="D34" s="27">
        <v>0</v>
      </c>
      <c r="E34" s="27">
        <v>0</v>
      </c>
      <c r="F34" s="27" t="s">
        <v>66</v>
      </c>
    </row>
    <row r="35" spans="2:6" x14ac:dyDescent="0.3">
      <c r="B35" s="27" t="s">
        <v>195</v>
      </c>
      <c r="C35" s="27" t="s">
        <v>196</v>
      </c>
      <c r="D35" s="27">
        <v>0</v>
      </c>
      <c r="E35" s="27">
        <v>0</v>
      </c>
      <c r="F35" s="27" t="s">
        <v>66</v>
      </c>
    </row>
    <row r="36" spans="2:6" x14ac:dyDescent="0.3">
      <c r="B36" s="27" t="s">
        <v>197</v>
      </c>
      <c r="C36" s="27" t="s">
        <v>198</v>
      </c>
      <c r="D36" s="27">
        <v>0</v>
      </c>
      <c r="E36" s="27">
        <v>0</v>
      </c>
      <c r="F36" s="27" t="s">
        <v>66</v>
      </c>
    </row>
    <row r="37" spans="2:6" x14ac:dyDescent="0.3">
      <c r="B37" s="27" t="s">
        <v>199</v>
      </c>
      <c r="C37" s="27" t="s">
        <v>200</v>
      </c>
      <c r="D37" s="27">
        <v>0</v>
      </c>
      <c r="E37" s="27">
        <v>0</v>
      </c>
      <c r="F37" s="27" t="s">
        <v>66</v>
      </c>
    </row>
    <row r="38" spans="2:6" x14ac:dyDescent="0.3">
      <c r="B38" s="27" t="s">
        <v>201</v>
      </c>
      <c r="C38" s="27" t="s">
        <v>202</v>
      </c>
      <c r="D38" s="27">
        <v>0</v>
      </c>
      <c r="E38" s="27">
        <v>0</v>
      </c>
      <c r="F38" s="27" t="s">
        <v>66</v>
      </c>
    </row>
    <row r="39" spans="2:6" x14ac:dyDescent="0.3">
      <c r="B39" s="27" t="s">
        <v>203</v>
      </c>
      <c r="C39" s="27" t="s">
        <v>204</v>
      </c>
      <c r="D39" s="27">
        <v>0</v>
      </c>
      <c r="E39" s="27">
        <v>200</v>
      </c>
      <c r="F39" s="27" t="s">
        <v>66</v>
      </c>
    </row>
    <row r="40" spans="2:6" x14ac:dyDescent="0.3">
      <c r="B40" s="27" t="s">
        <v>205</v>
      </c>
      <c r="C40" s="27" t="s">
        <v>206</v>
      </c>
      <c r="D40" s="27">
        <v>0</v>
      </c>
      <c r="E40" s="27">
        <v>0</v>
      </c>
      <c r="F40" s="27" t="s">
        <v>66</v>
      </c>
    </row>
    <row r="41" spans="2:6" x14ac:dyDescent="0.3">
      <c r="B41" s="27" t="s">
        <v>207</v>
      </c>
      <c r="C41" s="27" t="s">
        <v>208</v>
      </c>
      <c r="D41" s="27">
        <v>0</v>
      </c>
      <c r="E41" s="27">
        <v>0</v>
      </c>
      <c r="F41" s="27" t="s">
        <v>66</v>
      </c>
    </row>
    <row r="42" spans="2:6" x14ac:dyDescent="0.3">
      <c r="B42" s="27" t="s">
        <v>209</v>
      </c>
      <c r="C42" s="27" t="s">
        <v>210</v>
      </c>
      <c r="D42" s="27">
        <v>0</v>
      </c>
      <c r="E42" s="27">
        <v>0</v>
      </c>
      <c r="F42" s="27" t="s">
        <v>66</v>
      </c>
    </row>
    <row r="43" spans="2:6" x14ac:dyDescent="0.3">
      <c r="B43" s="27" t="s">
        <v>211</v>
      </c>
      <c r="C43" s="27" t="s">
        <v>212</v>
      </c>
      <c r="D43" s="27">
        <v>0</v>
      </c>
      <c r="E43" s="27">
        <v>0</v>
      </c>
      <c r="F43" s="27" t="s">
        <v>66</v>
      </c>
    </row>
    <row r="44" spans="2:6" x14ac:dyDescent="0.3">
      <c r="B44" s="27" t="s">
        <v>213</v>
      </c>
      <c r="C44" s="27" t="s">
        <v>214</v>
      </c>
      <c r="D44" s="27">
        <v>0</v>
      </c>
      <c r="E44" s="27">
        <v>0</v>
      </c>
      <c r="F44" s="27" t="s">
        <v>66</v>
      </c>
    </row>
    <row r="45" spans="2:6" x14ac:dyDescent="0.3">
      <c r="B45" s="27" t="s">
        <v>215</v>
      </c>
      <c r="C45" s="27" t="s">
        <v>216</v>
      </c>
      <c r="D45" s="27">
        <v>0</v>
      </c>
      <c r="E45" s="27">
        <v>0</v>
      </c>
      <c r="F45" s="27" t="s">
        <v>66</v>
      </c>
    </row>
    <row r="46" spans="2:6" x14ac:dyDescent="0.3">
      <c r="B46" s="27" t="s">
        <v>217</v>
      </c>
      <c r="C46" s="27" t="s">
        <v>218</v>
      </c>
      <c r="D46" s="27">
        <v>0</v>
      </c>
      <c r="E46" s="27">
        <v>30</v>
      </c>
      <c r="F46" s="27" t="s">
        <v>66</v>
      </c>
    </row>
    <row r="47" spans="2:6" x14ac:dyDescent="0.3">
      <c r="B47" s="27" t="s">
        <v>219</v>
      </c>
      <c r="C47" s="27" t="s">
        <v>220</v>
      </c>
      <c r="D47" s="27">
        <v>0</v>
      </c>
      <c r="E47" s="27">
        <v>270</v>
      </c>
      <c r="F47" s="27" t="s">
        <v>66</v>
      </c>
    </row>
    <row r="48" spans="2:6" x14ac:dyDescent="0.3">
      <c r="B48" s="27" t="s">
        <v>221</v>
      </c>
      <c r="C48" s="27" t="s">
        <v>222</v>
      </c>
      <c r="D48" s="27">
        <v>0</v>
      </c>
      <c r="E48" s="27">
        <v>50</v>
      </c>
      <c r="F48" s="27" t="s">
        <v>66</v>
      </c>
    </row>
    <row r="49" spans="2:6" x14ac:dyDescent="0.3">
      <c r="B49" s="27" t="s">
        <v>223</v>
      </c>
      <c r="C49" s="27" t="s">
        <v>224</v>
      </c>
      <c r="D49" s="27">
        <v>0</v>
      </c>
      <c r="E49" s="27">
        <v>0</v>
      </c>
      <c r="F49" s="27" t="s">
        <v>66</v>
      </c>
    </row>
    <row r="50" spans="2:6" x14ac:dyDescent="0.3">
      <c r="B50" s="27" t="s">
        <v>225</v>
      </c>
      <c r="C50" s="27" t="s">
        <v>226</v>
      </c>
      <c r="D50" s="27">
        <v>0</v>
      </c>
      <c r="E50" s="27">
        <v>0</v>
      </c>
      <c r="F50" s="27" t="s">
        <v>66</v>
      </c>
    </row>
    <row r="51" spans="2:6" x14ac:dyDescent="0.3">
      <c r="B51" s="27" t="s">
        <v>227</v>
      </c>
      <c r="C51" s="27" t="s">
        <v>228</v>
      </c>
      <c r="D51" s="27">
        <v>0</v>
      </c>
      <c r="E51" s="27">
        <v>0</v>
      </c>
      <c r="F51" s="27" t="s">
        <v>66</v>
      </c>
    </row>
    <row r="52" spans="2:6" x14ac:dyDescent="0.3">
      <c r="B52" s="27" t="s">
        <v>229</v>
      </c>
      <c r="C52" s="27" t="s">
        <v>230</v>
      </c>
      <c r="D52" s="27">
        <v>0</v>
      </c>
      <c r="E52" s="27">
        <v>0</v>
      </c>
      <c r="F52" s="27" t="s">
        <v>66</v>
      </c>
    </row>
    <row r="53" spans="2:6" x14ac:dyDescent="0.3">
      <c r="B53" s="27" t="s">
        <v>231</v>
      </c>
      <c r="C53" s="27" t="s">
        <v>232</v>
      </c>
      <c r="D53" s="27">
        <v>0</v>
      </c>
      <c r="E53" s="27">
        <v>0</v>
      </c>
      <c r="F53" s="27" t="s">
        <v>66</v>
      </c>
    </row>
    <row r="54" spans="2:6" x14ac:dyDescent="0.3">
      <c r="B54" s="27" t="s">
        <v>233</v>
      </c>
      <c r="C54" s="27" t="s">
        <v>234</v>
      </c>
      <c r="D54" s="27">
        <v>0</v>
      </c>
      <c r="E54" s="27">
        <v>0</v>
      </c>
      <c r="F54" s="27" t="s">
        <v>66</v>
      </c>
    </row>
    <row r="55" spans="2:6" x14ac:dyDescent="0.3">
      <c r="B55" s="27" t="s">
        <v>235</v>
      </c>
      <c r="C55" s="27" t="s">
        <v>236</v>
      </c>
      <c r="D55" s="27">
        <v>0</v>
      </c>
      <c r="E55" s="27">
        <v>250</v>
      </c>
      <c r="F55" s="27" t="s">
        <v>66</v>
      </c>
    </row>
    <row r="56" spans="2:6" x14ac:dyDescent="0.3">
      <c r="B56" s="27" t="s">
        <v>237</v>
      </c>
      <c r="C56" s="27" t="s">
        <v>238</v>
      </c>
      <c r="D56" s="27">
        <v>0</v>
      </c>
      <c r="E56" s="27">
        <v>0</v>
      </c>
      <c r="F56" s="27" t="s">
        <v>66</v>
      </c>
    </row>
    <row r="57" spans="2:6" x14ac:dyDescent="0.3">
      <c r="B57" s="27" t="s">
        <v>239</v>
      </c>
      <c r="C57" s="27" t="s">
        <v>240</v>
      </c>
      <c r="D57" s="27">
        <v>0</v>
      </c>
      <c r="E57" s="27">
        <v>0</v>
      </c>
      <c r="F57" s="27" t="s">
        <v>66</v>
      </c>
    </row>
    <row r="58" spans="2:6" x14ac:dyDescent="0.3">
      <c r="B58" s="27" t="s">
        <v>241</v>
      </c>
      <c r="C58" s="27" t="s">
        <v>242</v>
      </c>
      <c r="D58" s="27">
        <v>0</v>
      </c>
      <c r="E58" s="27">
        <v>0</v>
      </c>
      <c r="F58" s="27" t="s">
        <v>66</v>
      </c>
    </row>
    <row r="59" spans="2:6" x14ac:dyDescent="0.3">
      <c r="B59" s="27" t="s">
        <v>243</v>
      </c>
      <c r="C59" s="27" t="s">
        <v>244</v>
      </c>
      <c r="D59" s="27">
        <v>0</v>
      </c>
      <c r="E59" s="27">
        <v>200</v>
      </c>
      <c r="F59" s="27" t="s">
        <v>66</v>
      </c>
    </row>
    <row r="60" spans="2:6" x14ac:dyDescent="0.3">
      <c r="B60" s="27" t="s">
        <v>245</v>
      </c>
      <c r="C60" s="27" t="s">
        <v>246</v>
      </c>
      <c r="D60" s="27">
        <v>0</v>
      </c>
      <c r="E60" s="27">
        <v>100</v>
      </c>
      <c r="F60" s="27" t="s">
        <v>66</v>
      </c>
    </row>
    <row r="61" spans="2:6" x14ac:dyDescent="0.3">
      <c r="B61" s="27" t="s">
        <v>247</v>
      </c>
      <c r="C61" s="27" t="s">
        <v>248</v>
      </c>
      <c r="D61" s="27">
        <v>0</v>
      </c>
      <c r="E61" s="27">
        <v>0</v>
      </c>
      <c r="F61" s="27" t="s">
        <v>66</v>
      </c>
    </row>
    <row r="62" spans="2:6" ht="15" thickBot="1" x14ac:dyDescent="0.35">
      <c r="B62" s="25" t="s">
        <v>249</v>
      </c>
      <c r="C62" s="25" t="s">
        <v>250</v>
      </c>
      <c r="D62" s="25">
        <v>0</v>
      </c>
      <c r="E62" s="25">
        <v>0</v>
      </c>
      <c r="F62" s="25" t="s">
        <v>66</v>
      </c>
    </row>
    <row r="65" spans="1:7" ht="15" thickBot="1" x14ac:dyDescent="0.35">
      <c r="A65" t="s">
        <v>59</v>
      </c>
    </row>
    <row r="66" spans="1:7" ht="15" thickBot="1" x14ac:dyDescent="0.35">
      <c r="B66" s="26" t="s">
        <v>53</v>
      </c>
      <c r="C66" s="26" t="s">
        <v>54</v>
      </c>
      <c r="D66" s="26" t="s">
        <v>60</v>
      </c>
      <c r="E66" s="26" t="s">
        <v>61</v>
      </c>
      <c r="F66" s="26" t="s">
        <v>62</v>
      </c>
      <c r="G66" s="26" t="s">
        <v>63</v>
      </c>
    </row>
    <row r="67" spans="1:7" x14ac:dyDescent="0.3">
      <c r="B67" s="27" t="s">
        <v>251</v>
      </c>
      <c r="C67" s="27" t="s">
        <v>155</v>
      </c>
      <c r="D67" s="27">
        <v>200</v>
      </c>
      <c r="E67" s="27" t="s">
        <v>252</v>
      </c>
      <c r="F67" s="27" t="s">
        <v>88</v>
      </c>
      <c r="G67" s="27">
        <v>0</v>
      </c>
    </row>
    <row r="68" spans="1:7" x14ac:dyDescent="0.3">
      <c r="B68" s="27" t="s">
        <v>253</v>
      </c>
      <c r="C68" s="27" t="s">
        <v>156</v>
      </c>
      <c r="D68" s="27">
        <v>350</v>
      </c>
      <c r="E68" s="27" t="s">
        <v>254</v>
      </c>
      <c r="F68" s="27" t="s">
        <v>88</v>
      </c>
      <c r="G68" s="27">
        <v>0</v>
      </c>
    </row>
    <row r="69" spans="1:7" x14ac:dyDescent="0.3">
      <c r="B69" s="27" t="s">
        <v>255</v>
      </c>
      <c r="C69" s="27" t="s">
        <v>157</v>
      </c>
      <c r="D69" s="27">
        <v>250</v>
      </c>
      <c r="E69" s="27" t="s">
        <v>256</v>
      </c>
      <c r="F69" s="27" t="s">
        <v>88</v>
      </c>
      <c r="G69" s="27">
        <v>0</v>
      </c>
    </row>
    <row r="70" spans="1:7" x14ac:dyDescent="0.3">
      <c r="B70" s="27" t="s">
        <v>257</v>
      </c>
      <c r="C70" s="27" t="s">
        <v>158</v>
      </c>
      <c r="D70" s="27">
        <v>300</v>
      </c>
      <c r="E70" s="27" t="s">
        <v>258</v>
      </c>
      <c r="F70" s="27" t="s">
        <v>88</v>
      </c>
      <c r="G70" s="27">
        <v>0</v>
      </c>
    </row>
    <row r="71" spans="1:7" x14ac:dyDescent="0.3">
      <c r="B71" s="27" t="s">
        <v>259</v>
      </c>
      <c r="C71" s="27" t="s">
        <v>159</v>
      </c>
      <c r="D71" s="27">
        <v>330</v>
      </c>
      <c r="E71" s="27" t="s">
        <v>260</v>
      </c>
      <c r="F71" s="27" t="s">
        <v>88</v>
      </c>
      <c r="G71" s="27">
        <v>0</v>
      </c>
    </row>
    <row r="72" spans="1:7" x14ac:dyDescent="0.3">
      <c r="B72" s="27" t="s">
        <v>261</v>
      </c>
      <c r="C72" s="27" t="s">
        <v>160</v>
      </c>
      <c r="D72" s="27">
        <v>270</v>
      </c>
      <c r="E72" s="27" t="s">
        <v>262</v>
      </c>
      <c r="F72" s="27" t="s">
        <v>88</v>
      </c>
      <c r="G72" s="27">
        <v>0</v>
      </c>
    </row>
    <row r="73" spans="1:7" x14ac:dyDescent="0.3">
      <c r="B73" s="27" t="s">
        <v>263</v>
      </c>
      <c r="C73" s="27" t="s">
        <v>161</v>
      </c>
      <c r="D73" s="27">
        <v>300</v>
      </c>
      <c r="E73" s="27" t="s">
        <v>264</v>
      </c>
      <c r="F73" s="27" t="s">
        <v>88</v>
      </c>
      <c r="G73" s="27">
        <v>0</v>
      </c>
    </row>
    <row r="74" spans="1:7" x14ac:dyDescent="0.3">
      <c r="B74" s="27" t="s">
        <v>265</v>
      </c>
      <c r="C74" s="27" t="s">
        <v>176</v>
      </c>
      <c r="D74" s="27">
        <v>500</v>
      </c>
      <c r="E74" s="27" t="s">
        <v>266</v>
      </c>
      <c r="F74" s="27" t="s">
        <v>88</v>
      </c>
      <c r="G74" s="27">
        <v>0</v>
      </c>
    </row>
    <row r="75" spans="1:7" x14ac:dyDescent="0.3">
      <c r="B75" s="27" t="s">
        <v>267</v>
      </c>
      <c r="C75" s="27" t="s">
        <v>190</v>
      </c>
      <c r="D75" s="27">
        <v>400</v>
      </c>
      <c r="E75" s="27" t="s">
        <v>268</v>
      </c>
      <c r="F75" s="27" t="s">
        <v>88</v>
      </c>
      <c r="G75" s="27">
        <v>0</v>
      </c>
    </row>
    <row r="76" spans="1:7" x14ac:dyDescent="0.3">
      <c r="B76" s="27" t="s">
        <v>269</v>
      </c>
      <c r="C76" s="27" t="s">
        <v>204</v>
      </c>
      <c r="D76" s="27">
        <v>200</v>
      </c>
      <c r="E76" s="27" t="s">
        <v>270</v>
      </c>
      <c r="F76" s="27" t="s">
        <v>88</v>
      </c>
      <c r="G76" s="27">
        <v>0</v>
      </c>
    </row>
    <row r="77" spans="1:7" x14ac:dyDescent="0.3">
      <c r="B77" s="27" t="s">
        <v>271</v>
      </c>
      <c r="C77" s="27" t="s">
        <v>218</v>
      </c>
      <c r="D77" s="27">
        <v>350</v>
      </c>
      <c r="E77" s="27" t="s">
        <v>272</v>
      </c>
      <c r="F77" s="27" t="s">
        <v>88</v>
      </c>
      <c r="G77" s="27">
        <v>0</v>
      </c>
    </row>
    <row r="78" spans="1:7" x14ac:dyDescent="0.3">
      <c r="B78" s="27" t="s">
        <v>273</v>
      </c>
      <c r="C78" s="27" t="s">
        <v>232</v>
      </c>
      <c r="D78" s="27">
        <v>250</v>
      </c>
      <c r="E78" s="27" t="s">
        <v>274</v>
      </c>
      <c r="F78" s="27" t="s">
        <v>88</v>
      </c>
      <c r="G78" s="27">
        <v>0</v>
      </c>
    </row>
    <row r="79" spans="1:7" ht="15" thickBot="1" x14ac:dyDescent="0.35">
      <c r="B79" s="25" t="s">
        <v>275</v>
      </c>
      <c r="C79" s="25" t="s">
        <v>246</v>
      </c>
      <c r="D79" s="25">
        <v>300</v>
      </c>
      <c r="E79" s="25" t="s">
        <v>276</v>
      </c>
      <c r="F79" s="25" t="s">
        <v>88</v>
      </c>
      <c r="G79" s="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CA89-B172-46B5-A92C-4D1F7511436D}">
  <dimension ref="A1:R126"/>
  <sheetViews>
    <sheetView tabSelected="1" zoomScale="86" zoomScaleNormal="84" workbookViewId="0">
      <selection activeCell="D12" sqref="D12"/>
    </sheetView>
  </sheetViews>
  <sheetFormatPr defaultRowHeight="14.4" x14ac:dyDescent="0.3"/>
  <sheetData>
    <row r="1" spans="1:1" x14ac:dyDescent="0.3">
      <c r="A1" t="s">
        <v>0</v>
      </c>
    </row>
    <row r="17" spans="1:12" x14ac:dyDescent="0.3">
      <c r="A17" t="s">
        <v>278</v>
      </c>
    </row>
    <row r="19" spans="1:12" ht="15" customHeight="1" x14ac:dyDescent="0.3">
      <c r="A19" s="56" t="s">
        <v>143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</row>
    <row r="20" spans="1:12" x14ac:dyDescent="0.3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</row>
    <row r="22" spans="1:12" x14ac:dyDescent="0.3">
      <c r="A22" t="s">
        <v>144</v>
      </c>
      <c r="D22" t="s">
        <v>146</v>
      </c>
      <c r="G22" t="s">
        <v>150</v>
      </c>
    </row>
    <row r="23" spans="1:12" x14ac:dyDescent="0.3">
      <c r="A23" t="s">
        <v>145</v>
      </c>
      <c r="D23" t="s">
        <v>147</v>
      </c>
      <c r="G23" t="s">
        <v>151</v>
      </c>
    </row>
    <row r="24" spans="1:12" x14ac:dyDescent="0.3">
      <c r="D24" t="s">
        <v>148</v>
      </c>
      <c r="G24" t="s">
        <v>152</v>
      </c>
    </row>
    <row r="25" spans="1:12" x14ac:dyDescent="0.3">
      <c r="D25" t="s">
        <v>149</v>
      </c>
    </row>
    <row r="28" spans="1:12" x14ac:dyDescent="0.3">
      <c r="A28" s="19"/>
      <c r="B28" s="19" t="s">
        <v>155</v>
      </c>
      <c r="C28" s="20" t="s">
        <v>156</v>
      </c>
      <c r="D28" s="20" t="s">
        <v>157</v>
      </c>
      <c r="E28" s="21" t="s">
        <v>158</v>
      </c>
      <c r="H28" s="19"/>
      <c r="I28" s="19" t="s">
        <v>159</v>
      </c>
      <c r="J28" s="20" t="s">
        <v>160</v>
      </c>
      <c r="K28" s="21" t="s">
        <v>161</v>
      </c>
    </row>
    <row r="29" spans="1:12" x14ac:dyDescent="0.3">
      <c r="A29" s="19" t="s">
        <v>153</v>
      </c>
      <c r="B29" s="19">
        <v>16</v>
      </c>
      <c r="C29" s="20">
        <v>18</v>
      </c>
      <c r="D29" s="20">
        <v>20</v>
      </c>
      <c r="E29" s="21">
        <v>24</v>
      </c>
      <c r="F29">
        <v>500</v>
      </c>
      <c r="H29" s="19" t="s">
        <v>155</v>
      </c>
      <c r="I29" s="19">
        <v>8</v>
      </c>
      <c r="J29" s="20">
        <v>6</v>
      </c>
      <c r="K29" s="21">
        <v>4</v>
      </c>
      <c r="L29">
        <v>200</v>
      </c>
    </row>
    <row r="30" spans="1:12" x14ac:dyDescent="0.3">
      <c r="A30" s="23" t="s">
        <v>154</v>
      </c>
      <c r="B30" s="23">
        <v>14</v>
      </c>
      <c r="C30" s="6">
        <v>12</v>
      </c>
      <c r="D30" s="6">
        <v>22</v>
      </c>
      <c r="E30" s="7">
        <v>18</v>
      </c>
      <c r="F30">
        <v>400</v>
      </c>
      <c r="H30" s="22" t="s">
        <v>156</v>
      </c>
      <c r="I30" s="22">
        <v>10</v>
      </c>
      <c r="J30">
        <v>7</v>
      </c>
      <c r="K30" s="5">
        <v>5</v>
      </c>
      <c r="L30">
        <v>350</v>
      </c>
    </row>
    <row r="31" spans="1:12" x14ac:dyDescent="0.3">
      <c r="B31">
        <v>200</v>
      </c>
      <c r="C31">
        <v>350</v>
      </c>
      <c r="D31">
        <v>250</v>
      </c>
      <c r="E31">
        <v>300</v>
      </c>
      <c r="H31" s="22" t="s">
        <v>157</v>
      </c>
      <c r="I31" s="22">
        <v>12</v>
      </c>
      <c r="J31">
        <v>8</v>
      </c>
      <c r="K31" s="5">
        <v>3</v>
      </c>
      <c r="L31">
        <v>250</v>
      </c>
    </row>
    <row r="32" spans="1:12" x14ac:dyDescent="0.3">
      <c r="H32" s="23" t="s">
        <v>158</v>
      </c>
      <c r="I32" s="23">
        <v>8</v>
      </c>
      <c r="J32" s="6">
        <v>10</v>
      </c>
      <c r="K32" s="7">
        <v>3</v>
      </c>
      <c r="L32">
        <v>300</v>
      </c>
    </row>
    <row r="33" spans="1:11" x14ac:dyDescent="0.3">
      <c r="I33">
        <v>330</v>
      </c>
      <c r="J33">
        <v>270</v>
      </c>
      <c r="K33">
        <v>300</v>
      </c>
    </row>
    <row r="35" spans="1:11" x14ac:dyDescent="0.3">
      <c r="A35" t="s">
        <v>277</v>
      </c>
    </row>
    <row r="37" spans="1:11" x14ac:dyDescent="0.3">
      <c r="A37" s="19"/>
      <c r="B37" s="19" t="s">
        <v>155</v>
      </c>
      <c r="C37" s="20" t="s">
        <v>156</v>
      </c>
      <c r="D37" s="20" t="s">
        <v>157</v>
      </c>
      <c r="E37" s="21" t="s">
        <v>158</v>
      </c>
      <c r="F37" s="19" t="s">
        <v>159</v>
      </c>
      <c r="G37" s="20" t="s">
        <v>160</v>
      </c>
      <c r="H37" s="21" t="s">
        <v>161</v>
      </c>
    </row>
    <row r="38" spans="1:11" x14ac:dyDescent="0.3">
      <c r="A38" s="19" t="s">
        <v>153</v>
      </c>
      <c r="B38" s="19">
        <v>16</v>
      </c>
      <c r="C38" s="20">
        <v>18</v>
      </c>
      <c r="D38" s="20">
        <v>20</v>
      </c>
      <c r="E38" s="21">
        <v>24</v>
      </c>
      <c r="F38" s="20">
        <v>1000</v>
      </c>
      <c r="G38" s="20">
        <v>1000</v>
      </c>
      <c r="H38" s="21">
        <v>1000</v>
      </c>
    </row>
    <row r="39" spans="1:11" x14ac:dyDescent="0.3">
      <c r="A39" s="23" t="s">
        <v>154</v>
      </c>
      <c r="B39" s="23">
        <v>14</v>
      </c>
      <c r="C39" s="6">
        <v>12</v>
      </c>
      <c r="D39" s="6">
        <v>22</v>
      </c>
      <c r="E39" s="7">
        <v>18</v>
      </c>
      <c r="F39">
        <v>1000</v>
      </c>
      <c r="G39">
        <v>1000</v>
      </c>
      <c r="H39" s="5">
        <v>1000</v>
      </c>
    </row>
    <row r="40" spans="1:11" x14ac:dyDescent="0.3">
      <c r="A40" s="19" t="s">
        <v>155</v>
      </c>
      <c r="B40" s="22">
        <v>0</v>
      </c>
      <c r="C40">
        <v>1000</v>
      </c>
      <c r="D40">
        <v>1000</v>
      </c>
      <c r="E40">
        <v>1000</v>
      </c>
      <c r="F40" s="19">
        <v>8</v>
      </c>
      <c r="G40" s="20">
        <v>6</v>
      </c>
      <c r="H40" s="21">
        <v>4</v>
      </c>
    </row>
    <row r="41" spans="1:11" x14ac:dyDescent="0.3">
      <c r="A41" s="22" t="s">
        <v>156</v>
      </c>
      <c r="B41" s="22">
        <v>1000</v>
      </c>
      <c r="C41">
        <v>0</v>
      </c>
      <c r="D41">
        <v>1000</v>
      </c>
      <c r="E41">
        <v>1000</v>
      </c>
      <c r="F41" s="22">
        <v>10</v>
      </c>
      <c r="G41">
        <v>7</v>
      </c>
      <c r="H41" s="5">
        <v>5</v>
      </c>
    </row>
    <row r="42" spans="1:11" x14ac:dyDescent="0.3">
      <c r="A42" s="22" t="s">
        <v>157</v>
      </c>
      <c r="B42" s="22">
        <v>1000</v>
      </c>
      <c r="C42">
        <v>1000</v>
      </c>
      <c r="D42">
        <v>0</v>
      </c>
      <c r="E42">
        <v>1000</v>
      </c>
      <c r="F42" s="22">
        <v>12</v>
      </c>
      <c r="G42">
        <v>8</v>
      </c>
      <c r="H42" s="5">
        <v>3</v>
      </c>
    </row>
    <row r="43" spans="1:11" x14ac:dyDescent="0.3">
      <c r="A43" s="23" t="s">
        <v>158</v>
      </c>
      <c r="B43" s="23">
        <v>1000</v>
      </c>
      <c r="C43" s="6">
        <v>1000</v>
      </c>
      <c r="D43" s="6">
        <v>1000</v>
      </c>
      <c r="E43" s="6">
        <v>0</v>
      </c>
      <c r="F43" s="23">
        <v>8</v>
      </c>
      <c r="G43" s="6">
        <v>10</v>
      </c>
      <c r="H43" s="7">
        <v>3</v>
      </c>
    </row>
    <row r="45" spans="1:11" x14ac:dyDescent="0.3">
      <c r="A45" s="19"/>
      <c r="B45" s="19" t="s">
        <v>155</v>
      </c>
      <c r="C45" s="20" t="s">
        <v>156</v>
      </c>
      <c r="D45" s="20" t="s">
        <v>157</v>
      </c>
      <c r="E45" s="21" t="s">
        <v>158</v>
      </c>
      <c r="F45" s="19" t="s">
        <v>159</v>
      </c>
      <c r="G45" s="20" t="s">
        <v>160</v>
      </c>
      <c r="H45" s="21" t="s">
        <v>161</v>
      </c>
    </row>
    <row r="46" spans="1:11" x14ac:dyDescent="0.3">
      <c r="A46" s="19" t="s">
        <v>153</v>
      </c>
      <c r="B46" s="19">
        <v>200</v>
      </c>
      <c r="C46" s="20">
        <v>0</v>
      </c>
      <c r="D46" s="20">
        <v>250</v>
      </c>
      <c r="E46" s="21">
        <v>50</v>
      </c>
      <c r="F46" s="20">
        <v>0</v>
      </c>
      <c r="G46" s="20">
        <v>0</v>
      </c>
      <c r="H46" s="21">
        <v>0</v>
      </c>
      <c r="I46">
        <f>SUM(B46:H46)</f>
        <v>500</v>
      </c>
      <c r="J46">
        <v>500</v>
      </c>
    </row>
    <row r="47" spans="1:11" x14ac:dyDescent="0.3">
      <c r="A47" s="23" t="s">
        <v>154</v>
      </c>
      <c r="B47" s="23">
        <v>0</v>
      </c>
      <c r="C47" s="6">
        <v>350</v>
      </c>
      <c r="D47" s="6">
        <v>0</v>
      </c>
      <c r="E47" s="7">
        <v>50</v>
      </c>
      <c r="F47">
        <v>0</v>
      </c>
      <c r="G47">
        <v>0</v>
      </c>
      <c r="H47" s="5">
        <v>0</v>
      </c>
      <c r="I47">
        <f t="shared" ref="I47:I51" si="0">SUM(B47:H47)</f>
        <v>400</v>
      </c>
      <c r="J47">
        <v>400</v>
      </c>
    </row>
    <row r="48" spans="1:11" x14ac:dyDescent="0.3">
      <c r="A48" s="19" t="s">
        <v>155</v>
      </c>
      <c r="B48" s="22">
        <v>0</v>
      </c>
      <c r="C48">
        <v>0</v>
      </c>
      <c r="D48">
        <v>0</v>
      </c>
      <c r="E48">
        <v>0</v>
      </c>
      <c r="F48" s="19">
        <v>200</v>
      </c>
      <c r="G48" s="20">
        <v>0</v>
      </c>
      <c r="H48" s="21">
        <v>0</v>
      </c>
      <c r="I48">
        <f t="shared" si="0"/>
        <v>200</v>
      </c>
      <c r="J48">
        <v>200</v>
      </c>
    </row>
    <row r="49" spans="1:17" x14ac:dyDescent="0.3">
      <c r="A49" s="22" t="s">
        <v>156</v>
      </c>
      <c r="B49" s="22">
        <v>0</v>
      </c>
      <c r="C49">
        <v>0</v>
      </c>
      <c r="D49">
        <v>0</v>
      </c>
      <c r="E49">
        <v>0</v>
      </c>
      <c r="F49" s="22">
        <v>30</v>
      </c>
      <c r="G49">
        <v>270</v>
      </c>
      <c r="H49" s="5">
        <v>50</v>
      </c>
      <c r="I49">
        <f t="shared" si="0"/>
        <v>350</v>
      </c>
      <c r="J49">
        <v>350</v>
      </c>
    </row>
    <row r="50" spans="1:17" x14ac:dyDescent="0.3">
      <c r="A50" s="22" t="s">
        <v>157</v>
      </c>
      <c r="B50" s="22">
        <v>0</v>
      </c>
      <c r="C50">
        <v>0</v>
      </c>
      <c r="D50">
        <v>0</v>
      </c>
      <c r="E50">
        <v>0</v>
      </c>
      <c r="F50" s="22">
        <v>0</v>
      </c>
      <c r="G50">
        <v>0</v>
      </c>
      <c r="H50" s="5">
        <v>250</v>
      </c>
      <c r="I50">
        <f t="shared" si="0"/>
        <v>250</v>
      </c>
      <c r="J50">
        <v>250</v>
      </c>
    </row>
    <row r="51" spans="1:17" x14ac:dyDescent="0.3">
      <c r="A51" s="23" t="s">
        <v>158</v>
      </c>
      <c r="B51" s="23">
        <v>0</v>
      </c>
      <c r="C51" s="6">
        <v>0</v>
      </c>
      <c r="D51" s="6">
        <v>0</v>
      </c>
      <c r="E51" s="6">
        <v>200</v>
      </c>
      <c r="F51" s="23">
        <v>100</v>
      </c>
      <c r="G51" s="6">
        <v>0</v>
      </c>
      <c r="H51" s="7">
        <v>0</v>
      </c>
      <c r="I51">
        <f t="shared" si="0"/>
        <v>300</v>
      </c>
      <c r="J51">
        <v>300</v>
      </c>
    </row>
    <row r="52" spans="1:17" x14ac:dyDescent="0.3">
      <c r="B52">
        <f>SUM(B46:B51)</f>
        <v>200</v>
      </c>
      <c r="C52">
        <f t="shared" ref="C52:H52" si="1">SUM(C46:C51)</f>
        <v>350</v>
      </c>
      <c r="D52">
        <f t="shared" si="1"/>
        <v>250</v>
      </c>
      <c r="E52">
        <f t="shared" si="1"/>
        <v>300</v>
      </c>
      <c r="F52">
        <f t="shared" si="1"/>
        <v>330</v>
      </c>
      <c r="G52">
        <f t="shared" si="1"/>
        <v>270</v>
      </c>
      <c r="H52">
        <f t="shared" si="1"/>
        <v>300</v>
      </c>
    </row>
    <row r="53" spans="1:17" x14ac:dyDescent="0.3">
      <c r="B53">
        <v>200</v>
      </c>
      <c r="C53">
        <v>350</v>
      </c>
      <c r="D53">
        <v>250</v>
      </c>
      <c r="E53">
        <v>300</v>
      </c>
      <c r="F53">
        <v>330</v>
      </c>
      <c r="G53">
        <v>270</v>
      </c>
      <c r="H53">
        <v>300</v>
      </c>
      <c r="J53" s="16">
        <f>SUMPRODUCT(B38:H43,B46:H51)</f>
        <v>20090</v>
      </c>
    </row>
    <row r="55" spans="1:17" x14ac:dyDescent="0.3">
      <c r="A55" t="s">
        <v>279</v>
      </c>
    </row>
    <row r="57" spans="1:17" x14ac:dyDescent="0.3">
      <c r="A57" s="42"/>
      <c r="B57" s="20">
        <v>200</v>
      </c>
      <c r="C57" s="20">
        <v>350</v>
      </c>
      <c r="D57" s="20">
        <v>250</v>
      </c>
      <c r="E57" s="21">
        <v>300</v>
      </c>
    </row>
    <row r="58" spans="1:17" x14ac:dyDescent="0.3">
      <c r="A58" s="19">
        <v>500</v>
      </c>
      <c r="B58" s="19">
        <v>16</v>
      </c>
      <c r="C58" s="20">
        <v>18</v>
      </c>
      <c r="D58" s="20">
        <v>20</v>
      </c>
      <c r="E58" s="21">
        <v>24</v>
      </c>
    </row>
    <row r="59" spans="1:17" x14ac:dyDescent="0.3">
      <c r="A59" s="22">
        <v>400</v>
      </c>
      <c r="B59" s="22">
        <v>14</v>
      </c>
      <c r="C59">
        <v>12</v>
      </c>
      <c r="D59">
        <v>22</v>
      </c>
      <c r="E59" s="5">
        <v>18</v>
      </c>
    </row>
    <row r="60" spans="1:17" x14ac:dyDescent="0.3">
      <c r="A60" s="23">
        <v>200</v>
      </c>
      <c r="B60" s="23">
        <v>0</v>
      </c>
      <c r="C60" s="6">
        <v>0</v>
      </c>
      <c r="D60" s="6">
        <v>0</v>
      </c>
      <c r="E60" s="7">
        <v>0</v>
      </c>
    </row>
    <row r="62" spans="1:17" x14ac:dyDescent="0.3">
      <c r="A62" s="30"/>
      <c r="B62" s="40">
        <v>200</v>
      </c>
      <c r="C62" s="40">
        <v>0</v>
      </c>
      <c r="D62" s="40">
        <v>250</v>
      </c>
      <c r="E62" s="41">
        <v>300</v>
      </c>
      <c r="G62" s="42"/>
      <c r="H62" s="20">
        <v>150</v>
      </c>
      <c r="I62" s="20">
        <v>0</v>
      </c>
      <c r="J62" s="20">
        <v>250</v>
      </c>
      <c r="K62" s="21">
        <v>300</v>
      </c>
      <c r="M62" s="42"/>
      <c r="N62" s="20">
        <v>0</v>
      </c>
      <c r="O62" s="20">
        <v>0</v>
      </c>
      <c r="P62" s="20">
        <v>250</v>
      </c>
      <c r="Q62" s="21">
        <v>300</v>
      </c>
    </row>
    <row r="63" spans="1:17" ht="28.8" x14ac:dyDescent="0.3">
      <c r="A63" s="19">
        <v>500</v>
      </c>
      <c r="B63" s="19">
        <v>16</v>
      </c>
      <c r="C63" s="33">
        <v>18</v>
      </c>
      <c r="D63" s="20">
        <v>20</v>
      </c>
      <c r="E63" s="21">
        <v>24</v>
      </c>
      <c r="G63" s="42">
        <v>500</v>
      </c>
      <c r="H63" s="20">
        <v>16</v>
      </c>
      <c r="I63" s="33">
        <v>18</v>
      </c>
      <c r="J63" s="20">
        <v>20</v>
      </c>
      <c r="K63" s="21">
        <v>24</v>
      </c>
      <c r="M63" s="42">
        <v>350</v>
      </c>
      <c r="N63" s="31" t="s">
        <v>282</v>
      </c>
      <c r="O63" s="33">
        <v>18</v>
      </c>
      <c r="P63" s="20">
        <v>20</v>
      </c>
      <c r="Q63" s="21">
        <v>24</v>
      </c>
    </row>
    <row r="64" spans="1:17" ht="28.8" x14ac:dyDescent="0.3">
      <c r="A64" s="22">
        <v>50</v>
      </c>
      <c r="B64" s="22">
        <v>14</v>
      </c>
      <c r="C64" s="8" t="s">
        <v>280</v>
      </c>
      <c r="D64">
        <v>22</v>
      </c>
      <c r="E64" s="5">
        <v>18</v>
      </c>
      <c r="G64" s="44">
        <v>0</v>
      </c>
      <c r="H64" s="8" t="s">
        <v>281</v>
      </c>
      <c r="I64" s="8" t="s">
        <v>280</v>
      </c>
      <c r="J64" s="9">
        <v>22</v>
      </c>
      <c r="K64" s="10">
        <v>18</v>
      </c>
      <c r="M64" s="44">
        <v>0</v>
      </c>
      <c r="N64" s="8" t="s">
        <v>281</v>
      </c>
      <c r="O64" s="8" t="s">
        <v>280</v>
      </c>
      <c r="P64" s="9">
        <v>22</v>
      </c>
      <c r="Q64" s="10">
        <v>18</v>
      </c>
    </row>
    <row r="65" spans="1:18" x14ac:dyDescent="0.3">
      <c r="A65" s="23">
        <v>200</v>
      </c>
      <c r="B65" s="23">
        <v>0</v>
      </c>
      <c r="C65" s="11">
        <v>0</v>
      </c>
      <c r="D65" s="6">
        <v>0</v>
      </c>
      <c r="E65" s="7">
        <v>0</v>
      </c>
      <c r="G65" s="43">
        <v>200</v>
      </c>
      <c r="H65" s="6">
        <v>0</v>
      </c>
      <c r="I65" s="11">
        <v>0</v>
      </c>
      <c r="J65" s="6">
        <v>0</v>
      </c>
      <c r="K65" s="7">
        <v>0</v>
      </c>
      <c r="M65" s="43">
        <v>200</v>
      </c>
      <c r="N65" s="11">
        <v>0</v>
      </c>
      <c r="O65" s="11">
        <v>0</v>
      </c>
      <c r="P65" s="6">
        <v>0</v>
      </c>
      <c r="Q65" s="7">
        <v>0</v>
      </c>
    </row>
    <row r="67" spans="1:18" x14ac:dyDescent="0.3">
      <c r="A67" s="42"/>
      <c r="B67" s="20">
        <v>0</v>
      </c>
      <c r="C67" s="20">
        <v>0</v>
      </c>
      <c r="D67" s="20">
        <v>0</v>
      </c>
      <c r="E67" s="21">
        <v>300</v>
      </c>
      <c r="G67" s="42"/>
      <c r="H67" s="20">
        <v>0</v>
      </c>
      <c r="I67" s="20">
        <v>0</v>
      </c>
      <c r="J67" s="20">
        <v>0</v>
      </c>
      <c r="K67" s="21">
        <v>200</v>
      </c>
      <c r="M67" s="42"/>
      <c r="N67" s="20">
        <v>0</v>
      </c>
      <c r="O67" s="20">
        <v>0</v>
      </c>
      <c r="P67" s="20">
        <v>0</v>
      </c>
      <c r="Q67" s="21">
        <v>0</v>
      </c>
    </row>
    <row r="68" spans="1:18" ht="28.8" x14ac:dyDescent="0.3">
      <c r="A68" s="42">
        <v>100</v>
      </c>
      <c r="B68" s="31" t="s">
        <v>282</v>
      </c>
      <c r="C68" s="33">
        <v>18</v>
      </c>
      <c r="D68" s="31" t="s">
        <v>283</v>
      </c>
      <c r="E68" s="21">
        <v>24</v>
      </c>
      <c r="G68" s="42">
        <v>0</v>
      </c>
      <c r="H68" s="31" t="s">
        <v>282</v>
      </c>
      <c r="I68" s="33">
        <v>18</v>
      </c>
      <c r="J68" s="31" t="s">
        <v>283</v>
      </c>
      <c r="K68" s="45" t="s">
        <v>284</v>
      </c>
      <c r="M68" s="42">
        <v>0</v>
      </c>
      <c r="N68" s="31" t="s">
        <v>282</v>
      </c>
      <c r="O68" s="33">
        <v>18</v>
      </c>
      <c r="P68" s="31" t="s">
        <v>283</v>
      </c>
      <c r="Q68" s="45" t="s">
        <v>284</v>
      </c>
    </row>
    <row r="69" spans="1:18" ht="28.8" x14ac:dyDescent="0.3">
      <c r="A69" s="44">
        <v>0</v>
      </c>
      <c r="B69" s="8" t="s">
        <v>281</v>
      </c>
      <c r="C69" s="8" t="s">
        <v>280</v>
      </c>
      <c r="D69" s="9">
        <v>22</v>
      </c>
      <c r="E69" s="10">
        <v>18</v>
      </c>
      <c r="G69" s="44">
        <v>0</v>
      </c>
      <c r="H69" s="8" t="s">
        <v>281</v>
      </c>
      <c r="I69" s="8" t="s">
        <v>280</v>
      </c>
      <c r="J69" s="9">
        <v>22</v>
      </c>
      <c r="K69" s="10">
        <v>18</v>
      </c>
      <c r="M69" s="44">
        <v>0</v>
      </c>
      <c r="N69" s="8" t="s">
        <v>281</v>
      </c>
      <c r="O69" s="8" t="s">
        <v>280</v>
      </c>
      <c r="P69" s="9">
        <v>22</v>
      </c>
      <c r="Q69" s="10">
        <v>18</v>
      </c>
    </row>
    <row r="70" spans="1:18" ht="28.8" x14ac:dyDescent="0.3">
      <c r="A70" s="43">
        <v>200</v>
      </c>
      <c r="B70" s="11">
        <v>0</v>
      </c>
      <c r="C70" s="11">
        <v>0</v>
      </c>
      <c r="D70" s="11">
        <v>0</v>
      </c>
      <c r="E70" s="7">
        <v>0</v>
      </c>
      <c r="G70" s="43">
        <v>200</v>
      </c>
      <c r="H70" s="11">
        <v>0</v>
      </c>
      <c r="I70" s="11">
        <v>0</v>
      </c>
      <c r="J70" s="11">
        <v>0</v>
      </c>
      <c r="K70" s="7">
        <v>0</v>
      </c>
      <c r="M70" s="43">
        <v>0</v>
      </c>
      <c r="N70" s="11">
        <v>0</v>
      </c>
      <c r="O70" s="11">
        <v>0</v>
      </c>
      <c r="P70" s="11">
        <v>0</v>
      </c>
      <c r="Q70" s="37" t="s">
        <v>285</v>
      </c>
    </row>
    <row r="73" spans="1:18" x14ac:dyDescent="0.3">
      <c r="A73" s="46"/>
      <c r="B73" s="46" t="s">
        <v>287</v>
      </c>
      <c r="C73" s="46" t="s">
        <v>289</v>
      </c>
      <c r="D73" s="46" t="s">
        <v>290</v>
      </c>
      <c r="E73" s="46" t="s">
        <v>291</v>
      </c>
      <c r="G73" s="46"/>
      <c r="H73" s="46" t="s">
        <v>287</v>
      </c>
      <c r="I73" s="48" t="s">
        <v>296</v>
      </c>
      <c r="J73" s="46" t="s">
        <v>290</v>
      </c>
      <c r="K73" s="46" t="s">
        <v>291</v>
      </c>
      <c r="M73" s="9" t="s">
        <v>323</v>
      </c>
      <c r="N73" s="16"/>
      <c r="O73" s="16"/>
      <c r="P73" s="16"/>
      <c r="Q73" s="16"/>
      <c r="R73" s="16"/>
    </row>
    <row r="74" spans="1:18" ht="28.8" x14ac:dyDescent="0.3">
      <c r="A74" s="46" t="s">
        <v>15</v>
      </c>
      <c r="B74" s="31" t="s">
        <v>282</v>
      </c>
      <c r="C74" s="33">
        <v>18</v>
      </c>
      <c r="D74" s="31" t="s">
        <v>283</v>
      </c>
      <c r="E74" s="45" t="s">
        <v>284</v>
      </c>
      <c r="G74" s="46" t="s">
        <v>15</v>
      </c>
      <c r="H74" s="31" t="s">
        <v>295</v>
      </c>
      <c r="I74" s="33">
        <v>18</v>
      </c>
      <c r="J74" s="31" t="s">
        <v>283</v>
      </c>
      <c r="K74" s="45" t="s">
        <v>294</v>
      </c>
    </row>
    <row r="75" spans="1:18" ht="28.8" x14ac:dyDescent="0.3">
      <c r="A75" s="46" t="s">
        <v>288</v>
      </c>
      <c r="B75" s="8" t="s">
        <v>281</v>
      </c>
      <c r="C75" s="8" t="s">
        <v>280</v>
      </c>
      <c r="D75" s="9">
        <v>22</v>
      </c>
      <c r="E75" s="10">
        <v>18</v>
      </c>
      <c r="G75" s="48" t="s">
        <v>286</v>
      </c>
      <c r="H75" s="47">
        <v>14</v>
      </c>
      <c r="I75" s="8" t="s">
        <v>280</v>
      </c>
      <c r="J75" s="9">
        <v>22</v>
      </c>
      <c r="K75" s="13" t="s">
        <v>293</v>
      </c>
    </row>
    <row r="76" spans="1:18" ht="28.8" x14ac:dyDescent="0.3">
      <c r="A76" s="46" t="s">
        <v>292</v>
      </c>
      <c r="B76" s="11">
        <v>0</v>
      </c>
      <c r="C76" s="11">
        <v>0</v>
      </c>
      <c r="D76" s="11">
        <v>0</v>
      </c>
      <c r="E76" s="37" t="s">
        <v>285</v>
      </c>
      <c r="G76" s="46" t="s">
        <v>292</v>
      </c>
      <c r="H76" s="11">
        <v>0</v>
      </c>
      <c r="I76" s="11">
        <v>0</v>
      </c>
      <c r="J76" s="11">
        <v>0</v>
      </c>
      <c r="K76" s="37" t="s">
        <v>285</v>
      </c>
    </row>
    <row r="78" spans="1:18" x14ac:dyDescent="0.3">
      <c r="G78" t="s">
        <v>297</v>
      </c>
    </row>
    <row r="79" spans="1:18" x14ac:dyDescent="0.3">
      <c r="G79" t="s">
        <v>298</v>
      </c>
    </row>
    <row r="80" spans="1:18" x14ac:dyDescent="0.3">
      <c r="G80" t="s">
        <v>300</v>
      </c>
    </row>
    <row r="81" spans="1:17" x14ac:dyDescent="0.3">
      <c r="G81" t="s">
        <v>301</v>
      </c>
    </row>
    <row r="82" spans="1:17" x14ac:dyDescent="0.3">
      <c r="G82" t="s">
        <v>299</v>
      </c>
    </row>
    <row r="85" spans="1:17" x14ac:dyDescent="0.3">
      <c r="A85" s="39"/>
      <c r="B85" s="39">
        <v>330</v>
      </c>
      <c r="C85" s="40">
        <v>270</v>
      </c>
      <c r="D85" s="40">
        <v>300</v>
      </c>
      <c r="E85" s="41">
        <v>200</v>
      </c>
    </row>
    <row r="86" spans="1:17" x14ac:dyDescent="0.3">
      <c r="A86" s="22">
        <v>200</v>
      </c>
      <c r="B86" s="19">
        <v>8</v>
      </c>
      <c r="C86" s="20">
        <v>6</v>
      </c>
      <c r="D86" s="20">
        <v>4</v>
      </c>
      <c r="E86" s="21">
        <v>0</v>
      </c>
    </row>
    <row r="87" spans="1:17" x14ac:dyDescent="0.3">
      <c r="A87" s="22">
        <v>350</v>
      </c>
      <c r="B87" s="22">
        <v>10</v>
      </c>
      <c r="C87">
        <v>7</v>
      </c>
      <c r="D87">
        <v>5</v>
      </c>
      <c r="E87" s="5">
        <v>0</v>
      </c>
    </row>
    <row r="88" spans="1:17" x14ac:dyDescent="0.3">
      <c r="A88" s="22">
        <v>250</v>
      </c>
      <c r="B88" s="22">
        <v>12</v>
      </c>
      <c r="C88">
        <v>8</v>
      </c>
      <c r="D88">
        <v>3</v>
      </c>
      <c r="E88" s="5">
        <v>0</v>
      </c>
    </row>
    <row r="89" spans="1:17" x14ac:dyDescent="0.3">
      <c r="A89" s="23">
        <v>300</v>
      </c>
      <c r="B89" s="23">
        <v>8</v>
      </c>
      <c r="C89" s="6">
        <v>10</v>
      </c>
      <c r="D89" s="6">
        <v>3</v>
      </c>
      <c r="E89" s="7">
        <v>0</v>
      </c>
    </row>
    <row r="91" spans="1:17" x14ac:dyDescent="0.3">
      <c r="A91" s="39"/>
      <c r="B91" s="39">
        <v>330</v>
      </c>
      <c r="C91" s="40">
        <v>270</v>
      </c>
      <c r="D91" s="40">
        <v>50</v>
      </c>
      <c r="E91" s="41">
        <v>200</v>
      </c>
      <c r="G91" s="39"/>
      <c r="H91" s="39">
        <v>330</v>
      </c>
      <c r="I91" s="40">
        <v>270</v>
      </c>
      <c r="J91" s="40">
        <v>0</v>
      </c>
      <c r="K91" s="41">
        <v>200</v>
      </c>
      <c r="M91" s="39"/>
      <c r="N91" s="39">
        <v>330</v>
      </c>
      <c r="O91" s="40">
        <v>70</v>
      </c>
      <c r="P91" s="40">
        <v>0</v>
      </c>
      <c r="Q91" s="41">
        <v>200</v>
      </c>
    </row>
    <row r="92" spans="1:17" ht="28.8" x14ac:dyDescent="0.3">
      <c r="A92" s="22">
        <v>200</v>
      </c>
      <c r="B92" s="19">
        <v>8</v>
      </c>
      <c r="C92" s="20">
        <v>6</v>
      </c>
      <c r="D92" s="20">
        <v>4</v>
      </c>
      <c r="E92" s="21">
        <v>0</v>
      </c>
      <c r="G92" s="22">
        <v>200</v>
      </c>
      <c r="H92" s="19">
        <v>8</v>
      </c>
      <c r="I92" s="20">
        <v>6</v>
      </c>
      <c r="J92" s="33">
        <v>4</v>
      </c>
      <c r="K92" s="21">
        <v>0</v>
      </c>
      <c r="M92" s="22">
        <v>0</v>
      </c>
      <c r="N92" s="49">
        <v>8</v>
      </c>
      <c r="O92" s="31" t="s">
        <v>304</v>
      </c>
      <c r="P92" s="33">
        <v>4</v>
      </c>
      <c r="Q92" s="34">
        <v>0</v>
      </c>
    </row>
    <row r="93" spans="1:17" x14ac:dyDescent="0.3">
      <c r="A93" s="22">
        <v>350</v>
      </c>
      <c r="B93" s="22">
        <v>10</v>
      </c>
      <c r="C93">
        <v>7</v>
      </c>
      <c r="D93">
        <v>5</v>
      </c>
      <c r="E93" s="5">
        <v>0</v>
      </c>
      <c r="G93" s="22">
        <v>350</v>
      </c>
      <c r="H93" s="22">
        <v>10</v>
      </c>
      <c r="I93">
        <v>7</v>
      </c>
      <c r="J93" s="16">
        <v>5</v>
      </c>
      <c r="K93" s="5">
        <v>0</v>
      </c>
      <c r="M93" s="22">
        <v>350</v>
      </c>
      <c r="N93" s="22">
        <v>10</v>
      </c>
      <c r="O93">
        <v>7</v>
      </c>
      <c r="P93" s="16">
        <v>5</v>
      </c>
      <c r="Q93" s="5">
        <v>0</v>
      </c>
    </row>
    <row r="94" spans="1:17" ht="28.8" x14ac:dyDescent="0.3">
      <c r="A94" s="22">
        <v>0</v>
      </c>
      <c r="B94" s="36">
        <v>12</v>
      </c>
      <c r="C94" s="16">
        <v>8</v>
      </c>
      <c r="D94" s="15" t="s">
        <v>302</v>
      </c>
      <c r="E94" s="10">
        <v>0</v>
      </c>
      <c r="G94" s="22">
        <v>0</v>
      </c>
      <c r="H94" s="36">
        <v>12</v>
      </c>
      <c r="I94" s="16">
        <v>8</v>
      </c>
      <c r="J94" s="15" t="s">
        <v>302</v>
      </c>
      <c r="K94" s="10">
        <v>0</v>
      </c>
      <c r="M94" s="22">
        <v>0</v>
      </c>
      <c r="N94" s="36">
        <v>12</v>
      </c>
      <c r="O94" s="16">
        <v>8</v>
      </c>
      <c r="P94" s="15" t="s">
        <v>302</v>
      </c>
      <c r="Q94" s="10">
        <v>0</v>
      </c>
    </row>
    <row r="95" spans="1:17" ht="28.8" x14ac:dyDescent="0.3">
      <c r="A95" s="23">
        <v>300</v>
      </c>
      <c r="B95" s="23">
        <v>8</v>
      </c>
      <c r="C95" s="6">
        <v>10</v>
      </c>
      <c r="D95" s="6">
        <v>3</v>
      </c>
      <c r="E95" s="7">
        <v>0</v>
      </c>
      <c r="G95" s="23">
        <v>250</v>
      </c>
      <c r="H95" s="23">
        <v>8</v>
      </c>
      <c r="I95" s="6">
        <v>10</v>
      </c>
      <c r="J95" s="12" t="s">
        <v>303</v>
      </c>
      <c r="K95" s="7">
        <v>0</v>
      </c>
      <c r="M95" s="23">
        <v>250</v>
      </c>
      <c r="N95" s="23">
        <v>8</v>
      </c>
      <c r="O95" s="6">
        <v>10</v>
      </c>
      <c r="P95" s="12" t="s">
        <v>303</v>
      </c>
      <c r="Q95" s="7">
        <v>0</v>
      </c>
    </row>
    <row r="97" spans="1:18" x14ac:dyDescent="0.3">
      <c r="A97" s="39"/>
      <c r="B97" s="39">
        <v>330</v>
      </c>
      <c r="C97" s="40">
        <v>0</v>
      </c>
      <c r="D97" s="40">
        <v>0</v>
      </c>
      <c r="E97" s="41">
        <v>200</v>
      </c>
      <c r="G97" s="39"/>
      <c r="H97" s="39">
        <v>80</v>
      </c>
      <c r="I97" s="40">
        <v>0</v>
      </c>
      <c r="J97" s="40">
        <v>0</v>
      </c>
      <c r="K97" s="41">
        <v>200</v>
      </c>
      <c r="M97" s="39"/>
      <c r="N97" s="39">
        <v>0</v>
      </c>
      <c r="O97" s="40">
        <v>0</v>
      </c>
      <c r="P97" s="40">
        <v>0</v>
      </c>
      <c r="Q97" s="41">
        <v>200</v>
      </c>
    </row>
    <row r="98" spans="1:18" ht="28.8" x14ac:dyDescent="0.3">
      <c r="A98" s="22">
        <v>0</v>
      </c>
      <c r="B98" s="49">
        <v>8</v>
      </c>
      <c r="C98" s="31" t="s">
        <v>304</v>
      </c>
      <c r="D98" s="33">
        <v>4</v>
      </c>
      <c r="E98" s="34">
        <v>0</v>
      </c>
      <c r="G98" s="22">
        <v>0</v>
      </c>
      <c r="H98" s="49">
        <v>8</v>
      </c>
      <c r="I98" s="31" t="s">
        <v>304</v>
      </c>
      <c r="J98" s="33">
        <v>4</v>
      </c>
      <c r="K98" s="34">
        <v>0</v>
      </c>
      <c r="M98" s="22">
        <v>0</v>
      </c>
      <c r="N98" s="49">
        <v>8</v>
      </c>
      <c r="O98" s="31" t="s">
        <v>304</v>
      </c>
      <c r="P98" s="33">
        <v>4</v>
      </c>
      <c r="Q98" s="34">
        <v>0</v>
      </c>
    </row>
    <row r="99" spans="1:18" ht="28.8" x14ac:dyDescent="0.3">
      <c r="A99" s="22">
        <v>280</v>
      </c>
      <c r="B99" s="22">
        <v>10</v>
      </c>
      <c r="C99" s="15" t="s">
        <v>305</v>
      </c>
      <c r="D99" s="16">
        <v>5</v>
      </c>
      <c r="E99" s="5">
        <v>0</v>
      </c>
      <c r="G99" s="22">
        <v>280</v>
      </c>
      <c r="H99" s="22">
        <v>10</v>
      </c>
      <c r="I99" s="15" t="s">
        <v>305</v>
      </c>
      <c r="J99" s="16">
        <v>5</v>
      </c>
      <c r="K99" s="5">
        <v>0</v>
      </c>
      <c r="M99" s="22">
        <v>200</v>
      </c>
      <c r="N99" s="51" t="s">
        <v>319</v>
      </c>
      <c r="O99" s="15" t="s">
        <v>305</v>
      </c>
      <c r="P99" s="16">
        <v>5</v>
      </c>
      <c r="Q99" s="5">
        <v>0</v>
      </c>
    </row>
    <row r="100" spans="1:18" ht="28.8" x14ac:dyDescent="0.3">
      <c r="A100" s="22">
        <v>0</v>
      </c>
      <c r="B100" s="36">
        <v>12</v>
      </c>
      <c r="C100" s="16">
        <v>8</v>
      </c>
      <c r="D100" s="15" t="s">
        <v>302</v>
      </c>
      <c r="E100" s="10">
        <v>0</v>
      </c>
      <c r="G100" s="22">
        <v>0</v>
      </c>
      <c r="H100" s="36">
        <v>12</v>
      </c>
      <c r="I100" s="16">
        <v>8</v>
      </c>
      <c r="J100" s="15" t="s">
        <v>302</v>
      </c>
      <c r="K100" s="10">
        <v>0</v>
      </c>
      <c r="M100" s="22">
        <v>0</v>
      </c>
      <c r="N100" s="36">
        <v>12</v>
      </c>
      <c r="O100" s="16">
        <v>8</v>
      </c>
      <c r="P100" s="15" t="s">
        <v>302</v>
      </c>
      <c r="Q100" s="10">
        <v>0</v>
      </c>
    </row>
    <row r="101" spans="1:18" ht="28.8" x14ac:dyDescent="0.3">
      <c r="A101" s="23">
        <v>250</v>
      </c>
      <c r="B101" s="23">
        <v>8</v>
      </c>
      <c r="C101" s="11">
        <v>10</v>
      </c>
      <c r="D101" s="12" t="s">
        <v>303</v>
      </c>
      <c r="E101" s="7">
        <v>0</v>
      </c>
      <c r="G101" s="23">
        <v>0</v>
      </c>
      <c r="H101" s="35" t="s">
        <v>306</v>
      </c>
      <c r="I101" s="11">
        <v>10</v>
      </c>
      <c r="J101" s="12" t="s">
        <v>303</v>
      </c>
      <c r="K101" s="50">
        <v>0</v>
      </c>
      <c r="M101" s="23">
        <v>0</v>
      </c>
      <c r="N101" s="35" t="s">
        <v>306</v>
      </c>
      <c r="O101" s="11">
        <v>10</v>
      </c>
      <c r="P101" s="12" t="s">
        <v>303</v>
      </c>
      <c r="Q101" s="50">
        <v>0</v>
      </c>
    </row>
    <row r="103" spans="1:18" x14ac:dyDescent="0.3">
      <c r="A103" s="39"/>
      <c r="B103" s="39">
        <v>0</v>
      </c>
      <c r="C103" s="40">
        <v>0</v>
      </c>
      <c r="D103" s="40">
        <v>0</v>
      </c>
      <c r="E103" s="41">
        <v>0</v>
      </c>
    </row>
    <row r="104" spans="1:18" ht="28.8" x14ac:dyDescent="0.3">
      <c r="A104" s="22">
        <v>0</v>
      </c>
      <c r="B104" s="49">
        <v>8</v>
      </c>
      <c r="C104" s="31" t="s">
        <v>304</v>
      </c>
      <c r="D104" s="33">
        <v>4</v>
      </c>
      <c r="E104" s="34">
        <v>0</v>
      </c>
    </row>
    <row r="105" spans="1:18" ht="28.8" x14ac:dyDescent="0.3">
      <c r="A105" s="22">
        <v>0</v>
      </c>
      <c r="B105" s="51" t="s">
        <v>319</v>
      </c>
      <c r="C105" s="15" t="s">
        <v>305</v>
      </c>
      <c r="D105" s="16">
        <v>5</v>
      </c>
      <c r="E105" s="13" t="s">
        <v>285</v>
      </c>
    </row>
    <row r="106" spans="1:18" ht="28.8" x14ac:dyDescent="0.3">
      <c r="A106" s="22">
        <v>0</v>
      </c>
      <c r="B106" s="36">
        <v>12</v>
      </c>
      <c r="C106" s="16">
        <v>8</v>
      </c>
      <c r="D106" s="15" t="s">
        <v>302</v>
      </c>
      <c r="E106" s="10">
        <v>0</v>
      </c>
    </row>
    <row r="107" spans="1:18" ht="28.8" x14ac:dyDescent="0.3">
      <c r="A107" s="23">
        <v>0</v>
      </c>
      <c r="B107" s="35" t="s">
        <v>306</v>
      </c>
      <c r="C107" s="11">
        <v>10</v>
      </c>
      <c r="D107" s="12" t="s">
        <v>303</v>
      </c>
      <c r="E107" s="50">
        <v>0</v>
      </c>
    </row>
    <row r="110" spans="1:18" x14ac:dyDescent="0.3">
      <c r="A110" s="46"/>
      <c r="B110" s="48" t="s">
        <v>308</v>
      </c>
      <c r="C110" s="48" t="s">
        <v>307</v>
      </c>
      <c r="D110" s="48" t="s">
        <v>321</v>
      </c>
      <c r="E110" s="48" t="s">
        <v>309</v>
      </c>
      <c r="G110" s="46"/>
      <c r="H110" s="48" t="s">
        <v>313</v>
      </c>
      <c r="I110" s="48" t="s">
        <v>307</v>
      </c>
      <c r="J110" s="48" t="s">
        <v>136</v>
      </c>
      <c r="K110" s="48" t="s">
        <v>309</v>
      </c>
      <c r="M110" s="9" t="s">
        <v>324</v>
      </c>
      <c r="N110" s="16"/>
      <c r="O110" s="16"/>
      <c r="P110" s="16"/>
      <c r="Q110" s="16"/>
      <c r="R110" s="16"/>
    </row>
    <row r="111" spans="1:18" ht="28.8" x14ac:dyDescent="0.3">
      <c r="A111" s="46" t="s">
        <v>15</v>
      </c>
      <c r="B111" s="49">
        <v>8</v>
      </c>
      <c r="C111" s="31" t="s">
        <v>304</v>
      </c>
      <c r="D111" s="33">
        <v>4</v>
      </c>
      <c r="E111" s="34">
        <v>0</v>
      </c>
      <c r="G111" s="46" t="s">
        <v>15</v>
      </c>
      <c r="H111" s="32" t="s">
        <v>310</v>
      </c>
      <c r="I111" s="53" t="s">
        <v>311</v>
      </c>
      <c r="J111" s="33">
        <v>4</v>
      </c>
      <c r="K111" s="34">
        <v>0</v>
      </c>
    </row>
    <row r="112" spans="1:18" ht="28.8" x14ac:dyDescent="0.3">
      <c r="A112" s="48" t="s">
        <v>135</v>
      </c>
      <c r="B112" s="51" t="s">
        <v>319</v>
      </c>
      <c r="C112" s="15" t="s">
        <v>305</v>
      </c>
      <c r="D112" s="16">
        <v>5</v>
      </c>
      <c r="E112" s="13" t="s">
        <v>285</v>
      </c>
      <c r="G112" s="48" t="s">
        <v>135</v>
      </c>
      <c r="H112" s="52">
        <v>10</v>
      </c>
      <c r="I112" s="54" t="s">
        <v>312</v>
      </c>
      <c r="J112" s="9">
        <v>5</v>
      </c>
      <c r="K112" s="13" t="s">
        <v>285</v>
      </c>
    </row>
    <row r="113" spans="1:11" ht="28.8" x14ac:dyDescent="0.3">
      <c r="A113" s="48" t="s">
        <v>322</v>
      </c>
      <c r="B113" s="36">
        <v>12</v>
      </c>
      <c r="C113" s="16">
        <v>8</v>
      </c>
      <c r="D113" s="15" t="s">
        <v>302</v>
      </c>
      <c r="E113" s="10">
        <v>0</v>
      </c>
      <c r="G113" s="48" t="s">
        <v>137</v>
      </c>
      <c r="H113" s="36">
        <v>12</v>
      </c>
      <c r="I113" s="9">
        <v>8</v>
      </c>
      <c r="J113" s="8" t="s">
        <v>302</v>
      </c>
      <c r="K113" s="10">
        <v>0</v>
      </c>
    </row>
    <row r="114" spans="1:11" ht="28.8" x14ac:dyDescent="0.3">
      <c r="A114" s="48" t="s">
        <v>320</v>
      </c>
      <c r="B114" s="35" t="s">
        <v>306</v>
      </c>
      <c r="C114" s="11">
        <v>10</v>
      </c>
      <c r="D114" s="12" t="s">
        <v>303</v>
      </c>
      <c r="E114" s="50">
        <v>0</v>
      </c>
      <c r="G114" s="48" t="s">
        <v>28</v>
      </c>
      <c r="H114" s="35" t="s">
        <v>306</v>
      </c>
      <c r="I114" s="11">
        <v>10</v>
      </c>
      <c r="J114" s="12" t="s">
        <v>303</v>
      </c>
      <c r="K114" s="50">
        <v>0</v>
      </c>
    </row>
    <row r="116" spans="1:11" x14ac:dyDescent="0.3">
      <c r="G116" t="s">
        <v>297</v>
      </c>
    </row>
    <row r="117" spans="1:11" x14ac:dyDescent="0.3">
      <c r="G117" t="s">
        <v>314</v>
      </c>
    </row>
    <row r="118" spans="1:11" x14ac:dyDescent="0.3">
      <c r="G118" t="s">
        <v>315</v>
      </c>
    </row>
    <row r="119" spans="1:11" x14ac:dyDescent="0.3">
      <c r="G119" t="s">
        <v>316</v>
      </c>
    </row>
    <row r="120" spans="1:11" x14ac:dyDescent="0.3">
      <c r="G120" t="s">
        <v>318</v>
      </c>
    </row>
    <row r="121" spans="1:11" x14ac:dyDescent="0.3">
      <c r="G121" t="s">
        <v>317</v>
      </c>
    </row>
    <row r="124" spans="1:11" x14ac:dyDescent="0.3">
      <c r="A124" s="57" t="s">
        <v>327</v>
      </c>
      <c r="B124" s="57"/>
      <c r="C124" s="57"/>
      <c r="D124" s="57"/>
      <c r="E124" s="57"/>
      <c r="F124" s="57"/>
      <c r="G124" s="57"/>
      <c r="H124" s="57"/>
      <c r="I124" s="57"/>
      <c r="J124" s="57"/>
    </row>
    <row r="125" spans="1:11" x14ac:dyDescent="0.3">
      <c r="A125" s="57"/>
      <c r="B125" s="57"/>
      <c r="C125" s="57"/>
      <c r="D125" s="57"/>
      <c r="E125" s="57"/>
      <c r="F125" s="57"/>
      <c r="G125" s="57"/>
      <c r="H125" s="57"/>
      <c r="I125" s="57"/>
      <c r="J125" s="57"/>
    </row>
    <row r="126" spans="1:11" x14ac:dyDescent="0.3">
      <c r="A126" s="58" t="s">
        <v>325</v>
      </c>
      <c r="B126" s="58"/>
      <c r="C126" s="58"/>
      <c r="D126" s="58"/>
      <c r="E126" s="58"/>
      <c r="F126" s="58"/>
      <c r="G126" s="58"/>
      <c r="H126" s="58"/>
      <c r="I126" s="58"/>
      <c r="J126" s="58"/>
    </row>
  </sheetData>
  <mergeCells count="3">
    <mergeCell ref="A124:J125"/>
    <mergeCell ref="A126:J126"/>
    <mergeCell ref="A19:K20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Отчет о результатах 2</vt:lpstr>
      <vt:lpstr>З1</vt:lpstr>
      <vt:lpstr>Отчет о результатах 1</vt:lpstr>
      <vt:lpstr>З2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Лозюк</dc:creator>
  <cp:lastModifiedBy>Виктория Лозюк</cp:lastModifiedBy>
  <dcterms:created xsi:type="dcterms:W3CDTF">2023-10-18T22:06:48Z</dcterms:created>
  <dcterms:modified xsi:type="dcterms:W3CDTF">2023-10-23T06:23:30Z</dcterms:modified>
</cp:coreProperties>
</file>