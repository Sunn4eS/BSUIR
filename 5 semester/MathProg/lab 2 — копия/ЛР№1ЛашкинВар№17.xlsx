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UIR\COURSE 3\МатПрог\"/>
    </mc:Choice>
  </mc:AlternateContent>
  <xr:revisionPtr revIDLastSave="0" documentId="13_ncr:1_{7B1024E8-6D2D-4897-B1F4-52D193950554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Answer Report 2" sheetId="11" r:id="rId4"/>
    <sheet name="Sensitivity Report 2" sheetId="12" r:id="rId5"/>
    <sheet name="Limits Report 2" sheetId="13" r:id="rId6"/>
    <sheet name="Sheet1" sheetId="1" r:id="rId7"/>
  </sheets>
  <definedNames>
    <definedName name="solver_adj" localSheetId="6" hidden="1">Sheet1!$B$89:$D$89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est" localSheetId="6" hidden="1">1</definedName>
    <definedName name="solver_itr" localSheetId="6" hidden="1">2147483647</definedName>
    <definedName name="solver_lhs1" localSheetId="6" hidden="1">Sheet1!$E$93</definedName>
    <definedName name="solver_lhs2" localSheetId="6" hidden="1">Sheet1!$E$94</definedName>
    <definedName name="solver_lhs3" localSheetId="6" hidden="1">Sheet1!$D$85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Sheet1!$E$90</definedName>
    <definedName name="solver_pre" localSheetId="6" hidden="1">0.000001</definedName>
    <definedName name="solver_rbv" localSheetId="6" hidden="1">1</definedName>
    <definedName name="solver_rel1" localSheetId="6" hidden="1">3</definedName>
    <definedName name="solver_rel2" localSheetId="6" hidden="1">3</definedName>
    <definedName name="solver_rel3" localSheetId="6" hidden="1">1</definedName>
    <definedName name="solver_rhs1" localSheetId="6" hidden="1">Sheet1!$G$93</definedName>
    <definedName name="solver_rhs2" localSheetId="6" hidden="1">Sheet1!$G$94</definedName>
    <definedName name="solver_rhs3" localSheetId="6" hidden="1">Sheet1!$F$85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5" i="1" l="1"/>
  <c r="E134" i="1"/>
  <c r="E131" i="1"/>
  <c r="D80" i="1" l="1"/>
  <c r="I65" i="1" l="1"/>
  <c r="H67" i="1"/>
  <c r="G62" i="1" l="1"/>
  <c r="H62" i="1"/>
  <c r="I62" i="1"/>
  <c r="F62" i="1"/>
  <c r="E62" i="1"/>
  <c r="F64" i="1"/>
  <c r="G64" i="1"/>
  <c r="H64" i="1"/>
  <c r="I64" i="1"/>
  <c r="E61" i="1"/>
  <c r="E64" i="1"/>
  <c r="D64" i="1"/>
  <c r="F60" i="1"/>
  <c r="G60" i="1"/>
  <c r="H60" i="1"/>
  <c r="I60" i="1"/>
  <c r="E60" i="1"/>
  <c r="F61" i="1"/>
  <c r="G61" i="1"/>
  <c r="H61" i="1"/>
  <c r="I61" i="1"/>
  <c r="D62" i="1"/>
  <c r="D60" i="1"/>
  <c r="D61" i="1"/>
  <c r="F66" i="1" l="1"/>
  <c r="H66" i="1"/>
  <c r="E65" i="1"/>
  <c r="G67" i="1"/>
  <c r="E69" i="1"/>
  <c r="I69" i="1"/>
  <c r="G69" i="1"/>
  <c r="F67" i="1"/>
  <c r="G66" i="1"/>
  <c r="D66" i="1"/>
  <c r="H69" i="1"/>
  <c r="H65" i="1"/>
  <c r="D65" i="1"/>
  <c r="G65" i="1"/>
  <c r="F69" i="1"/>
  <c r="I66" i="1"/>
  <c r="F65" i="1"/>
  <c r="E66" i="1"/>
  <c r="D69" i="1"/>
  <c r="D67" i="1"/>
  <c r="E67" i="1"/>
  <c r="E94" i="1"/>
  <c r="E93" i="1"/>
  <c r="E90" i="1"/>
  <c r="D85" i="1"/>
  <c r="D84" i="1"/>
  <c r="D83" i="1"/>
</calcChain>
</file>

<file path=xl/sharedStrings.xml><?xml version="1.0" encoding="utf-8"?>
<sst xmlns="http://schemas.openxmlformats.org/spreadsheetml/2006/main" count="434" uniqueCount="202">
  <si>
    <t>Ресурсы</t>
  </si>
  <si>
    <t>П1</t>
  </si>
  <si>
    <t>П2</t>
  </si>
  <si>
    <t xml:space="preserve"> -&gt;max</t>
  </si>
  <si>
    <t>x1</t>
  </si>
  <si>
    <t>x2</t>
  </si>
  <si>
    <t>Знак неравенств</t>
  </si>
  <si>
    <t>bi</t>
  </si>
  <si>
    <t>y1</t>
  </si>
  <si>
    <t>&lt;=</t>
  </si>
  <si>
    <t>y2</t>
  </si>
  <si>
    <t>y3</t>
  </si>
  <si>
    <t>x1 &gt;= 0</t>
  </si>
  <si>
    <t>x2 &gt;= 0</t>
  </si>
  <si>
    <t>+</t>
  </si>
  <si>
    <t xml:space="preserve"> +</t>
  </si>
  <si>
    <t>x3</t>
  </si>
  <si>
    <t>=</t>
  </si>
  <si>
    <t>x4</t>
  </si>
  <si>
    <t>x5</t>
  </si>
  <si>
    <t>Номер итерации</t>
  </si>
  <si>
    <t>БП</t>
  </si>
  <si>
    <t>b</t>
  </si>
  <si>
    <t>Симплексные отношения</t>
  </si>
  <si>
    <t>—</t>
  </si>
  <si>
    <t>Оценки</t>
  </si>
  <si>
    <t>Переменные</t>
  </si>
  <si>
    <t>имя</t>
  </si>
  <si>
    <t>знач</t>
  </si>
  <si>
    <t>коэф. цел. ф.</t>
  </si>
  <si>
    <t>&lt;— значение целевой функции</t>
  </si>
  <si>
    <t>вид</t>
  </si>
  <si>
    <t>лев.ч.</t>
  </si>
  <si>
    <t>знак</t>
  </si>
  <si>
    <t>пр.ч.</t>
  </si>
  <si>
    <t>&lt;- значение целевой функции</t>
  </si>
  <si>
    <t>&gt;=</t>
  </si>
  <si>
    <t>а) указать, какая продукция вошла в оптимальный план, и насколько невыгодно производство продукции, не вошедшей в оптимальный план</t>
  </si>
  <si>
    <t>б) указать дефицитные и избыточные ресурсы</t>
  </si>
  <si>
    <t>P1</t>
  </si>
  <si>
    <t>P2</t>
  </si>
  <si>
    <t>P3</t>
  </si>
  <si>
    <t>Запас ресурса</t>
  </si>
  <si>
    <t>Расход ресурса при технологии</t>
  </si>
  <si>
    <t>2*x1 + 4*x2 &lt;= 34</t>
  </si>
  <si>
    <t>4*x1 + 1*x2 &lt;= 16</t>
  </si>
  <si>
    <t>2*x1 + 3*x2 &lt;= 22</t>
  </si>
  <si>
    <t>2*y1 + 4*y2 + 2*y3 &gt;= 7</t>
  </si>
  <si>
    <t>4*y1 + 1*y2 + 3*y3 &gt;= 3</t>
  </si>
  <si>
    <t>16/4=4</t>
  </si>
  <si>
    <t>34/2=17</t>
  </si>
  <si>
    <t>22/2=11</t>
  </si>
  <si>
    <t>26/3.5=52/7</t>
  </si>
  <si>
    <t>4/0.25=16</t>
  </si>
  <si>
    <t>14/2.5=28/5</t>
  </si>
  <si>
    <t>1. Составить математическую модель задачи. Объяснить смысл переменных</t>
  </si>
  <si>
    <t>Прибыль, ден. ед.</t>
  </si>
  <si>
    <t>z = 7*x1 + 3*x2 -&gt; max</t>
  </si>
  <si>
    <t>2. Составить математическую модель двойственной задачи. Объяснить смысл двойственных переменных</t>
  </si>
  <si>
    <t>Коэффициеты целевой функции</t>
  </si>
  <si>
    <t>f(y) = 34* y1 + 16*y2 + 22*y3 -&gt; min</t>
  </si>
  <si>
    <t>3. Найти оптимальный план выпуска продукции, обеспечивающий максимальную прибыль</t>
  </si>
  <si>
    <t>а) графически</t>
  </si>
  <si>
    <t>Красная линия</t>
  </si>
  <si>
    <t>Р3</t>
  </si>
  <si>
    <t>Синяя линия</t>
  </si>
  <si>
    <t>Р2</t>
  </si>
  <si>
    <t>Зеленая линия</t>
  </si>
  <si>
    <t>Р1</t>
  </si>
  <si>
    <t>б) симплекс-метод</t>
  </si>
  <si>
    <t>сб</t>
  </si>
  <si>
    <t>7*x1</t>
  </si>
  <si>
    <t>3*x2</t>
  </si>
  <si>
    <t>0*x3</t>
  </si>
  <si>
    <t>0*x4</t>
  </si>
  <si>
    <t>0*x5</t>
  </si>
  <si>
    <t>2*x1</t>
  </si>
  <si>
    <t>4*x2</t>
  </si>
  <si>
    <t>1*x3</t>
  </si>
  <si>
    <t>4*x1</t>
  </si>
  <si>
    <t>1*x2</t>
  </si>
  <si>
    <t>1*x4</t>
  </si>
  <si>
    <t>1*x5</t>
  </si>
  <si>
    <t>∆0</t>
  </si>
  <si>
    <t>∆1</t>
  </si>
  <si>
    <t>∆2</t>
  </si>
  <si>
    <t>∆3</t>
  </si>
  <si>
    <t>∆4</t>
  </si>
  <si>
    <t>∆5</t>
  </si>
  <si>
    <t>Среди значений индексной строки нет отрицательных. Поэтому эта таблица определяет оптимальный план задачи.</t>
  </si>
  <si>
    <t>Оптимальный план: x1 = 2.6, x2 = 5.6, z = 35</t>
  </si>
  <si>
    <t>Вектор X = (x1, x2, x3, x4, x5) = (2.6, 5.6, 6.4, 0, 0)</t>
  </si>
  <si>
    <t>в) на компьютере</t>
  </si>
  <si>
    <t>Ограничения</t>
  </si>
  <si>
    <t>Microsoft Excel 16.0 Answer Report</t>
  </si>
  <si>
    <t>Worksheet: [Лабораторная работа №1.xlsx]Sheet1</t>
  </si>
  <si>
    <t>Report Created: 11/2/2024 10:28:15 PM</t>
  </si>
  <si>
    <t>Result: Solver found a solution.  All Constraints and optimality conditions are satisfied.</t>
  </si>
  <si>
    <t>Solver Engine</t>
  </si>
  <si>
    <t>Engine: Simplex LP</t>
  </si>
  <si>
    <t>Solution Time: 0.032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</si>
  <si>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</si>
  <si>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</si>
  <si>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</si>
  <si>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</si>
  <si>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</si>
  <si>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</si>
  <si>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</si>
  <si>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</si>
  <si>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</si>
  <si>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</si>
  <si>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</si>
  <si>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</si>
  <si>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</si>
  <si>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</si>
  <si>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</si>
  <si>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</si>
  <si>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$D$80</t>
  </si>
  <si>
    <t>коэф. цел. ф. ∆0</t>
  </si>
  <si>
    <t>$B$79</t>
  </si>
  <si>
    <t>знач x1</t>
  </si>
  <si>
    <t>Contin</t>
  </si>
  <si>
    <t>$C$79</t>
  </si>
  <si>
    <t>знач x2</t>
  </si>
  <si>
    <t>$D$83</t>
  </si>
  <si>
    <t>P1 лев.ч.</t>
  </si>
  <si>
    <t>$D$83&lt;=$F$83</t>
  </si>
  <si>
    <t>Not Binding</t>
  </si>
  <si>
    <t>$D$84</t>
  </si>
  <si>
    <t>P2 лев.ч.</t>
  </si>
  <si>
    <t>$D$84&lt;=$F$84</t>
  </si>
  <si>
    <t>Binding</t>
  </si>
  <si>
    <t>$D$85</t>
  </si>
  <si>
    <t>P3 лев.ч.</t>
  </si>
  <si>
    <t>$D$85&lt;=$F$85</t>
  </si>
  <si>
    <t>Microsoft Excel 16.0 Sensitivity Report</t>
  </si>
  <si>
    <t>Report Created: 11/2/2024 10:28:16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</si>
  <si>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</si>
  <si>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</si>
  <si>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</si>
  <si>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</si>
  <si>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</si>
  <si>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</si>
  <si>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</si>
  <si>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</si>
  <si>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</si>
  <si>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</si>
  <si>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</si>
  <si>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</si>
  <si>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</si>
  <si>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</si>
  <si>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</si>
  <si>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</si>
  <si>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</si>
  <si>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</si>
  <si>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</si>
  <si>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Solution Time: 0.031 Seconds.</t>
  </si>
  <si>
    <t>Iterations: 3 Subproblems: 0</t>
  </si>
  <si>
    <t>Objective Cell (Min)</t>
  </si>
  <si>
    <t>$E$90</t>
  </si>
  <si>
    <t>коэф. цел. ф. &lt;=</t>
  </si>
  <si>
    <t>$B$89</t>
  </si>
  <si>
    <t>знач y1</t>
  </si>
  <si>
    <t>$C$89</t>
  </si>
  <si>
    <t>знач y2</t>
  </si>
  <si>
    <t>$D$89</t>
  </si>
  <si>
    <t>знач y3</t>
  </si>
  <si>
    <t>$E$93</t>
  </si>
  <si>
    <t>$E$93&gt;=$G$93</t>
  </si>
  <si>
    <t>$E$94</t>
  </si>
  <si>
    <t>$E$94&gt;=$G$94</t>
  </si>
  <si>
    <t>модель №1</t>
  </si>
  <si>
    <t>модель №2</t>
  </si>
  <si>
    <t>4. Провести анализ оптимальных решений прямой и двойственной задач, используя отчеты трех типов (по результатам, по устойчивости, по пределам)</t>
  </si>
  <si>
    <t>в) выписать оптимальное решение двойственной задачи</t>
  </si>
  <si>
    <t>г) указать наиболее дефицитный ресурс, исходя из оптимального решения двойственной задачи</t>
  </si>
  <si>
    <t>д) указать интервал устойчивости двойственных оценок</t>
  </si>
  <si>
    <t>Report Created: 11/2/2024 10:47:29 PM</t>
  </si>
  <si>
    <t>модель №1 лев.ч.</t>
  </si>
  <si>
    <t>модель №2 лев.ч.</t>
  </si>
  <si>
    <t>Оптимальный план включает производство 2.6 ед. при технологии 1-го типа и 5.6 при технологии 2-го типа</t>
  </si>
  <si>
    <t>При этом P1=27.6, P2=16, P3=22</t>
  </si>
  <si>
    <t>Дефицитные ресурсы - P2, P3</t>
  </si>
  <si>
    <t>Избыточные ресурсы - P1</t>
  </si>
  <si>
    <t>Xопт = (2.6, 5.6, 6.4, 0, 0)</t>
  </si>
  <si>
    <t>Zmax = 35</t>
  </si>
  <si>
    <t>Yопт = (0, 1.5, 0.5, 0, 0)</t>
  </si>
  <si>
    <t>Наиболее дефицитный ресурс - P2</t>
  </si>
  <si>
    <t>Интервал устойчивости для P3</t>
  </si>
  <si>
    <t>Интервал устойчивости для P1</t>
  </si>
  <si>
    <t>Интервал устойчивости для P2</t>
  </si>
  <si>
    <t>(22 - 14, 22 + 4.5714286)</t>
  </si>
  <si>
    <t>(34 - 6.4, 3.4 + 1E+30)</t>
  </si>
  <si>
    <t>(16 - 8.6666667, 16 + 28)</t>
  </si>
  <si>
    <t>5. Решить двойственную задачу. Сравнить решение с полученным в пункте 4</t>
  </si>
  <si>
    <t>6. Выяснить, как изменится выпуск продукции и значение целевой функции, при изменении каждого из имеющихся ресурсов на единицу. Оценить раздельные и суммарное 
изменения</t>
  </si>
  <si>
    <t>При изменении P2 ресурсов на единицу, значение целевой функции изменится на 1.5</t>
  </si>
  <si>
    <t>При изменении P3 на единицу, значение целевой функции изменится на 0.5</t>
  </si>
  <si>
    <t>Лашкин Владислав</t>
  </si>
  <si>
    <t>гр. 251001</t>
  </si>
  <si>
    <t>Вариант 17</t>
  </si>
  <si>
    <t>-&gt;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</si>
</sst>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Arial Black"/>
      <family val="2"/>
    </font>
    <font>
      <b/>
      <sz val="11"/>
      <color indexed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2" applyFont="1" applyFill="1" applyBorder="1"/>
    <xf numFmtId="0" fontId="3" fillId="5" borderId="2" xfId="2" applyFont="1" applyFill="1" applyBorder="1"/>
    <xf numFmtId="0" fontId="3" fillId="4" borderId="2" xfId="3" applyFont="1" applyFill="1" applyBorder="1"/>
    <xf numFmtId="0" fontId="3" fillId="4" borderId="2" xfId="2" applyFont="1" applyFill="1" applyBorder="1"/>
    <xf numFmtId="0" fontId="3" fillId="0" borderId="13" xfId="0" applyFont="1" applyBorder="1"/>
    <xf numFmtId="0" fontId="3" fillId="0" borderId="0" xfId="2" applyFont="1" applyFill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6" xfId="0" applyFont="1" applyBorder="1" applyAlignment="1">
      <alignment horizontal="center"/>
    </xf>
    <xf numFmtId="0" fontId="3" fillId="0" borderId="23" xfId="0" applyFont="1" applyBorder="1"/>
    <xf numFmtId="0" fontId="3" fillId="0" borderId="7" xfId="0" applyFont="1" applyBorder="1" applyAlignment="1">
      <alignment horizontal="center"/>
    </xf>
    <xf numFmtId="0" fontId="3" fillId="4" borderId="7" xfId="0" applyFont="1" applyFill="1" applyBorder="1"/>
    <xf numFmtId="0" fontId="3" fillId="0" borderId="7" xfId="2" applyFont="1" applyFill="1" applyBorder="1"/>
    <xf numFmtId="0" fontId="3" fillId="0" borderId="7" xfId="0" applyFont="1" applyFill="1" applyBorder="1"/>
    <xf numFmtId="0" fontId="3" fillId="4" borderId="4" xfId="0" applyFont="1" applyFill="1" applyBorder="1"/>
    <xf numFmtId="0" fontId="3" fillId="0" borderId="16" xfId="0" applyFont="1" applyBorder="1"/>
    <xf numFmtId="0" fontId="3" fillId="0" borderId="16" xfId="3" applyFont="1" applyFill="1" applyBorder="1"/>
    <xf numFmtId="0" fontId="3" fillId="4" borderId="16" xfId="3" applyFont="1" applyFill="1" applyBorder="1"/>
    <xf numFmtId="0" fontId="3" fillId="0" borderId="26" xfId="0" applyFont="1" applyBorder="1" applyAlignment="1">
      <alignment horizontal="center"/>
    </xf>
    <xf numFmtId="0" fontId="3" fillId="4" borderId="23" xfId="0" applyFont="1" applyFill="1" applyBorder="1"/>
    <xf numFmtId="0" fontId="3" fillId="0" borderId="9" xfId="0" applyFont="1" applyBorder="1"/>
    <xf numFmtId="0" fontId="3" fillId="0" borderId="11" xfId="0" applyFont="1" applyBorder="1"/>
    <xf numFmtId="0" fontId="3" fillId="0" borderId="30" xfId="0" applyFont="1" applyBorder="1"/>
    <xf numFmtId="0" fontId="3" fillId="0" borderId="13" xfId="2" applyFont="1" applyFill="1" applyBorder="1"/>
    <xf numFmtId="0" fontId="3" fillId="0" borderId="9" xfId="2" applyFont="1" applyFill="1" applyBorder="1"/>
    <xf numFmtId="0" fontId="3" fillId="0" borderId="31" xfId="0" applyFont="1" applyBorder="1" applyAlignment="1">
      <alignment horizontal="center"/>
    </xf>
    <xf numFmtId="0" fontId="3" fillId="0" borderId="26" xfId="0" applyFont="1" applyBorder="1"/>
    <xf numFmtId="0" fontId="3" fillId="0" borderId="32" xfId="0" applyFont="1" applyBorder="1" applyAlignment="1">
      <alignment horizontal="center"/>
    </xf>
    <xf numFmtId="0" fontId="3" fillId="0" borderId="20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0" fontId="3" fillId="0" borderId="12" xfId="0" applyFont="1" applyFill="1" applyBorder="1"/>
    <xf numFmtId="0" fontId="3" fillId="4" borderId="8" xfId="2" applyFont="1" applyFill="1" applyBorder="1"/>
    <xf numFmtId="0" fontId="3" fillId="0" borderId="37" xfId="3" applyFont="1" applyFill="1" applyBorder="1"/>
    <xf numFmtId="0" fontId="3" fillId="0" borderId="8" xfId="2" applyFont="1" applyFill="1" applyBorder="1"/>
    <xf numFmtId="0" fontId="3" fillId="0" borderId="12" xfId="0" applyFont="1" applyBorder="1"/>
    <xf numFmtId="0" fontId="3" fillId="0" borderId="8" xfId="0" applyFont="1" applyBorder="1"/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" xfId="2" applyFont="1" applyFill="1" applyBorder="1"/>
    <xf numFmtId="0" fontId="3" fillId="0" borderId="4" xfId="0" applyFont="1" applyFill="1" applyBorder="1"/>
    <xf numFmtId="0" fontId="3" fillId="0" borderId="10" xfId="0" applyFont="1" applyFill="1" applyBorder="1"/>
    <xf numFmtId="0" fontId="3" fillId="0" borderId="44" xfId="0" applyFont="1" applyBorder="1"/>
    <xf numFmtId="0" fontId="3" fillId="0" borderId="45" xfId="0" applyFont="1" applyBorder="1"/>
    <xf numFmtId="0" fontId="3" fillId="4" borderId="4" xfId="2" applyFont="1" applyFill="1" applyBorder="1"/>
    <xf numFmtId="0" fontId="3" fillId="5" borderId="4" xfId="2" applyFont="1" applyFill="1" applyBorder="1"/>
    <xf numFmtId="0" fontId="3" fillId="4" borderId="10" xfId="2" applyFont="1" applyFill="1" applyBorder="1"/>
    <xf numFmtId="0" fontId="3" fillId="0" borderId="11" xfId="2" applyFont="1" applyFill="1" applyBorder="1"/>
    <xf numFmtId="0" fontId="3" fillId="0" borderId="43" xfId="0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0" borderId="10" xfId="0" applyNumberFormat="1" applyFont="1" applyBorder="1"/>
    <xf numFmtId="0" fontId="3" fillId="0" borderId="0" xfId="0" applyFont="1" applyFill="1"/>
    <xf numFmtId="0" fontId="3" fillId="0" borderId="32" xfId="0" applyFont="1" applyBorder="1"/>
    <xf numFmtId="0" fontId="3" fillId="0" borderId="23" xfId="2" applyFont="1" applyFill="1" applyBorder="1"/>
    <xf numFmtId="0" fontId="3" fillId="0" borderId="3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8" xfId="0" applyFont="1" applyBorder="1"/>
    <xf numFmtId="0" fontId="2" fillId="0" borderId="0" xfId="0" applyFont="1"/>
    <xf numFmtId="0" fontId="0" fillId="0" borderId="55" xfId="0" applyFill="1" applyBorder="1" applyAlignment="1"/>
    <xf numFmtId="0" fontId="5" fillId="0" borderId="54" xfId="0" applyFont="1" applyFill="1" applyBorder="1" applyAlignment="1">
      <alignment horizontal="center"/>
    </xf>
    <xf numFmtId="0" fontId="0" fillId="0" borderId="56" xfId="0" applyFill="1" applyBorder="1" applyAlignment="1"/>
    <xf numFmtId="0" fontId="0" fillId="0" borderId="55" xfId="0" applyNumberFormat="1" applyFill="1" applyBorder="1" applyAlignment="1"/>
    <xf numFmtId="0" fontId="0" fillId="0" borderId="56" xfId="0" applyNumberFormat="1" applyFill="1" applyBorder="1" applyAlignment="1"/>
    <xf numFmtId="0" fontId="5" fillId="0" borderId="52" xfId="0" applyFont="1" applyFill="1" applyBorder="1" applyAlignment="1">
      <alignment horizontal="center"/>
    </xf>
    <xf numFmtId="0" fontId="5" fillId="0" borderId="53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3" fillId="0" borderId="3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/>
    <xf numFmtId="49" fontId="3" fillId="0" borderId="0" xfId="0" applyNumberFormat="1" applyFont="1"/>
    <xf numFmtId="0" fontId="3" fillId="6" borderId="0" xfId="0" applyFont="1" applyFill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3" fillId="6" borderId="0" xfId="2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3" fillId="0" borderId="23" xfId="1" applyFont="1" applyBorder="1" applyAlignment="1">
      <alignment horizontal="center"/>
    </xf>
    <xf numFmtId="9" fontId="3" fillId="0" borderId="45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4" borderId="0" xfId="0" applyFont="1" applyFill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6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 vertical="center"/>
    </xf>
  </cellXfs>
  <cellStyles count="4">
    <cellStyle name="20% - Accent2" xfId="2" builtinId="34"/>
    <cellStyle name="60% - Accent2" xfId="3" builtinId="3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233083</xdr:colOff>
      <xdr:row>48</xdr:row>
      <xdr:rowOff>116551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407A3FF3-6933-45B4-9CD9-43C7F0A5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53200"/>
          <a:ext cx="6893859" cy="396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8372-9A50-43FF-8089-26206B732249}">
  <dimension ref="A1:G29"/>
  <sheetViews>
    <sheetView showGridLines="0" topLeftCell="A4" workbookViewId="0">
      <selection activeCell="J20" sqref="J20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14.6640625" bestFit="1" customWidth="1"/>
    <col min="4" max="4" width="12.6640625" bestFit="1" customWidth="1"/>
    <col min="5" max="5" width="13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74" t="s">
        <v>94</v>
      </c>
    </row>
    <row r="2" spans="1:5" x14ac:dyDescent="0.3">
      <c r="A2" s="74" t="s">
        <v>95</v>
      </c>
    </row>
    <row r="3" spans="1:5" x14ac:dyDescent="0.3">
      <c r="A3" s="74" t="s">
        <v>96</v>
      </c>
    </row>
    <row r="4" spans="1:5" x14ac:dyDescent="0.3">
      <c r="A4" s="74" t="s">
        <v>97</v>
      </c>
    </row>
    <row r="5" spans="1:5" x14ac:dyDescent="0.3">
      <c r="A5" s="74" t="s">
        <v>98</v>
      </c>
    </row>
    <row r="6" spans="1:5" hidden="1" outlineLevel="1" x14ac:dyDescent="0.3">
      <c r="A6" s="74"/>
      <c r="B6" t="s">
        <v>99</v>
      </c>
    </row>
    <row r="7" spans="1:5" hidden="1" outlineLevel="1" x14ac:dyDescent="0.3">
      <c r="A7" s="74"/>
      <c r="B7" t="s">
        <v>100</v>
      </c>
    </row>
    <row r="8" spans="1:5" hidden="1" outlineLevel="1" x14ac:dyDescent="0.3">
      <c r="A8" s="74"/>
      <c r="B8" t="s">
        <v>101</v>
      </c>
    </row>
    <row r="9" spans="1:5" collapsed="1" x14ac:dyDescent="0.3">
      <c r="A9" s="74" t="s">
        <v>102</v>
      </c>
    </row>
    <row r="10" spans="1:5" hidden="1" outlineLevel="1" x14ac:dyDescent="0.3">
      <c r="B10" t="s">
        <v>103</v>
      </c>
    </row>
    <row r="11" spans="1:5" hidden="1" outlineLevel="1" x14ac:dyDescent="0.3">
      <c r="B11" t="s">
        <v>104</v>
      </c>
    </row>
    <row r="12" spans="1:5" collapsed="1" x14ac:dyDescent="0.3"/>
    <row r="14" spans="1:5" ht="15" thickBot="1" x14ac:dyDescent="0.35">
      <c r="A14" t="s">
        <v>105</v>
      </c>
    </row>
    <row r="15" spans="1:5" ht="15" thickBot="1" x14ac:dyDescent="0.35">
      <c r="B15" s="76" t="s">
        <v>106</v>
      </c>
      <c r="C15" s="76" t="s">
        <v>107</v>
      </c>
      <c r="D15" s="76" t="s">
        <v>108</v>
      </c>
      <c r="E15" s="76" t="s">
        <v>109</v>
      </c>
    </row>
    <row r="16" spans="1:5" ht="15" thickBot="1" x14ac:dyDescent="0.35">
      <c r="B16" s="75" t="s">
        <v>117</v>
      </c>
      <c r="C16" s="75" t="s">
        <v>118</v>
      </c>
      <c r="D16" s="78">
        <v>0</v>
      </c>
      <c r="E16" s="78">
        <v>35</v>
      </c>
    </row>
    <row r="19" spans="1:7" ht="15" thickBot="1" x14ac:dyDescent="0.35">
      <c r="A19" t="s">
        <v>110</v>
      </c>
    </row>
    <row r="20" spans="1:7" ht="15" thickBot="1" x14ac:dyDescent="0.35">
      <c r="B20" s="76" t="s">
        <v>106</v>
      </c>
      <c r="C20" s="76" t="s">
        <v>107</v>
      </c>
      <c r="D20" s="76" t="s">
        <v>108</v>
      </c>
      <c r="E20" s="76" t="s">
        <v>109</v>
      </c>
      <c r="F20" s="76" t="s">
        <v>111</v>
      </c>
    </row>
    <row r="21" spans="1:7" x14ac:dyDescent="0.3">
      <c r="B21" s="77" t="s">
        <v>119</v>
      </c>
      <c r="C21" s="77" t="s">
        <v>120</v>
      </c>
      <c r="D21" s="79">
        <v>0</v>
      </c>
      <c r="E21" s="79">
        <v>2.5999999999999996</v>
      </c>
      <c r="F21" s="77" t="s">
        <v>121</v>
      </c>
    </row>
    <row r="22" spans="1:7" ht="15" thickBot="1" x14ac:dyDescent="0.35">
      <c r="B22" s="75" t="s">
        <v>122</v>
      </c>
      <c r="C22" s="75" t="s">
        <v>123</v>
      </c>
      <c r="D22" s="78">
        <v>0</v>
      </c>
      <c r="E22" s="78">
        <v>5.6000000000000005</v>
      </c>
      <c r="F22" s="75" t="s">
        <v>121</v>
      </c>
    </row>
    <row r="25" spans="1:7" ht="15" thickBot="1" x14ac:dyDescent="0.35">
      <c r="A25" t="s">
        <v>112</v>
      </c>
    </row>
    <row r="26" spans="1:7" ht="15" thickBot="1" x14ac:dyDescent="0.35">
      <c r="B26" s="76" t="s">
        <v>106</v>
      </c>
      <c r="C26" s="76" t="s">
        <v>107</v>
      </c>
      <c r="D26" s="76" t="s">
        <v>113</v>
      </c>
      <c r="E26" s="76" t="s">
        <v>114</v>
      </c>
      <c r="F26" s="76" t="s">
        <v>115</v>
      </c>
      <c r="G26" s="76" t="s">
        <v>116</v>
      </c>
    </row>
    <row r="27" spans="1:7" x14ac:dyDescent="0.3">
      <c r="B27" s="77" t="s">
        <v>124</v>
      </c>
      <c r="C27" s="77" t="s">
        <v>125</v>
      </c>
      <c r="D27" s="79">
        <v>27.6</v>
      </c>
      <c r="E27" s="77" t="s">
        <v>126</v>
      </c>
      <c r="F27" s="77" t="s">
        <v>127</v>
      </c>
      <c r="G27" s="77">
        <v>6.3999999999999986</v>
      </c>
    </row>
    <row r="28" spans="1:7" x14ac:dyDescent="0.3">
      <c r="B28" s="77" t="s">
        <v>128</v>
      </c>
      <c r="C28" s="77" t="s">
        <v>129</v>
      </c>
      <c r="D28" s="79">
        <v>16</v>
      </c>
      <c r="E28" s="77" t="s">
        <v>130</v>
      </c>
      <c r="F28" s="77" t="s">
        <v>131</v>
      </c>
      <c r="G28" s="77">
        <v>0</v>
      </c>
    </row>
    <row r="29" spans="1:7" ht="15" thickBot="1" x14ac:dyDescent="0.35">
      <c r="B29" s="75" t="s">
        <v>132</v>
      </c>
      <c r="C29" s="75" t="s">
        <v>133</v>
      </c>
      <c r="D29" s="78">
        <v>22</v>
      </c>
      <c r="E29" s="75" t="s">
        <v>134</v>
      </c>
      <c r="F29" s="75" t="s">
        <v>131</v>
      </c>
      <c r="G29" s="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17C3-7982-44AE-9786-FAA2EEDCA271}">
  <dimension ref="A1:H17"/>
  <sheetViews>
    <sheetView showGridLines="0" workbookViewId="0">
      <selection activeCell="C19" sqref="C19"/>
    </sheetView>
  </sheetViews>
  <sheetFormatPr defaultRowHeight="14.4" x14ac:dyDescent="0.3"/>
  <cols>
    <col min="1" max="1" width="2.33203125" customWidth="1"/>
    <col min="2" max="2" width="6.21875" bestFit="1" customWidth="1"/>
    <col min="3" max="3" width="8.4414062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12" bestFit="1" customWidth="1"/>
  </cols>
  <sheetData>
    <row r="1" spans="1:8" x14ac:dyDescent="0.3">
      <c r="A1" s="74" t="s">
        <v>135</v>
      </c>
    </row>
    <row r="2" spans="1:8" x14ac:dyDescent="0.3">
      <c r="A2" s="74" t="s">
        <v>95</v>
      </c>
    </row>
    <row r="3" spans="1:8" x14ac:dyDescent="0.3">
      <c r="A3" s="74" t="s">
        <v>136</v>
      </c>
    </row>
    <row r="6" spans="1:8" ht="15" thickBot="1" x14ac:dyDescent="0.35">
      <c r="A6" t="s">
        <v>110</v>
      </c>
    </row>
    <row r="7" spans="1:8" x14ac:dyDescent="0.3">
      <c r="B7" s="80"/>
      <c r="C7" s="80"/>
      <c r="D7" s="80" t="s">
        <v>137</v>
      </c>
      <c r="E7" s="80" t="s">
        <v>139</v>
      </c>
      <c r="F7" s="80" t="s">
        <v>141</v>
      </c>
      <c r="G7" s="80" t="s">
        <v>143</v>
      </c>
      <c r="H7" s="80" t="s">
        <v>143</v>
      </c>
    </row>
    <row r="8" spans="1:8" ht="15" thickBot="1" x14ac:dyDescent="0.35">
      <c r="B8" s="81" t="s">
        <v>106</v>
      </c>
      <c r="C8" s="81" t="s">
        <v>107</v>
      </c>
      <c r="D8" s="81" t="s">
        <v>138</v>
      </c>
      <c r="E8" s="81" t="s">
        <v>140</v>
      </c>
      <c r="F8" s="81" t="s">
        <v>142</v>
      </c>
      <c r="G8" s="81" t="s">
        <v>144</v>
      </c>
      <c r="H8" s="81" t="s">
        <v>145</v>
      </c>
    </row>
    <row r="9" spans="1:8" x14ac:dyDescent="0.3">
      <c r="B9" s="77" t="s">
        <v>119</v>
      </c>
      <c r="C9" s="77" t="s">
        <v>120</v>
      </c>
      <c r="D9" s="77">
        <v>2.5999999999999996</v>
      </c>
      <c r="E9" s="77">
        <v>0</v>
      </c>
      <c r="F9" s="77">
        <v>7</v>
      </c>
      <c r="G9" s="77">
        <v>5</v>
      </c>
      <c r="H9" s="77">
        <v>5</v>
      </c>
    </row>
    <row r="10" spans="1:8" ht="15" thickBot="1" x14ac:dyDescent="0.35">
      <c r="B10" s="75" t="s">
        <v>122</v>
      </c>
      <c r="C10" s="75" t="s">
        <v>123</v>
      </c>
      <c r="D10" s="75">
        <v>5.6000000000000005</v>
      </c>
      <c r="E10" s="75">
        <v>0</v>
      </c>
      <c r="F10" s="75">
        <v>3</v>
      </c>
      <c r="G10" s="75">
        <v>7.5</v>
      </c>
      <c r="H10" s="75">
        <v>1.25</v>
      </c>
    </row>
    <row r="12" spans="1:8" ht="15" thickBot="1" x14ac:dyDescent="0.35">
      <c r="A12" t="s">
        <v>112</v>
      </c>
    </row>
    <row r="13" spans="1:8" x14ac:dyDescent="0.3">
      <c r="B13" s="80"/>
      <c r="C13" s="80"/>
      <c r="D13" s="80" t="s">
        <v>137</v>
      </c>
      <c r="E13" s="80" t="s">
        <v>146</v>
      </c>
      <c r="F13" s="80" t="s">
        <v>148</v>
      </c>
      <c r="G13" s="80" t="s">
        <v>143</v>
      </c>
      <c r="H13" s="80" t="s">
        <v>143</v>
      </c>
    </row>
    <row r="14" spans="1:8" ht="15" thickBot="1" x14ac:dyDescent="0.35">
      <c r="B14" s="81" t="s">
        <v>106</v>
      </c>
      <c r="C14" s="81" t="s">
        <v>107</v>
      </c>
      <c r="D14" s="81" t="s">
        <v>138</v>
      </c>
      <c r="E14" s="81" t="s">
        <v>147</v>
      </c>
      <c r="F14" s="81" t="s">
        <v>149</v>
      </c>
      <c r="G14" s="81" t="s">
        <v>144</v>
      </c>
      <c r="H14" s="81" t="s">
        <v>145</v>
      </c>
    </row>
    <row r="15" spans="1:8" x14ac:dyDescent="0.3">
      <c r="B15" s="77" t="s">
        <v>124</v>
      </c>
      <c r="C15" s="77" t="s">
        <v>125</v>
      </c>
      <c r="D15" s="77">
        <v>27.6</v>
      </c>
      <c r="E15" s="77">
        <v>0</v>
      </c>
      <c r="F15" s="77">
        <v>34</v>
      </c>
      <c r="G15" s="77">
        <v>1E+30</v>
      </c>
      <c r="H15" s="77">
        <v>6.3999999999999986</v>
      </c>
    </row>
    <row r="16" spans="1:8" x14ac:dyDescent="0.3">
      <c r="B16" s="77" t="s">
        <v>128</v>
      </c>
      <c r="C16" s="77" t="s">
        <v>129</v>
      </c>
      <c r="D16" s="77">
        <v>16</v>
      </c>
      <c r="E16" s="77">
        <v>1.5</v>
      </c>
      <c r="F16" s="77">
        <v>16</v>
      </c>
      <c r="G16" s="77">
        <v>28</v>
      </c>
      <c r="H16" s="77">
        <v>8.6666666666666661</v>
      </c>
    </row>
    <row r="17" spans="2:8" ht="15" thickBot="1" x14ac:dyDescent="0.35">
      <c r="B17" s="75" t="s">
        <v>132</v>
      </c>
      <c r="C17" s="75" t="s">
        <v>133</v>
      </c>
      <c r="D17" s="75">
        <v>22</v>
      </c>
      <c r="E17" s="75">
        <v>0.5</v>
      </c>
      <c r="F17" s="75">
        <v>22</v>
      </c>
      <c r="G17" s="75">
        <v>4.5714285714285703</v>
      </c>
      <c r="H17" s="7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8433-B18B-455F-957B-47C731F58F27}">
  <dimension ref="A1:J14"/>
  <sheetViews>
    <sheetView showGridLines="0" workbookViewId="0">
      <selection activeCell="Q22" sqref="Q22"/>
    </sheetView>
  </sheetViews>
  <sheetFormatPr defaultRowHeight="14.4" x14ac:dyDescent="0.3"/>
  <cols>
    <col min="1" max="1" width="2.33203125" customWidth="1"/>
    <col min="2" max="2" width="6.21875" bestFit="1" customWidth="1"/>
    <col min="3" max="3" width="14.6640625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74" t="s">
        <v>150</v>
      </c>
    </row>
    <row r="2" spans="1:10" x14ac:dyDescent="0.3">
      <c r="A2" s="74" t="s">
        <v>95</v>
      </c>
    </row>
    <row r="3" spans="1:10" x14ac:dyDescent="0.3">
      <c r="A3" s="74" t="s">
        <v>136</v>
      </c>
    </row>
    <row r="5" spans="1:10" ht="15" thickBot="1" x14ac:dyDescent="0.35"/>
    <row r="6" spans="1:10" x14ac:dyDescent="0.3">
      <c r="B6" s="80"/>
      <c r="C6" s="80" t="s">
        <v>141</v>
      </c>
      <c r="D6" s="80"/>
    </row>
    <row r="7" spans="1:10" ht="15" thickBot="1" x14ac:dyDescent="0.35">
      <c r="B7" s="81" t="s">
        <v>106</v>
      </c>
      <c r="C7" s="81" t="s">
        <v>107</v>
      </c>
      <c r="D7" s="81" t="s">
        <v>138</v>
      </c>
    </row>
    <row r="8" spans="1:10" ht="15" thickBot="1" x14ac:dyDescent="0.35">
      <c r="B8" s="75" t="s">
        <v>117</v>
      </c>
      <c r="C8" s="75" t="s">
        <v>118</v>
      </c>
      <c r="D8" s="78">
        <v>35</v>
      </c>
    </row>
    <row r="10" spans="1:10" ht="15" thickBot="1" x14ac:dyDescent="0.35"/>
    <row r="11" spans="1:10" x14ac:dyDescent="0.3">
      <c r="B11" s="80"/>
      <c r="C11" s="80" t="s">
        <v>151</v>
      </c>
      <c r="D11" s="80"/>
      <c r="F11" s="80" t="s">
        <v>152</v>
      </c>
      <c r="G11" s="80" t="s">
        <v>141</v>
      </c>
      <c r="I11" s="80" t="s">
        <v>155</v>
      </c>
      <c r="J11" s="80" t="s">
        <v>141</v>
      </c>
    </row>
    <row r="12" spans="1:10" ht="15" thickBot="1" x14ac:dyDescent="0.35">
      <c r="B12" s="81" t="s">
        <v>106</v>
      </c>
      <c r="C12" s="81" t="s">
        <v>107</v>
      </c>
      <c r="D12" s="81" t="s">
        <v>138</v>
      </c>
      <c r="F12" s="81" t="s">
        <v>153</v>
      </c>
      <c r="G12" s="81" t="s">
        <v>154</v>
      </c>
      <c r="I12" s="81" t="s">
        <v>153</v>
      </c>
      <c r="J12" s="81" t="s">
        <v>154</v>
      </c>
    </row>
    <row r="13" spans="1:10" x14ac:dyDescent="0.3">
      <c r="B13" s="77" t="s">
        <v>119</v>
      </c>
      <c r="C13" s="77" t="s">
        <v>120</v>
      </c>
      <c r="D13" s="79">
        <v>2.5999999999999996</v>
      </c>
      <c r="F13" s="79">
        <v>0</v>
      </c>
      <c r="G13" s="79">
        <v>16.8</v>
      </c>
      <c r="I13" s="79">
        <v>2.5999999999999992</v>
      </c>
      <c r="J13" s="79">
        <v>35</v>
      </c>
    </row>
    <row r="14" spans="1:10" ht="15" thickBot="1" x14ac:dyDescent="0.35">
      <c r="B14" s="75" t="s">
        <v>122</v>
      </c>
      <c r="C14" s="75" t="s">
        <v>123</v>
      </c>
      <c r="D14" s="78">
        <v>5.6000000000000005</v>
      </c>
      <c r="F14" s="78">
        <v>0</v>
      </c>
      <c r="G14" s="78">
        <v>18.199999999999996</v>
      </c>
      <c r="I14" s="78">
        <v>5.6</v>
      </c>
      <c r="J14" s="78">
        <v>34.999999999999993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9CFB-4722-4CD3-8C58-F4F99663D262}">
  <dimension ref="A1:G29"/>
  <sheetViews>
    <sheetView showGridLines="0" workbookViewId="0"/>
  </sheetViews>
  <sheetFormatPr defaultRowHeight="14.4" x14ac:dyDescent="0.3"/>
  <cols>
    <col min="1" max="1" width="2.33203125" customWidth="1"/>
    <col min="2" max="2" width="6" bestFit="1" customWidth="1"/>
    <col min="3" max="3" width="16.44140625" bestFit="1" customWidth="1"/>
    <col min="4" max="4" width="12.6640625" bestFit="1" customWidth="1"/>
    <col min="5" max="5" width="13.33203125" bestFit="1" customWidth="1"/>
    <col min="6" max="6" width="7" bestFit="1" customWidth="1"/>
    <col min="7" max="7" width="5.33203125" bestFit="1" customWidth="1"/>
  </cols>
  <sheetData>
    <row r="1" spans="1:5" x14ac:dyDescent="0.3">
      <c r="A1" s="74" t="s">
        <v>94</v>
      </c>
    </row>
    <row r="2" spans="1:5" x14ac:dyDescent="0.3">
      <c r="A2" s="74" t="s">
        <v>95</v>
      </c>
    </row>
    <row r="3" spans="1:5" x14ac:dyDescent="0.3">
      <c r="A3" s="74" t="s">
        <v>177</v>
      </c>
    </row>
    <row r="4" spans="1:5" x14ac:dyDescent="0.3">
      <c r="A4" s="74" t="s">
        <v>97</v>
      </c>
    </row>
    <row r="5" spans="1:5" x14ac:dyDescent="0.3">
      <c r="A5" s="74" t="s">
        <v>98</v>
      </c>
    </row>
    <row r="6" spans="1:5" x14ac:dyDescent="0.3">
      <c r="A6" s="74"/>
      <c r="B6" t="s">
        <v>99</v>
      </c>
    </row>
    <row r="7" spans="1:5" x14ac:dyDescent="0.3">
      <c r="A7" s="74"/>
      <c r="B7" t="s">
        <v>156</v>
      </c>
    </row>
    <row r="8" spans="1:5" x14ac:dyDescent="0.3">
      <c r="A8" s="74"/>
      <c r="B8" t="s">
        <v>157</v>
      </c>
    </row>
    <row r="9" spans="1:5" x14ac:dyDescent="0.3">
      <c r="A9" s="74" t="s">
        <v>102</v>
      </c>
    </row>
    <row r="10" spans="1:5" x14ac:dyDescent="0.3">
      <c r="B10" t="s">
        <v>103</v>
      </c>
    </row>
    <row r="11" spans="1:5" x14ac:dyDescent="0.3">
      <c r="B11" t="s">
        <v>104</v>
      </c>
    </row>
    <row r="14" spans="1:5" ht="15" thickBot="1" x14ac:dyDescent="0.35">
      <c r="A14" t="s">
        <v>158</v>
      </c>
    </row>
    <row r="15" spans="1:5" ht="15" thickBot="1" x14ac:dyDescent="0.35">
      <c r="B15" s="76" t="s">
        <v>106</v>
      </c>
      <c r="C15" s="76" t="s">
        <v>107</v>
      </c>
      <c r="D15" s="76" t="s">
        <v>108</v>
      </c>
      <c r="E15" s="76" t="s">
        <v>109</v>
      </c>
    </row>
    <row r="16" spans="1:5" ht="15" thickBot="1" x14ac:dyDescent="0.35">
      <c r="B16" s="75" t="s">
        <v>159</v>
      </c>
      <c r="C16" s="75" t="s">
        <v>160</v>
      </c>
      <c r="D16" s="78">
        <v>0</v>
      </c>
      <c r="E16" s="78">
        <v>35</v>
      </c>
    </row>
    <row r="19" spans="1:7" ht="15" thickBot="1" x14ac:dyDescent="0.35">
      <c r="A19" t="s">
        <v>110</v>
      </c>
    </row>
    <row r="20" spans="1:7" ht="15" thickBot="1" x14ac:dyDescent="0.35">
      <c r="B20" s="76" t="s">
        <v>106</v>
      </c>
      <c r="C20" s="76" t="s">
        <v>107</v>
      </c>
      <c r="D20" s="76" t="s">
        <v>108</v>
      </c>
      <c r="E20" s="76" t="s">
        <v>109</v>
      </c>
      <c r="F20" s="76" t="s">
        <v>111</v>
      </c>
    </row>
    <row r="21" spans="1:7" x14ac:dyDescent="0.3">
      <c r="B21" s="77" t="s">
        <v>161</v>
      </c>
      <c r="C21" s="77" t="s">
        <v>162</v>
      </c>
      <c r="D21" s="79">
        <v>0</v>
      </c>
      <c r="E21" s="79">
        <v>0</v>
      </c>
      <c r="F21" s="77" t="s">
        <v>121</v>
      </c>
    </row>
    <row r="22" spans="1:7" x14ac:dyDescent="0.3">
      <c r="B22" s="77" t="s">
        <v>163</v>
      </c>
      <c r="C22" s="77" t="s">
        <v>164</v>
      </c>
      <c r="D22" s="79">
        <v>0</v>
      </c>
      <c r="E22" s="79">
        <v>1.5</v>
      </c>
      <c r="F22" s="77" t="s">
        <v>121</v>
      </c>
    </row>
    <row r="23" spans="1:7" ht="15" thickBot="1" x14ac:dyDescent="0.35">
      <c r="B23" s="75" t="s">
        <v>165</v>
      </c>
      <c r="C23" s="75" t="s">
        <v>166</v>
      </c>
      <c r="D23" s="78">
        <v>0</v>
      </c>
      <c r="E23" s="78">
        <v>0.5</v>
      </c>
      <c r="F23" s="75" t="s">
        <v>121</v>
      </c>
    </row>
    <row r="26" spans="1:7" ht="15" thickBot="1" x14ac:dyDescent="0.35">
      <c r="A26" t="s">
        <v>112</v>
      </c>
    </row>
    <row r="27" spans="1:7" ht="15" thickBot="1" x14ac:dyDescent="0.35">
      <c r="B27" s="76" t="s">
        <v>106</v>
      </c>
      <c r="C27" s="76" t="s">
        <v>107</v>
      </c>
      <c r="D27" s="76" t="s">
        <v>113</v>
      </c>
      <c r="E27" s="76" t="s">
        <v>114</v>
      </c>
      <c r="F27" s="76" t="s">
        <v>115</v>
      </c>
      <c r="G27" s="76" t="s">
        <v>116</v>
      </c>
    </row>
    <row r="28" spans="1:7" x14ac:dyDescent="0.3">
      <c r="B28" s="77" t="s">
        <v>167</v>
      </c>
      <c r="C28" s="77" t="s">
        <v>178</v>
      </c>
      <c r="D28" s="79">
        <v>7</v>
      </c>
      <c r="E28" s="77" t="s">
        <v>168</v>
      </c>
      <c r="F28" s="77" t="s">
        <v>131</v>
      </c>
      <c r="G28" s="79">
        <v>0</v>
      </c>
    </row>
    <row r="29" spans="1:7" ht="15" thickBot="1" x14ac:dyDescent="0.35">
      <c r="B29" s="75" t="s">
        <v>169</v>
      </c>
      <c r="C29" s="75" t="s">
        <v>179</v>
      </c>
      <c r="D29" s="78">
        <v>3</v>
      </c>
      <c r="E29" s="75" t="s">
        <v>170</v>
      </c>
      <c r="F29" s="75" t="s">
        <v>131</v>
      </c>
      <c r="G29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D727-5B0F-4C53-9DEF-0B6DAA0AED5D}">
  <dimension ref="A1:H17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6.4414062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12" bestFit="1" customWidth="1"/>
  </cols>
  <sheetData>
    <row r="1" spans="1:8" x14ac:dyDescent="0.3">
      <c r="A1" s="74" t="s">
        <v>135</v>
      </c>
    </row>
    <row r="2" spans="1:8" x14ac:dyDescent="0.3">
      <c r="A2" s="74" t="s">
        <v>95</v>
      </c>
    </row>
    <row r="3" spans="1:8" x14ac:dyDescent="0.3">
      <c r="A3" s="74" t="s">
        <v>177</v>
      </c>
    </row>
    <row r="6" spans="1:8" ht="15" thickBot="1" x14ac:dyDescent="0.35">
      <c r="A6" t="s">
        <v>110</v>
      </c>
    </row>
    <row r="7" spans="1:8" x14ac:dyDescent="0.3">
      <c r="B7" s="80"/>
      <c r="C7" s="80"/>
      <c r="D7" s="80" t="s">
        <v>137</v>
      </c>
      <c r="E7" s="80" t="s">
        <v>139</v>
      </c>
      <c r="F7" s="80" t="s">
        <v>141</v>
      </c>
      <c r="G7" s="80" t="s">
        <v>143</v>
      </c>
      <c r="H7" s="80" t="s">
        <v>143</v>
      </c>
    </row>
    <row r="8" spans="1:8" ht="15" thickBot="1" x14ac:dyDescent="0.35">
      <c r="B8" s="81" t="s">
        <v>106</v>
      </c>
      <c r="C8" s="81" t="s">
        <v>107</v>
      </c>
      <c r="D8" s="81" t="s">
        <v>138</v>
      </c>
      <c r="E8" s="81" t="s">
        <v>140</v>
      </c>
      <c r="F8" s="81" t="s">
        <v>142</v>
      </c>
      <c r="G8" s="81" t="s">
        <v>144</v>
      </c>
      <c r="H8" s="81" t="s">
        <v>145</v>
      </c>
    </row>
    <row r="9" spans="1:8" x14ac:dyDescent="0.3">
      <c r="B9" s="77" t="s">
        <v>161</v>
      </c>
      <c r="C9" s="77" t="s">
        <v>162</v>
      </c>
      <c r="D9" s="77">
        <v>0</v>
      </c>
      <c r="E9" s="77">
        <v>6.3999999999999995</v>
      </c>
      <c r="F9" s="77">
        <v>34</v>
      </c>
      <c r="G9" s="77">
        <v>1E+30</v>
      </c>
      <c r="H9" s="77">
        <v>6.3999999999999995</v>
      </c>
    </row>
    <row r="10" spans="1:8" x14ac:dyDescent="0.3">
      <c r="B10" s="77" t="s">
        <v>163</v>
      </c>
      <c r="C10" s="77" t="s">
        <v>164</v>
      </c>
      <c r="D10" s="77">
        <v>1.5</v>
      </c>
      <c r="E10" s="77">
        <v>0</v>
      </c>
      <c r="F10" s="77">
        <v>16</v>
      </c>
      <c r="G10" s="77">
        <v>28.000000000000004</v>
      </c>
      <c r="H10" s="77">
        <v>8.6666666666666661</v>
      </c>
    </row>
    <row r="11" spans="1:8" ht="15" thickBot="1" x14ac:dyDescent="0.35">
      <c r="B11" s="75" t="s">
        <v>165</v>
      </c>
      <c r="C11" s="75" t="s">
        <v>166</v>
      </c>
      <c r="D11" s="75">
        <v>0.5</v>
      </c>
      <c r="E11" s="75">
        <v>0</v>
      </c>
      <c r="F11" s="75">
        <v>22</v>
      </c>
      <c r="G11" s="75">
        <v>4.5714285714285712</v>
      </c>
      <c r="H11" s="75">
        <v>14.000000000000002</v>
      </c>
    </row>
    <row r="13" spans="1:8" ht="15" thickBot="1" x14ac:dyDescent="0.35">
      <c r="A13" t="s">
        <v>112</v>
      </c>
    </row>
    <row r="14" spans="1:8" x14ac:dyDescent="0.3">
      <c r="B14" s="80"/>
      <c r="C14" s="80"/>
      <c r="D14" s="80" t="s">
        <v>137</v>
      </c>
      <c r="E14" s="80" t="s">
        <v>146</v>
      </c>
      <c r="F14" s="80" t="s">
        <v>148</v>
      </c>
      <c r="G14" s="80" t="s">
        <v>143</v>
      </c>
      <c r="H14" s="80" t="s">
        <v>143</v>
      </c>
    </row>
    <row r="15" spans="1:8" ht="15" thickBot="1" x14ac:dyDescent="0.35">
      <c r="B15" s="81" t="s">
        <v>106</v>
      </c>
      <c r="C15" s="81" t="s">
        <v>107</v>
      </c>
      <c r="D15" s="81" t="s">
        <v>138</v>
      </c>
      <c r="E15" s="81" t="s">
        <v>147</v>
      </c>
      <c r="F15" s="81" t="s">
        <v>149</v>
      </c>
      <c r="G15" s="81" t="s">
        <v>144</v>
      </c>
      <c r="H15" s="81" t="s">
        <v>145</v>
      </c>
    </row>
    <row r="16" spans="1:8" x14ac:dyDescent="0.3">
      <c r="B16" s="77" t="s">
        <v>167</v>
      </c>
      <c r="C16" s="77" t="s">
        <v>178</v>
      </c>
      <c r="D16" s="77">
        <v>7</v>
      </c>
      <c r="E16" s="77">
        <v>2.5999999999999996</v>
      </c>
      <c r="F16" s="77">
        <v>7</v>
      </c>
      <c r="G16" s="77">
        <v>5</v>
      </c>
      <c r="H16" s="77">
        <v>5</v>
      </c>
    </row>
    <row r="17" spans="2:8" ht="15" thickBot="1" x14ac:dyDescent="0.35">
      <c r="B17" s="75" t="s">
        <v>169</v>
      </c>
      <c r="C17" s="75" t="s">
        <v>179</v>
      </c>
      <c r="D17" s="75">
        <v>3</v>
      </c>
      <c r="E17" s="75">
        <v>5.6000000000000005</v>
      </c>
      <c r="F17" s="75">
        <v>3</v>
      </c>
      <c r="G17" s="75">
        <v>7.5000000000000009</v>
      </c>
      <c r="H17" s="75">
        <v>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ABF8-3C89-45AF-8DA4-0961DD40AF52}">
  <dimension ref="A1:J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4.5546875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74" t="s">
        <v>150</v>
      </c>
    </row>
    <row r="2" spans="1:10" x14ac:dyDescent="0.3">
      <c r="A2" s="74" t="s">
        <v>95</v>
      </c>
    </row>
    <row r="3" spans="1:10" x14ac:dyDescent="0.3">
      <c r="A3" s="74" t="s">
        <v>177</v>
      </c>
    </row>
    <row r="5" spans="1:10" ht="15" thickBot="1" x14ac:dyDescent="0.35"/>
    <row r="6" spans="1:10" x14ac:dyDescent="0.3">
      <c r="B6" s="80"/>
      <c r="C6" s="80" t="s">
        <v>141</v>
      </c>
      <c r="D6" s="80"/>
    </row>
    <row r="7" spans="1:10" ht="15" thickBot="1" x14ac:dyDescent="0.35">
      <c r="B7" s="81" t="s">
        <v>106</v>
      </c>
      <c r="C7" s="81" t="s">
        <v>107</v>
      </c>
      <c r="D7" s="81" t="s">
        <v>138</v>
      </c>
    </row>
    <row r="8" spans="1:10" ht="15" thickBot="1" x14ac:dyDescent="0.35">
      <c r="B8" s="75" t="s">
        <v>159</v>
      </c>
      <c r="C8" s="75" t="s">
        <v>160</v>
      </c>
      <c r="D8" s="78">
        <v>35</v>
      </c>
    </row>
    <row r="10" spans="1:10" ht="15" thickBot="1" x14ac:dyDescent="0.35"/>
    <row r="11" spans="1:10" x14ac:dyDescent="0.3">
      <c r="B11" s="80"/>
      <c r="C11" s="80" t="s">
        <v>151</v>
      </c>
      <c r="D11" s="80"/>
      <c r="F11" s="80" t="s">
        <v>152</v>
      </c>
      <c r="G11" s="80" t="s">
        <v>141</v>
      </c>
      <c r="I11" s="80" t="s">
        <v>155</v>
      </c>
      <c r="J11" s="80" t="s">
        <v>141</v>
      </c>
    </row>
    <row r="12" spans="1:10" ht="15" thickBot="1" x14ac:dyDescent="0.35">
      <c r="B12" s="81" t="s">
        <v>106</v>
      </c>
      <c r="C12" s="81" t="s">
        <v>107</v>
      </c>
      <c r="D12" s="81" t="s">
        <v>138</v>
      </c>
      <c r="F12" s="81" t="s">
        <v>153</v>
      </c>
      <c r="G12" s="81" t="s">
        <v>154</v>
      </c>
      <c r="I12" s="81" t="s">
        <v>153</v>
      </c>
      <c r="J12" s="81" t="s">
        <v>154</v>
      </c>
    </row>
    <row r="13" spans="1:10" x14ac:dyDescent="0.3">
      <c r="B13" s="77" t="s">
        <v>161</v>
      </c>
      <c r="C13" s="77" t="s">
        <v>162</v>
      </c>
      <c r="D13" s="79">
        <v>0</v>
      </c>
      <c r="F13" s="79">
        <v>0</v>
      </c>
      <c r="G13" s="79">
        <v>35</v>
      </c>
      <c r="I13" s="77" t="e">
        <v>#N/A</v>
      </c>
      <c r="J13" s="77" t="e">
        <v>#N/A</v>
      </c>
    </row>
    <row r="14" spans="1:10" x14ac:dyDescent="0.3">
      <c r="B14" s="77" t="s">
        <v>163</v>
      </c>
      <c r="C14" s="77" t="s">
        <v>164</v>
      </c>
      <c r="D14" s="79">
        <v>1.5</v>
      </c>
      <c r="F14" s="79">
        <v>1.5</v>
      </c>
      <c r="G14" s="79">
        <v>35</v>
      </c>
      <c r="I14" s="77" t="e">
        <v>#N/A</v>
      </c>
      <c r="J14" s="77" t="e">
        <v>#N/A</v>
      </c>
    </row>
    <row r="15" spans="1:10" ht="15" thickBot="1" x14ac:dyDescent="0.35">
      <c r="B15" s="75" t="s">
        <v>165</v>
      </c>
      <c r="C15" s="75" t="s">
        <v>166</v>
      </c>
      <c r="D15" s="78">
        <v>0.5</v>
      </c>
      <c r="F15" s="78">
        <v>0.5</v>
      </c>
      <c r="G15" s="78">
        <v>35</v>
      </c>
      <c r="I15" s="75" t="e">
        <v>#N/A</v>
      </c>
      <c r="J15" s="75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"/>
  <sheetViews>
    <sheetView tabSelected="1" zoomScale="70" zoomScaleNormal="70" workbookViewId="0">
      <selection activeCell="J8" sqref="J8"/>
    </sheetView>
  </sheetViews>
  <sheetFormatPr defaultColWidth="10.77734375" defaultRowHeight="16.2" x14ac:dyDescent="0.4"/>
  <cols>
    <col min="1" max="1" width="20.109375" style="1" customWidth="1"/>
    <col min="2" max="2" width="18.5546875" style="1" customWidth="1"/>
    <col min="3" max="3" width="17.88671875" style="1" customWidth="1"/>
    <col min="4" max="4" width="19.109375" style="1" customWidth="1"/>
    <col min="5" max="9" width="10.77734375" style="1"/>
    <col min="10" max="10" width="20" style="1" customWidth="1"/>
    <col min="11" max="16384" width="10.77734375" style="1"/>
  </cols>
  <sheetData>
    <row r="1" spans="1:9" s="113" customFormat="1" x14ac:dyDescent="0.4">
      <c r="A1" s="113" t="s">
        <v>55</v>
      </c>
    </row>
    <row r="3" spans="1:9" x14ac:dyDescent="0.4">
      <c r="A3" s="114" t="s">
        <v>0</v>
      </c>
      <c r="B3" s="114" t="s">
        <v>42</v>
      </c>
      <c r="C3" s="116" t="s">
        <v>43</v>
      </c>
      <c r="D3" s="117"/>
      <c r="F3" s="110" t="s">
        <v>198</v>
      </c>
      <c r="G3" s="110"/>
      <c r="H3" s="92"/>
      <c r="I3" s="92"/>
    </row>
    <row r="4" spans="1:9" x14ac:dyDescent="0.4">
      <c r="A4" s="115"/>
      <c r="B4" s="115"/>
      <c r="C4" s="2" t="s">
        <v>1</v>
      </c>
      <c r="D4" s="2" t="s">
        <v>2</v>
      </c>
      <c r="F4" s="110" t="s">
        <v>199</v>
      </c>
      <c r="G4" s="110"/>
      <c r="H4" s="92"/>
      <c r="I4" s="92"/>
    </row>
    <row r="5" spans="1:9" x14ac:dyDescent="0.4">
      <c r="A5" s="8" t="s">
        <v>39</v>
      </c>
      <c r="B5" s="3">
        <v>34</v>
      </c>
      <c r="C5" s="3">
        <v>2</v>
      </c>
      <c r="D5" s="4">
        <v>4</v>
      </c>
      <c r="F5" s="110" t="s">
        <v>200</v>
      </c>
      <c r="G5" s="110"/>
      <c r="H5" s="92"/>
      <c r="I5" s="92"/>
    </row>
    <row r="6" spans="1:9" x14ac:dyDescent="0.4">
      <c r="A6" s="8" t="s">
        <v>40</v>
      </c>
      <c r="B6" s="5">
        <v>16</v>
      </c>
      <c r="C6" s="5">
        <v>4</v>
      </c>
      <c r="D6" s="4">
        <v>1</v>
      </c>
    </row>
    <row r="7" spans="1:9" x14ac:dyDescent="0.4">
      <c r="A7" s="8" t="s">
        <v>41</v>
      </c>
      <c r="B7" s="6">
        <v>22</v>
      </c>
      <c r="C7" s="6">
        <v>2</v>
      </c>
      <c r="D7" s="4">
        <v>3</v>
      </c>
    </row>
    <row r="8" spans="1:9" x14ac:dyDescent="0.4">
      <c r="A8" s="121" t="s">
        <v>56</v>
      </c>
      <c r="B8" s="121"/>
      <c r="C8" s="7">
        <v>7</v>
      </c>
      <c r="D8" s="7">
        <v>3</v>
      </c>
    </row>
    <row r="10" spans="1:9" x14ac:dyDescent="0.4">
      <c r="A10" s="16" t="s">
        <v>57</v>
      </c>
    </row>
    <row r="11" spans="1:9" x14ac:dyDescent="0.4">
      <c r="A11" s="16" t="s">
        <v>44</v>
      </c>
    </row>
    <row r="12" spans="1:9" x14ac:dyDescent="0.4">
      <c r="A12" s="16" t="s">
        <v>45</v>
      </c>
    </row>
    <row r="13" spans="1:9" x14ac:dyDescent="0.4">
      <c r="A13" s="16" t="s">
        <v>46</v>
      </c>
    </row>
    <row r="15" spans="1:9" s="113" customFormat="1" x14ac:dyDescent="0.4">
      <c r="A15" s="113" t="s">
        <v>58</v>
      </c>
    </row>
    <row r="17" spans="1:11" ht="31.8" customHeight="1" x14ac:dyDescent="0.4">
      <c r="A17" s="17" t="s">
        <v>59</v>
      </c>
      <c r="B17" s="18">
        <v>7</v>
      </c>
      <c r="C17" s="18">
        <v>3</v>
      </c>
      <c r="D17" s="10" t="s">
        <v>3</v>
      </c>
      <c r="E17" s="10"/>
    </row>
    <row r="18" spans="1:11" x14ac:dyDescent="0.4">
      <c r="A18" s="19" t="s">
        <v>26</v>
      </c>
      <c r="B18" s="10" t="s">
        <v>4</v>
      </c>
      <c r="C18" s="10" t="s">
        <v>5</v>
      </c>
      <c r="D18" s="10" t="s">
        <v>6</v>
      </c>
      <c r="E18" s="10" t="s">
        <v>7</v>
      </c>
    </row>
    <row r="19" spans="1:11" x14ac:dyDescent="0.4">
      <c r="A19" s="10" t="s">
        <v>8</v>
      </c>
      <c r="B19" s="18">
        <v>2</v>
      </c>
      <c r="C19" s="18">
        <v>4</v>
      </c>
      <c r="D19" s="10" t="s">
        <v>36</v>
      </c>
      <c r="E19" s="18">
        <v>34</v>
      </c>
    </row>
    <row r="20" spans="1:11" x14ac:dyDescent="0.4">
      <c r="A20" s="10" t="s">
        <v>10</v>
      </c>
      <c r="B20" s="18">
        <v>4</v>
      </c>
      <c r="C20" s="18">
        <v>1</v>
      </c>
      <c r="D20" s="10" t="s">
        <v>36</v>
      </c>
      <c r="E20" s="18">
        <v>16</v>
      </c>
    </row>
    <row r="21" spans="1:11" x14ac:dyDescent="0.4">
      <c r="A21" s="10" t="s">
        <v>11</v>
      </c>
      <c r="B21" s="18">
        <v>2</v>
      </c>
      <c r="C21" s="18">
        <v>3</v>
      </c>
      <c r="D21" s="10" t="s">
        <v>36</v>
      </c>
      <c r="E21" s="18">
        <v>22</v>
      </c>
    </row>
    <row r="22" spans="1:11" x14ac:dyDescent="0.4">
      <c r="A22" s="10"/>
      <c r="B22" s="10" t="s">
        <v>12</v>
      </c>
      <c r="C22" s="10" t="s">
        <v>13</v>
      </c>
      <c r="D22" s="10"/>
      <c r="E22" s="10"/>
    </row>
    <row r="24" spans="1:11" x14ac:dyDescent="0.4">
      <c r="A24" s="20" t="s">
        <v>60</v>
      </c>
      <c r="B24" s="16"/>
    </row>
    <row r="25" spans="1:11" x14ac:dyDescent="0.4">
      <c r="A25" s="20" t="s">
        <v>47</v>
      </c>
    </row>
    <row r="26" spans="1:11" x14ac:dyDescent="0.4">
      <c r="A26" s="20" t="s">
        <v>48</v>
      </c>
    </row>
    <row r="28" spans="1:11" s="111" customFormat="1" x14ac:dyDescent="0.4">
      <c r="A28" s="111" t="s">
        <v>61</v>
      </c>
    </row>
    <row r="30" spans="1:11" s="112" customFormat="1" x14ac:dyDescent="0.4">
      <c r="A30" s="112" t="s">
        <v>62</v>
      </c>
    </row>
    <row r="31" spans="1:11" ht="13.2" customHeight="1" x14ac:dyDescent="0.4"/>
    <row r="32" spans="1:11" x14ac:dyDescent="0.4">
      <c r="H32" s="1" t="s">
        <v>67</v>
      </c>
      <c r="J32" s="1" t="s">
        <v>68</v>
      </c>
      <c r="K32" s="16" t="s">
        <v>44</v>
      </c>
    </row>
    <row r="33" spans="5:11" x14ac:dyDescent="0.4">
      <c r="H33" s="1" t="s">
        <v>65</v>
      </c>
      <c r="J33" s="1" t="s">
        <v>66</v>
      </c>
      <c r="K33" s="16" t="s">
        <v>45</v>
      </c>
    </row>
    <row r="34" spans="5:11" x14ac:dyDescent="0.4">
      <c r="H34" s="1" t="s">
        <v>63</v>
      </c>
      <c r="J34" s="1" t="s">
        <v>64</v>
      </c>
      <c r="K34" s="16" t="s">
        <v>46</v>
      </c>
    </row>
    <row r="35" spans="5:11" ht="43.2" customHeight="1" x14ac:dyDescent="0.4"/>
    <row r="37" spans="5:11" x14ac:dyDescent="0.4">
      <c r="E37" s="120"/>
      <c r="F37" s="120"/>
      <c r="G37" s="120"/>
    </row>
    <row r="51" spans="1:22" s="94" customFormat="1" x14ac:dyDescent="0.4">
      <c r="A51" s="94" t="s">
        <v>69</v>
      </c>
    </row>
    <row r="52" spans="1:22" ht="16.8" thickBot="1" x14ac:dyDescent="0.45"/>
    <row r="53" spans="1:22" ht="16.2" customHeight="1" x14ac:dyDescent="0.4">
      <c r="A53" s="97" t="s">
        <v>20</v>
      </c>
      <c r="B53" s="95" t="s">
        <v>21</v>
      </c>
      <c r="C53" s="95" t="s">
        <v>70</v>
      </c>
      <c r="D53" s="95" t="s">
        <v>22</v>
      </c>
      <c r="E53" s="24" t="s">
        <v>4</v>
      </c>
      <c r="F53" s="24" t="s">
        <v>5</v>
      </c>
      <c r="G53" s="24" t="s">
        <v>16</v>
      </c>
      <c r="H53" s="24" t="s">
        <v>18</v>
      </c>
      <c r="I53" s="24" t="s">
        <v>19</v>
      </c>
      <c r="J53" s="100" t="s">
        <v>23</v>
      </c>
      <c r="K53" s="21"/>
      <c r="L53" s="1" t="s">
        <v>71</v>
      </c>
      <c r="M53" s="1" t="s">
        <v>14</v>
      </c>
      <c r="N53" s="1" t="s">
        <v>72</v>
      </c>
      <c r="O53" s="1" t="s">
        <v>15</v>
      </c>
      <c r="P53" s="1" t="s">
        <v>73</v>
      </c>
      <c r="Q53" s="1" t="s">
        <v>14</v>
      </c>
      <c r="R53" s="1" t="s">
        <v>74</v>
      </c>
      <c r="S53" s="1" t="s">
        <v>14</v>
      </c>
      <c r="T53" s="1" t="s">
        <v>75</v>
      </c>
      <c r="U53" s="93" t="s">
        <v>201</v>
      </c>
    </row>
    <row r="54" spans="1:22" ht="16.8" thickBot="1" x14ac:dyDescent="0.45">
      <c r="A54" s="98"/>
      <c r="B54" s="96"/>
      <c r="C54" s="96"/>
      <c r="D54" s="96"/>
      <c r="E54" s="25">
        <v>7</v>
      </c>
      <c r="F54" s="25">
        <v>3</v>
      </c>
      <c r="G54" s="25">
        <v>0</v>
      </c>
      <c r="H54" s="25">
        <v>0</v>
      </c>
      <c r="I54" s="25">
        <v>0</v>
      </c>
      <c r="J54" s="101"/>
      <c r="K54" s="21"/>
      <c r="L54" s="1" t="s">
        <v>76</v>
      </c>
      <c r="M54" s="1" t="s">
        <v>14</v>
      </c>
      <c r="N54" s="1" t="s">
        <v>77</v>
      </c>
      <c r="O54" s="1" t="s">
        <v>14</v>
      </c>
      <c r="P54" s="1" t="s">
        <v>78</v>
      </c>
      <c r="U54" s="1" t="s">
        <v>17</v>
      </c>
      <c r="V54" s="1">
        <v>34</v>
      </c>
    </row>
    <row r="55" spans="1:22" x14ac:dyDescent="0.4">
      <c r="A55" s="99">
        <v>0</v>
      </c>
      <c r="B55" s="41" t="s">
        <v>16</v>
      </c>
      <c r="C55" s="42">
        <v>0</v>
      </c>
      <c r="D55" s="15">
        <v>34</v>
      </c>
      <c r="E55" s="27">
        <v>2</v>
      </c>
      <c r="F55" s="28">
        <v>4</v>
      </c>
      <c r="G55" s="29">
        <v>1</v>
      </c>
      <c r="H55" s="29">
        <v>0</v>
      </c>
      <c r="I55" s="47">
        <v>0</v>
      </c>
      <c r="J55" s="53" t="s">
        <v>50</v>
      </c>
      <c r="K55" s="22"/>
      <c r="L55" s="1" t="s">
        <v>79</v>
      </c>
      <c r="M55" s="1" t="s">
        <v>14</v>
      </c>
      <c r="N55" s="1" t="s">
        <v>80</v>
      </c>
      <c r="Q55" s="1" t="s">
        <v>14</v>
      </c>
      <c r="R55" s="1" t="s">
        <v>81</v>
      </c>
      <c r="U55" s="1" t="s">
        <v>17</v>
      </c>
      <c r="V55" s="1">
        <v>16</v>
      </c>
    </row>
    <row r="56" spans="1:22" x14ac:dyDescent="0.4">
      <c r="A56" s="99"/>
      <c r="B56" s="43" t="s">
        <v>18</v>
      </c>
      <c r="C56" s="44">
        <v>0</v>
      </c>
      <c r="D56" s="36">
        <v>16</v>
      </c>
      <c r="E56" s="12">
        <v>4</v>
      </c>
      <c r="F56" s="13">
        <v>1</v>
      </c>
      <c r="G56" s="14">
        <v>0</v>
      </c>
      <c r="H56" s="14">
        <v>1</v>
      </c>
      <c r="I56" s="48">
        <v>0</v>
      </c>
      <c r="J56" s="54" t="s">
        <v>49</v>
      </c>
      <c r="K56" s="22"/>
      <c r="L56" s="1" t="s">
        <v>76</v>
      </c>
      <c r="M56" s="1" t="s">
        <v>14</v>
      </c>
      <c r="N56" s="1" t="s">
        <v>72</v>
      </c>
      <c r="S56" s="1" t="s">
        <v>14</v>
      </c>
      <c r="T56" s="1" t="s">
        <v>82</v>
      </c>
      <c r="U56" s="1" t="s">
        <v>17</v>
      </c>
      <c r="V56" s="1">
        <v>22</v>
      </c>
    </row>
    <row r="57" spans="1:22" ht="16.8" thickBot="1" x14ac:dyDescent="0.45">
      <c r="A57" s="99"/>
      <c r="B57" s="43" t="s">
        <v>19</v>
      </c>
      <c r="C57" s="44">
        <v>0</v>
      </c>
      <c r="D57" s="37">
        <v>22</v>
      </c>
      <c r="E57" s="30">
        <v>2</v>
      </c>
      <c r="F57" s="55">
        <v>3</v>
      </c>
      <c r="G57" s="56">
        <v>0</v>
      </c>
      <c r="H57" s="56">
        <v>0</v>
      </c>
      <c r="I57" s="57">
        <v>1</v>
      </c>
      <c r="J57" s="54" t="s">
        <v>51</v>
      </c>
      <c r="K57" s="22"/>
    </row>
    <row r="58" spans="1:22" x14ac:dyDescent="0.4">
      <c r="A58" s="99"/>
      <c r="B58" s="104" t="s">
        <v>25</v>
      </c>
      <c r="C58" s="105"/>
      <c r="D58" s="41" t="s">
        <v>83</v>
      </c>
      <c r="E58" s="65" t="s">
        <v>84</v>
      </c>
      <c r="F58" s="24" t="s">
        <v>85</v>
      </c>
      <c r="G58" s="24" t="s">
        <v>86</v>
      </c>
      <c r="H58" s="24" t="s">
        <v>87</v>
      </c>
      <c r="I58" s="34" t="s">
        <v>88</v>
      </c>
      <c r="J58" s="102"/>
      <c r="K58" s="22"/>
      <c r="L58" s="16"/>
    </row>
    <row r="59" spans="1:22" ht="16.8" thickBot="1" x14ac:dyDescent="0.45">
      <c r="A59" s="99"/>
      <c r="B59" s="99"/>
      <c r="C59" s="106"/>
      <c r="D59" s="58">
        <v>0</v>
      </c>
      <c r="E59" s="35">
        <v>-7</v>
      </c>
      <c r="F59" s="25">
        <v>-3</v>
      </c>
      <c r="G59" s="25">
        <v>0</v>
      </c>
      <c r="H59" s="25">
        <v>0</v>
      </c>
      <c r="I59" s="59">
        <v>0</v>
      </c>
      <c r="J59" s="103"/>
      <c r="K59" s="22"/>
      <c r="L59" s="16"/>
    </row>
    <row r="60" spans="1:22" x14ac:dyDescent="0.4">
      <c r="A60" s="107">
        <v>1</v>
      </c>
      <c r="B60" s="41" t="s">
        <v>16</v>
      </c>
      <c r="C60" s="42">
        <v>0</v>
      </c>
      <c r="D60" s="38">
        <f>(D55*$E56 -D56*$E55)/$E56</f>
        <v>26</v>
      </c>
      <c r="E60" s="32">
        <f>(E55*$E56 - E56*$E55)/$E56</f>
        <v>0</v>
      </c>
      <c r="F60" s="33">
        <f>(F55*$E56 - F56*$E55)/$E56</f>
        <v>3.5</v>
      </c>
      <c r="G60" s="32">
        <f>(G55*$E56 - G56*$E55)/$E56</f>
        <v>1</v>
      </c>
      <c r="H60" s="32">
        <f>(H55*$E56 - H56*$E55)/$E56</f>
        <v>-0.5</v>
      </c>
      <c r="I60" s="49">
        <f>(I55*$E56 - I56*$E55)/$E56</f>
        <v>0</v>
      </c>
      <c r="J60" s="53" t="s">
        <v>52</v>
      </c>
      <c r="K60" s="22"/>
      <c r="L60" s="16"/>
    </row>
    <row r="61" spans="1:22" x14ac:dyDescent="0.4">
      <c r="A61" s="99"/>
      <c r="B61" s="43" t="s">
        <v>4</v>
      </c>
      <c r="C61" s="44">
        <v>7</v>
      </c>
      <c r="D61" s="36">
        <f>D56/E56</f>
        <v>4</v>
      </c>
      <c r="E61" s="11">
        <f>E56/$E56</f>
        <v>1</v>
      </c>
      <c r="F61" s="14">
        <f>F56/$E56</f>
        <v>0.25</v>
      </c>
      <c r="G61" s="11">
        <f>G56/$E56</f>
        <v>0</v>
      </c>
      <c r="H61" s="11">
        <f>H56/$E56</f>
        <v>0.25</v>
      </c>
      <c r="I61" s="50">
        <f>I56/$E56</f>
        <v>0</v>
      </c>
      <c r="J61" s="54" t="s">
        <v>53</v>
      </c>
      <c r="K61" s="22"/>
      <c r="L61" s="16"/>
    </row>
    <row r="62" spans="1:22" ht="16.8" thickBot="1" x14ac:dyDescent="0.45">
      <c r="A62" s="99"/>
      <c r="B62" s="43" t="s">
        <v>19</v>
      </c>
      <c r="C62" s="44">
        <v>0</v>
      </c>
      <c r="D62" s="37">
        <f>(D57*$E56 -D56*$E57)/$E56</f>
        <v>14</v>
      </c>
      <c r="E62" s="60">
        <f>E57-E56*E57/E56</f>
        <v>0</v>
      </c>
      <c r="F62" s="61">
        <f>F57-F56*$E57/$E56</f>
        <v>2.5</v>
      </c>
      <c r="G62" s="60">
        <f>G57-G56*$E57/$E56</f>
        <v>0</v>
      </c>
      <c r="H62" s="60">
        <f>H57-H56*$E57/$E56</f>
        <v>-0.5</v>
      </c>
      <c r="I62" s="62">
        <f>I57-I56*$E57/$E56</f>
        <v>1</v>
      </c>
      <c r="J62" s="54" t="s">
        <v>54</v>
      </c>
      <c r="K62" s="22"/>
    </row>
    <row r="63" spans="1:22" x14ac:dyDescent="0.4">
      <c r="A63" s="99"/>
      <c r="B63" s="104" t="s">
        <v>25</v>
      </c>
      <c r="C63" s="105"/>
      <c r="D63" s="41" t="s">
        <v>83</v>
      </c>
      <c r="E63" s="24" t="s">
        <v>84</v>
      </c>
      <c r="F63" s="65" t="s">
        <v>85</v>
      </c>
      <c r="G63" s="24" t="s">
        <v>86</v>
      </c>
      <c r="H63" s="24" t="s">
        <v>87</v>
      </c>
      <c r="I63" s="34" t="s">
        <v>88</v>
      </c>
      <c r="J63" s="102"/>
      <c r="K63" s="22"/>
    </row>
    <row r="64" spans="1:22" ht="16.8" thickBot="1" x14ac:dyDescent="0.45">
      <c r="A64" s="108"/>
      <c r="B64" s="108"/>
      <c r="C64" s="109"/>
      <c r="D64" s="58">
        <f t="shared" ref="D64:I64" si="0">(D59*$E56 - D56*$E59)/$E56</f>
        <v>28</v>
      </c>
      <c r="E64" s="25">
        <f t="shared" si="0"/>
        <v>0</v>
      </c>
      <c r="F64" s="35">
        <f t="shared" si="0"/>
        <v>-1.25</v>
      </c>
      <c r="G64" s="25">
        <f t="shared" si="0"/>
        <v>0</v>
      </c>
      <c r="H64" s="25">
        <f t="shared" si="0"/>
        <v>1.75</v>
      </c>
      <c r="I64" s="59">
        <f t="shared" si="0"/>
        <v>0</v>
      </c>
      <c r="J64" s="131"/>
      <c r="K64" s="22"/>
    </row>
    <row r="65" spans="1:14" x14ac:dyDescent="0.4">
      <c r="A65" s="99">
        <v>2</v>
      </c>
      <c r="B65" s="45" t="s">
        <v>16</v>
      </c>
      <c r="C65" s="46">
        <v>0</v>
      </c>
      <c r="D65" s="39">
        <f>D60-($D62*F60)/$F62</f>
        <v>6.3999999999999986</v>
      </c>
      <c r="E65" s="6">
        <f>E60-($E$62*F60)/$F$62</f>
        <v>0</v>
      </c>
      <c r="F65" s="6">
        <f>F60-($F$62*F60)/$F$62</f>
        <v>0</v>
      </c>
      <c r="G65" s="6">
        <f>G60-($G$62*F60)/$F$62</f>
        <v>1</v>
      </c>
      <c r="H65" s="6">
        <f>H60-($H$62*F60)/$F$62</f>
        <v>0.19999999999999996</v>
      </c>
      <c r="I65" s="51">
        <f>-7/5</f>
        <v>-1.4</v>
      </c>
      <c r="J65" s="64" t="s">
        <v>24</v>
      </c>
      <c r="K65" s="23"/>
    </row>
    <row r="66" spans="1:14" ht="16.2" customHeight="1" x14ac:dyDescent="0.4">
      <c r="A66" s="99"/>
      <c r="B66" s="43" t="s">
        <v>4</v>
      </c>
      <c r="C66" s="44">
        <v>7</v>
      </c>
      <c r="D66" s="40">
        <f>D61-($D$62*F61)/$F$62</f>
        <v>2.6</v>
      </c>
      <c r="E66" s="7">
        <f>E61-($E$62*F61)/$F$62</f>
        <v>1</v>
      </c>
      <c r="F66" s="7">
        <f>F61-($F$62*F61)/$F$62</f>
        <v>0</v>
      </c>
      <c r="G66" s="7">
        <f>G61-($G$62*F61)/$F$62</f>
        <v>0</v>
      </c>
      <c r="H66" s="7">
        <f>H61-($H$62*F61)/$F$62</f>
        <v>0.3</v>
      </c>
      <c r="I66" s="52">
        <f>I61-($I$62*F61)/$F$62</f>
        <v>-0.1</v>
      </c>
      <c r="J66" s="54" t="s">
        <v>24</v>
      </c>
      <c r="K66" s="23"/>
    </row>
    <row r="67" spans="1:14" ht="16.8" thickBot="1" x14ac:dyDescent="0.45">
      <c r="A67" s="99"/>
      <c r="B67" s="43" t="s">
        <v>5</v>
      </c>
      <c r="C67" s="44">
        <v>3</v>
      </c>
      <c r="D67" s="63">
        <f>D62/F62</f>
        <v>5.6</v>
      </c>
      <c r="E67" s="3">
        <f>E62-($E$62*F62)/$F$62</f>
        <v>0</v>
      </c>
      <c r="F67" s="3">
        <f>F62/F62</f>
        <v>1</v>
      </c>
      <c r="G67" s="3">
        <f>G62-($G$62*F62)/$F$62</f>
        <v>0</v>
      </c>
      <c r="H67" s="3">
        <f>-1/5</f>
        <v>-0.2</v>
      </c>
      <c r="I67" s="66">
        <v>0.4</v>
      </c>
      <c r="J67" s="54" t="s">
        <v>24</v>
      </c>
      <c r="K67" s="23"/>
    </row>
    <row r="68" spans="1:14" x14ac:dyDescent="0.4">
      <c r="A68" s="99"/>
      <c r="B68" s="104" t="s">
        <v>25</v>
      </c>
      <c r="C68" s="105"/>
      <c r="D68" s="41" t="s">
        <v>83</v>
      </c>
      <c r="E68" s="24" t="s">
        <v>84</v>
      </c>
      <c r="F68" s="24" t="s">
        <v>85</v>
      </c>
      <c r="G68" s="24" t="s">
        <v>86</v>
      </c>
      <c r="H68" s="24" t="s">
        <v>87</v>
      </c>
      <c r="I68" s="34" t="s">
        <v>88</v>
      </c>
      <c r="J68" s="102"/>
      <c r="K68" s="23"/>
    </row>
    <row r="69" spans="1:14" ht="16.8" thickBot="1" x14ac:dyDescent="0.45">
      <c r="A69" s="108"/>
      <c r="B69" s="108"/>
      <c r="C69" s="109"/>
      <c r="D69" s="58">
        <f>D64-(D62*F64)/F62</f>
        <v>35</v>
      </c>
      <c r="E69" s="25">
        <f>E64-(E60*F64)/F62</f>
        <v>0</v>
      </c>
      <c r="F69" s="25">
        <f>F64-($F$62*$F$64)/$F$62</f>
        <v>0</v>
      </c>
      <c r="G69" s="25">
        <f>G64-(G62*$F$64)/$F$62</f>
        <v>0</v>
      </c>
      <c r="H69" s="25">
        <f>H64-(H62*$F$64)/$F$62</f>
        <v>1.5</v>
      </c>
      <c r="I69" s="59">
        <f>I64-(I62*$F$64)/$F$62</f>
        <v>0.5</v>
      </c>
      <c r="J69" s="131"/>
      <c r="K69" s="23"/>
    </row>
    <row r="71" spans="1:14" x14ac:dyDescent="0.4">
      <c r="A71" s="1" t="s">
        <v>89</v>
      </c>
    </row>
    <row r="72" spans="1:14" x14ac:dyDescent="0.4">
      <c r="A72" s="1" t="s">
        <v>90</v>
      </c>
    </row>
    <row r="73" spans="1:14" x14ac:dyDescent="0.4">
      <c r="A73" s="1" t="s">
        <v>91</v>
      </c>
    </row>
    <row r="75" spans="1:14" s="94" customFormat="1" x14ac:dyDescent="0.4">
      <c r="A75" s="94" t="s">
        <v>92</v>
      </c>
    </row>
    <row r="76" spans="1:14" ht="16.8" thickBot="1" x14ac:dyDescent="0.45"/>
    <row r="77" spans="1:14" ht="16.8" thickBot="1" x14ac:dyDescent="0.45">
      <c r="A77" s="122" t="s">
        <v>26</v>
      </c>
      <c r="B77" s="123"/>
      <c r="C77" s="123"/>
      <c r="D77" s="123"/>
      <c r="E77" s="123"/>
      <c r="F77" s="123"/>
      <c r="G77" s="123"/>
      <c r="H77" s="124"/>
      <c r="J77" s="86"/>
      <c r="K77" s="87"/>
      <c r="L77" s="87"/>
      <c r="M77" s="22"/>
      <c r="N77" s="22"/>
    </row>
    <row r="78" spans="1:14" x14ac:dyDescent="0.4">
      <c r="A78" s="73" t="s">
        <v>27</v>
      </c>
      <c r="B78" s="26" t="s">
        <v>4</v>
      </c>
      <c r="C78" s="26" t="s">
        <v>5</v>
      </c>
      <c r="D78" s="136"/>
      <c r="E78" s="137"/>
      <c r="F78" s="137"/>
      <c r="G78" s="137"/>
      <c r="H78" s="138"/>
      <c r="J78" s="88"/>
      <c r="K78" s="22"/>
      <c r="L78" s="22"/>
      <c r="M78" s="22"/>
      <c r="N78" s="22"/>
    </row>
    <row r="79" spans="1:14" x14ac:dyDescent="0.4">
      <c r="A79" s="68" t="s">
        <v>28</v>
      </c>
      <c r="B79" s="11">
        <v>2.5999999999999996</v>
      </c>
      <c r="C79" s="11">
        <v>5.6000000000000005</v>
      </c>
      <c r="D79" s="128"/>
      <c r="E79" s="129"/>
      <c r="F79" s="129"/>
      <c r="G79" s="129"/>
      <c r="H79" s="130"/>
      <c r="J79" s="22"/>
      <c r="K79" s="87"/>
      <c r="L79" s="87"/>
      <c r="M79" s="22"/>
      <c r="N79" s="87"/>
    </row>
    <row r="80" spans="1:14" ht="16.8" thickBot="1" x14ac:dyDescent="0.45">
      <c r="A80" s="58" t="s">
        <v>29</v>
      </c>
      <c r="B80" s="25">
        <v>7</v>
      </c>
      <c r="C80" s="25">
        <v>3</v>
      </c>
      <c r="D80" s="69">
        <f>SUMPRODUCT(B$79:C$79,B80:C80)</f>
        <v>35</v>
      </c>
      <c r="E80" s="139" t="s">
        <v>30</v>
      </c>
      <c r="F80" s="139"/>
      <c r="G80" s="139"/>
      <c r="H80" s="140"/>
      <c r="J80" s="22"/>
      <c r="K80" s="87"/>
      <c r="L80" s="87"/>
      <c r="M80" s="22"/>
      <c r="N80" s="87"/>
    </row>
    <row r="81" spans="1:14" ht="16.8" thickBot="1" x14ac:dyDescent="0.45">
      <c r="A81" s="122" t="s">
        <v>93</v>
      </c>
      <c r="B81" s="123"/>
      <c r="C81" s="123"/>
      <c r="D81" s="123"/>
      <c r="E81" s="123"/>
      <c r="F81" s="123"/>
      <c r="G81" s="123"/>
      <c r="H81" s="124"/>
      <c r="J81" s="22"/>
      <c r="K81" s="87"/>
      <c r="L81" s="87"/>
      <c r="M81" s="22"/>
      <c r="N81" s="87"/>
    </row>
    <row r="82" spans="1:14" x14ac:dyDescent="0.4">
      <c r="A82" s="73" t="s">
        <v>31</v>
      </c>
      <c r="B82" s="128"/>
      <c r="C82" s="141"/>
      <c r="D82" s="6" t="s">
        <v>32</v>
      </c>
      <c r="E82" s="6" t="s">
        <v>33</v>
      </c>
      <c r="F82" s="6" t="s">
        <v>34</v>
      </c>
      <c r="G82" s="8"/>
      <c r="H82" s="70"/>
      <c r="J82" s="22"/>
      <c r="K82" s="22"/>
      <c r="L82" s="22"/>
      <c r="M82" s="22"/>
      <c r="N82" s="22"/>
    </row>
    <row r="83" spans="1:14" x14ac:dyDescent="0.4">
      <c r="A83" s="7" t="s">
        <v>39</v>
      </c>
      <c r="B83" s="7">
        <v>2</v>
      </c>
      <c r="C83" s="7">
        <v>4</v>
      </c>
      <c r="D83" s="7">
        <f>SUMPRODUCT($B79:$C79,B83:C83)</f>
        <v>27.6</v>
      </c>
      <c r="E83" s="7" t="s">
        <v>9</v>
      </c>
      <c r="F83" s="7">
        <v>34</v>
      </c>
      <c r="G83" s="8"/>
      <c r="H83" s="70"/>
    </row>
    <row r="84" spans="1:14" x14ac:dyDescent="0.4">
      <c r="A84" s="7" t="s">
        <v>40</v>
      </c>
      <c r="B84" s="7">
        <v>4</v>
      </c>
      <c r="C84" s="7">
        <v>1</v>
      </c>
      <c r="D84" s="7">
        <f>SUMPRODUCT($B79:$C79,B84:C84)</f>
        <v>16</v>
      </c>
      <c r="E84" s="7" t="s">
        <v>9</v>
      </c>
      <c r="F84" s="7">
        <v>16</v>
      </c>
      <c r="G84" s="8"/>
      <c r="H84" s="70"/>
    </row>
    <row r="85" spans="1:14" ht="16.8" thickBot="1" x14ac:dyDescent="0.45">
      <c r="A85" s="25" t="s">
        <v>41</v>
      </c>
      <c r="B85" s="25">
        <v>2</v>
      </c>
      <c r="C85" s="25">
        <v>3</v>
      </c>
      <c r="D85" s="25">
        <f>SUMPRODUCT($B79:$C79,B85:C85)</f>
        <v>22</v>
      </c>
      <c r="E85" s="25" t="s">
        <v>9</v>
      </c>
      <c r="F85" s="25">
        <v>22</v>
      </c>
      <c r="G85" s="71"/>
      <c r="H85" s="72"/>
    </row>
    <row r="86" spans="1:14" ht="16.8" thickBot="1" x14ac:dyDescent="0.45">
      <c r="A86" s="67"/>
      <c r="B86" s="67"/>
      <c r="C86" s="67"/>
    </row>
    <row r="87" spans="1:14" ht="16.8" thickBot="1" x14ac:dyDescent="0.45">
      <c r="A87" s="122" t="s">
        <v>26</v>
      </c>
      <c r="B87" s="123"/>
      <c r="C87" s="123"/>
      <c r="D87" s="123"/>
      <c r="E87" s="123"/>
      <c r="F87" s="123"/>
      <c r="G87" s="123"/>
      <c r="H87" s="124"/>
      <c r="J87" s="20"/>
    </row>
    <row r="88" spans="1:14" x14ac:dyDescent="0.4">
      <c r="A88" s="84" t="s">
        <v>27</v>
      </c>
      <c r="B88" s="31" t="s">
        <v>8</v>
      </c>
      <c r="C88" s="31" t="s">
        <v>10</v>
      </c>
      <c r="D88" s="31" t="s">
        <v>11</v>
      </c>
      <c r="E88" s="125"/>
      <c r="F88" s="126"/>
      <c r="G88" s="126"/>
      <c r="H88" s="127"/>
      <c r="J88" s="20"/>
    </row>
    <row r="89" spans="1:14" x14ac:dyDescent="0.4">
      <c r="A89" s="68" t="s">
        <v>28</v>
      </c>
      <c r="B89" s="11">
        <v>0</v>
      </c>
      <c r="C89" s="11">
        <v>1.5</v>
      </c>
      <c r="D89" s="11">
        <v>0.5</v>
      </c>
      <c r="E89" s="128"/>
      <c r="F89" s="129"/>
      <c r="G89" s="129"/>
      <c r="H89" s="130"/>
      <c r="J89" s="20"/>
    </row>
    <row r="90" spans="1:14" ht="16.8" thickBot="1" x14ac:dyDescent="0.45">
      <c r="A90" s="58" t="s">
        <v>29</v>
      </c>
      <c r="B90" s="25">
        <v>34</v>
      </c>
      <c r="C90" s="25">
        <v>16</v>
      </c>
      <c r="D90" s="25">
        <v>22</v>
      </c>
      <c r="E90" s="69">
        <f>SUMPRODUCT(B$89:D$89,B90:D90)</f>
        <v>35</v>
      </c>
      <c r="F90" s="118" t="s">
        <v>35</v>
      </c>
      <c r="G90" s="118"/>
      <c r="H90" s="119"/>
    </row>
    <row r="91" spans="1:14" ht="16.8" thickBot="1" x14ac:dyDescent="0.45">
      <c r="A91" s="122" t="s">
        <v>93</v>
      </c>
      <c r="B91" s="123"/>
      <c r="C91" s="123"/>
      <c r="D91" s="123"/>
      <c r="E91" s="123"/>
      <c r="F91" s="123"/>
      <c r="G91" s="123"/>
      <c r="H91" s="124"/>
    </row>
    <row r="92" spans="1:14" x14ac:dyDescent="0.4">
      <c r="A92" s="73" t="s">
        <v>31</v>
      </c>
      <c r="B92" s="132"/>
      <c r="C92" s="133"/>
      <c r="D92" s="134"/>
      <c r="E92" s="6" t="s">
        <v>32</v>
      </c>
      <c r="F92" s="6" t="s">
        <v>33</v>
      </c>
      <c r="G92" s="6" t="s">
        <v>34</v>
      </c>
      <c r="H92" s="82"/>
    </row>
    <row r="93" spans="1:14" x14ac:dyDescent="0.4">
      <c r="A93" s="68" t="s">
        <v>171</v>
      </c>
      <c r="B93" s="7">
        <v>2</v>
      </c>
      <c r="C93" s="7">
        <v>4</v>
      </c>
      <c r="D93" s="7">
        <v>2</v>
      </c>
      <c r="E93" s="7">
        <f>SUMPRODUCT(B$89:D$89,B93:D93)</f>
        <v>7</v>
      </c>
      <c r="F93" s="7" t="s">
        <v>36</v>
      </c>
      <c r="G93" s="7">
        <v>7</v>
      </c>
      <c r="H93" s="82"/>
    </row>
    <row r="94" spans="1:14" ht="16.8" thickBot="1" x14ac:dyDescent="0.45">
      <c r="A94" s="58" t="s">
        <v>172</v>
      </c>
      <c r="B94" s="25">
        <v>4</v>
      </c>
      <c r="C94" s="25">
        <v>1</v>
      </c>
      <c r="D94" s="25">
        <v>3</v>
      </c>
      <c r="E94" s="25">
        <f>SUMPRODUCT(B$89:D$89,B94:D94)</f>
        <v>3</v>
      </c>
      <c r="F94" s="25" t="s">
        <v>36</v>
      </c>
      <c r="G94" s="25">
        <v>3</v>
      </c>
      <c r="H94" s="83"/>
    </row>
    <row r="96" spans="1:14" s="143" customFormat="1" x14ac:dyDescent="0.3">
      <c r="A96" s="143" t="s">
        <v>173</v>
      </c>
    </row>
    <row r="97" spans="1:4" x14ac:dyDescent="0.4">
      <c r="A97" s="89"/>
      <c r="B97" s="89"/>
      <c r="C97" s="89"/>
      <c r="D97" s="89"/>
    </row>
    <row r="98" spans="1:4" s="142" customFormat="1" x14ac:dyDescent="0.4">
      <c r="A98" s="142" t="s">
        <v>37</v>
      </c>
    </row>
    <row r="99" spans="1:4" s="90" customFormat="1" x14ac:dyDescent="0.4"/>
    <row r="100" spans="1:4" s="90" customFormat="1" x14ac:dyDescent="0.4">
      <c r="A100" s="90" t="s">
        <v>180</v>
      </c>
    </row>
    <row r="101" spans="1:4" s="90" customFormat="1" x14ac:dyDescent="0.4">
      <c r="A101" s="90" t="s">
        <v>181</v>
      </c>
    </row>
    <row r="102" spans="1:4" x14ac:dyDescent="0.4">
      <c r="A102" s="22"/>
      <c r="B102" s="85"/>
      <c r="C102" s="85"/>
      <c r="D102" s="85"/>
    </row>
    <row r="103" spans="1:4" s="142" customFormat="1" x14ac:dyDescent="0.4">
      <c r="A103" s="142" t="s">
        <v>38</v>
      </c>
    </row>
    <row r="104" spans="1:4" s="90" customFormat="1" x14ac:dyDescent="0.4"/>
    <row r="105" spans="1:4" s="90" customFormat="1" x14ac:dyDescent="0.4">
      <c r="A105" s="90" t="s">
        <v>186</v>
      </c>
    </row>
    <row r="106" spans="1:4" s="90" customFormat="1" x14ac:dyDescent="0.4">
      <c r="A106" s="90" t="s">
        <v>182</v>
      </c>
    </row>
    <row r="107" spans="1:4" s="90" customFormat="1" x14ac:dyDescent="0.4">
      <c r="A107" s="90" t="s">
        <v>183</v>
      </c>
    </row>
    <row r="108" spans="1:4" x14ac:dyDescent="0.4">
      <c r="A108" s="23"/>
      <c r="B108" s="23"/>
      <c r="C108" s="85"/>
      <c r="D108" s="85"/>
    </row>
    <row r="109" spans="1:4" s="94" customFormat="1" x14ac:dyDescent="0.4">
      <c r="A109" s="94" t="s">
        <v>174</v>
      </c>
    </row>
    <row r="110" spans="1:4" s="91" customFormat="1" x14ac:dyDescent="0.4"/>
    <row r="111" spans="1:4" s="91" customFormat="1" x14ac:dyDescent="0.4">
      <c r="A111" s="1" t="s">
        <v>184</v>
      </c>
    </row>
    <row r="112" spans="1:4" s="91" customFormat="1" x14ac:dyDescent="0.4">
      <c r="A112" s="1" t="s">
        <v>186</v>
      </c>
    </row>
    <row r="113" spans="1:9" s="91" customFormat="1" x14ac:dyDescent="0.4">
      <c r="A113" s="1" t="s">
        <v>185</v>
      </c>
    </row>
    <row r="114" spans="1:9" x14ac:dyDescent="0.4">
      <c r="I114" s="9"/>
    </row>
    <row r="115" spans="1:9" s="94" customFormat="1" x14ac:dyDescent="0.4">
      <c r="A115" s="94" t="s">
        <v>175</v>
      </c>
    </row>
    <row r="116" spans="1:9" s="91" customFormat="1" x14ac:dyDescent="0.4"/>
    <row r="117" spans="1:9" x14ac:dyDescent="0.4">
      <c r="A117" s="1" t="s">
        <v>186</v>
      </c>
    </row>
    <row r="118" spans="1:9" s="91" customFormat="1" x14ac:dyDescent="0.4">
      <c r="A118" s="91" t="s">
        <v>187</v>
      </c>
    </row>
    <row r="120" spans="1:9" s="94" customFormat="1" x14ac:dyDescent="0.4">
      <c r="A120" s="94" t="s">
        <v>176</v>
      </c>
    </row>
    <row r="122" spans="1:9" x14ac:dyDescent="0.4">
      <c r="A122" s="1" t="s">
        <v>189</v>
      </c>
      <c r="C122" s="1" t="s">
        <v>192</v>
      </c>
    </row>
    <row r="123" spans="1:9" x14ac:dyDescent="0.4">
      <c r="A123" s="1" t="s">
        <v>190</v>
      </c>
      <c r="C123" s="1" t="s">
        <v>193</v>
      </c>
    </row>
    <row r="124" spans="1:9" x14ac:dyDescent="0.4">
      <c r="A124" s="1" t="s">
        <v>188</v>
      </c>
      <c r="C124" s="1" t="s">
        <v>191</v>
      </c>
    </row>
    <row r="126" spans="1:9" s="113" customFormat="1" x14ac:dyDescent="0.4">
      <c r="A126" s="113" t="s">
        <v>194</v>
      </c>
    </row>
    <row r="127" spans="1:9" ht="16.8" thickBot="1" x14ac:dyDescent="0.45"/>
    <row r="128" spans="1:9" ht="16.8" thickBot="1" x14ac:dyDescent="0.45">
      <c r="A128" s="122" t="s">
        <v>26</v>
      </c>
      <c r="B128" s="123"/>
      <c r="C128" s="123"/>
      <c r="D128" s="123"/>
      <c r="E128" s="123"/>
      <c r="F128" s="123"/>
      <c r="G128" s="123"/>
      <c r="H128" s="124"/>
    </row>
    <row r="129" spans="1:8" x14ac:dyDescent="0.4">
      <c r="A129" s="84" t="s">
        <v>27</v>
      </c>
      <c r="B129" s="31" t="s">
        <v>8</v>
      </c>
      <c r="C129" s="31" t="s">
        <v>10</v>
      </c>
      <c r="D129" s="31" t="s">
        <v>11</v>
      </c>
      <c r="E129" s="125"/>
      <c r="F129" s="126"/>
      <c r="G129" s="126"/>
      <c r="H129" s="127"/>
    </row>
    <row r="130" spans="1:8" x14ac:dyDescent="0.4">
      <c r="A130" s="68" t="s">
        <v>28</v>
      </c>
      <c r="B130" s="11">
        <v>0</v>
      </c>
      <c r="C130" s="11">
        <v>1.5</v>
      </c>
      <c r="D130" s="11">
        <v>0.5</v>
      </c>
      <c r="E130" s="128"/>
      <c r="F130" s="129"/>
      <c r="G130" s="129"/>
      <c r="H130" s="130"/>
    </row>
    <row r="131" spans="1:8" ht="16.8" thickBot="1" x14ac:dyDescent="0.45">
      <c r="A131" s="58" t="s">
        <v>29</v>
      </c>
      <c r="B131" s="25">
        <v>34</v>
      </c>
      <c r="C131" s="25">
        <v>16</v>
      </c>
      <c r="D131" s="25">
        <v>22</v>
      </c>
      <c r="E131" s="69">
        <f>SUMPRODUCT(B$89:D$89,B131:D131)</f>
        <v>35</v>
      </c>
      <c r="F131" s="118" t="s">
        <v>35</v>
      </c>
      <c r="G131" s="118"/>
      <c r="H131" s="119"/>
    </row>
    <row r="132" spans="1:8" ht="16.8" thickBot="1" x14ac:dyDescent="0.45">
      <c r="A132" s="122" t="s">
        <v>93</v>
      </c>
      <c r="B132" s="123"/>
      <c r="C132" s="123"/>
      <c r="D132" s="123"/>
      <c r="E132" s="123"/>
      <c r="F132" s="123"/>
      <c r="G132" s="123"/>
      <c r="H132" s="124"/>
    </row>
    <row r="133" spans="1:8" x14ac:dyDescent="0.4">
      <c r="A133" s="73" t="s">
        <v>31</v>
      </c>
      <c r="B133" s="132"/>
      <c r="C133" s="133"/>
      <c r="D133" s="134"/>
      <c r="E133" s="6" t="s">
        <v>32</v>
      </c>
      <c r="F133" s="6" t="s">
        <v>33</v>
      </c>
      <c r="G133" s="6" t="s">
        <v>34</v>
      </c>
      <c r="H133" s="82"/>
    </row>
    <row r="134" spans="1:8" x14ac:dyDescent="0.4">
      <c r="A134" s="68" t="s">
        <v>171</v>
      </c>
      <c r="B134" s="7">
        <v>2</v>
      </c>
      <c r="C134" s="7">
        <v>4</v>
      </c>
      <c r="D134" s="7">
        <v>2</v>
      </c>
      <c r="E134" s="7">
        <f>SUMPRODUCT(B$89:D$89,B134:D134)</f>
        <v>7</v>
      </c>
      <c r="F134" s="7" t="s">
        <v>36</v>
      </c>
      <c r="G134" s="7">
        <v>7</v>
      </c>
      <c r="H134" s="82"/>
    </row>
    <row r="135" spans="1:8" ht="16.8" thickBot="1" x14ac:dyDescent="0.45">
      <c r="A135" s="58" t="s">
        <v>172</v>
      </c>
      <c r="B135" s="25">
        <v>4</v>
      </c>
      <c r="C135" s="25">
        <v>1</v>
      </c>
      <c r="D135" s="25">
        <v>3</v>
      </c>
      <c r="E135" s="25">
        <f>SUMPRODUCT(B$89:D$89,B135:D135)</f>
        <v>3</v>
      </c>
      <c r="F135" s="25" t="s">
        <v>36</v>
      </c>
      <c r="G135" s="25">
        <v>3</v>
      </c>
      <c r="H135" s="83"/>
    </row>
    <row r="137" spans="1:8" s="113" customFormat="1" x14ac:dyDescent="0.4">
      <c r="A137" s="135" t="s">
        <v>195</v>
      </c>
    </row>
    <row r="139" spans="1:8" x14ac:dyDescent="0.4">
      <c r="A139" s="1" t="s">
        <v>196</v>
      </c>
    </row>
    <row r="140" spans="1:8" x14ac:dyDescent="0.4">
      <c r="A140" s="1" t="s">
        <v>197</v>
      </c>
    </row>
  </sheetData>
  <mergeCells count="51">
    <mergeCell ref="A132:H132"/>
    <mergeCell ref="B133:D133"/>
    <mergeCell ref="A137:XFD137"/>
    <mergeCell ref="A77:H77"/>
    <mergeCell ref="D78:H79"/>
    <mergeCell ref="E80:H80"/>
    <mergeCell ref="A81:H81"/>
    <mergeCell ref="B82:C82"/>
    <mergeCell ref="A87:H87"/>
    <mergeCell ref="F90:H90"/>
    <mergeCell ref="A91:H91"/>
    <mergeCell ref="A98:XFD98"/>
    <mergeCell ref="A103:XFD103"/>
    <mergeCell ref="A109:XFD109"/>
    <mergeCell ref="A96:XFD96"/>
    <mergeCell ref="A115:XFD115"/>
    <mergeCell ref="F131:H131"/>
    <mergeCell ref="E37:G37"/>
    <mergeCell ref="A8:B8"/>
    <mergeCell ref="A15:XFD15"/>
    <mergeCell ref="A126:XFD126"/>
    <mergeCell ref="A128:H128"/>
    <mergeCell ref="E129:H130"/>
    <mergeCell ref="J63:J64"/>
    <mergeCell ref="J68:J69"/>
    <mergeCell ref="A75:XFD75"/>
    <mergeCell ref="E88:H89"/>
    <mergeCell ref="B92:D92"/>
    <mergeCell ref="A51:XFD51"/>
    <mergeCell ref="A1:XFD1"/>
    <mergeCell ref="A3:A4"/>
    <mergeCell ref="B3:B4"/>
    <mergeCell ref="C3:D3"/>
    <mergeCell ref="F3:G3"/>
    <mergeCell ref="F4:G4"/>
    <mergeCell ref="F5:G5"/>
    <mergeCell ref="A28:XFD28"/>
    <mergeCell ref="A30:XFD30"/>
    <mergeCell ref="A120:XFD120"/>
    <mergeCell ref="D53:D54"/>
    <mergeCell ref="A53:A54"/>
    <mergeCell ref="A55:A59"/>
    <mergeCell ref="J53:J54"/>
    <mergeCell ref="J58:J59"/>
    <mergeCell ref="B58:C59"/>
    <mergeCell ref="B53:B54"/>
    <mergeCell ref="C53:C54"/>
    <mergeCell ref="A60:A64"/>
    <mergeCell ref="A65:A69"/>
    <mergeCell ref="B63:C64"/>
    <mergeCell ref="B68:C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vladislavlash@outlook.com</cp:lastModifiedBy>
  <dcterms:created xsi:type="dcterms:W3CDTF">2015-06-05T18:17:20Z</dcterms:created>
  <dcterms:modified xsi:type="dcterms:W3CDTF">2024-11-03T11:00:12Z</dcterms:modified>
</cp:coreProperties>
</file>