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7\"/>
    </mc:Choice>
  </mc:AlternateContent>
  <xr:revisionPtr revIDLastSave="0" documentId="13_ncr:1_{4068AA45-ADC5-4548-B084-D941BEAC54C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Задание 1" sheetId="9" r:id="rId1"/>
    <sheet name="Задание 2" sheetId="10" r:id="rId2"/>
  </sheets>
  <definedNames>
    <definedName name="solver_adj" localSheetId="1" hidden="1">'Задание 2'!$F$16:$F$20</definedName>
    <definedName name="solver_cvg" localSheetId="1" hidden="1">0.0001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'Задание 2'!$F$16:$F$20</definedName>
    <definedName name="solver_lhs2" localSheetId="1" hidden="1">'Задание 2'!$I$21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2</definedName>
    <definedName name="solver_nwt" localSheetId="1" hidden="1">1</definedName>
    <definedName name="solver_opt" localSheetId="0" hidden="1">'Задание 1'!$L$100</definedName>
    <definedName name="solver_opt" localSheetId="1" hidden="1">'Задание 2'!$B$24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hs1" localSheetId="1" hidden="1">0.0001</definedName>
    <definedName name="solver_rhs2" localSheetId="1" hidden="1">'Задание 2'!$B$23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7" i="9" l="1"/>
  <c r="B108" i="9"/>
  <c r="C91" i="9"/>
  <c r="F91" i="9"/>
  <c r="F90" i="9"/>
  <c r="D90" i="9"/>
  <c r="I61" i="9"/>
  <c r="B80" i="9"/>
  <c r="F63" i="9"/>
  <c r="F62" i="9"/>
  <c r="D62" i="9"/>
  <c r="H47" i="9"/>
  <c r="B50" i="9"/>
  <c r="F46" i="9"/>
  <c r="B28" i="9"/>
  <c r="B17" i="9"/>
  <c r="B51" i="9"/>
  <c r="G42" i="9"/>
  <c r="B41" i="9"/>
  <c r="F41" i="9"/>
  <c r="D41" i="9"/>
  <c r="F40" i="9"/>
  <c r="D40" i="9"/>
  <c r="B29" i="9"/>
  <c r="B18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C25" i="9"/>
  <c r="B25" i="9"/>
  <c r="B13" i="9"/>
  <c r="B14" i="9"/>
  <c r="C13" i="9"/>
  <c r="F14" i="9" l="1"/>
  <c r="G14" i="9"/>
  <c r="H14" i="9"/>
  <c r="I14" i="9"/>
  <c r="J14" i="9"/>
  <c r="K14" i="9"/>
  <c r="L14" i="9"/>
  <c r="M14" i="9"/>
  <c r="N14" i="9"/>
  <c r="O14" i="9"/>
  <c r="P14" i="9"/>
  <c r="Q14" i="9"/>
  <c r="D14" i="9"/>
  <c r="E14" i="9"/>
  <c r="C14" i="9"/>
  <c r="H19" i="10"/>
  <c r="J74" i="9" l="1"/>
  <c r="J73" i="9" s="1"/>
  <c r="J72" i="9" l="1"/>
  <c r="F4" i="10"/>
  <c r="I4" i="10" s="1"/>
  <c r="F5" i="10"/>
  <c r="I5" i="10" s="1"/>
  <c r="F6" i="10"/>
  <c r="H6" i="10" s="1"/>
  <c r="F7" i="10"/>
  <c r="I7" i="10" s="1"/>
  <c r="F3" i="10"/>
  <c r="I3" i="10" s="1"/>
  <c r="I17" i="10"/>
  <c r="I18" i="10"/>
  <c r="I19" i="10"/>
  <c r="I20" i="10"/>
  <c r="I16" i="10"/>
  <c r="H17" i="10"/>
  <c r="H18" i="10"/>
  <c r="H20" i="10"/>
  <c r="H16" i="10"/>
  <c r="G17" i="10"/>
  <c r="G18" i="10"/>
  <c r="G19" i="10"/>
  <c r="G20" i="10"/>
  <c r="G16" i="10"/>
  <c r="H89" i="9"/>
  <c r="J89" i="9"/>
  <c r="I89" i="9"/>
  <c r="A91" i="9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G89" i="9"/>
  <c r="H61" i="9"/>
  <c r="G61" i="9"/>
  <c r="K74" i="9"/>
  <c r="K73" i="9" s="1"/>
  <c r="I74" i="9"/>
  <c r="I73" i="9" s="1"/>
  <c r="A63" i="9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H39" i="9"/>
  <c r="G39" i="9"/>
  <c r="C40" i="9" s="1"/>
  <c r="A41" i="9"/>
  <c r="A42" i="9" s="1"/>
  <c r="A43" i="9" s="1"/>
  <c r="A44" i="9" s="1"/>
  <c r="A45" i="9" s="1"/>
  <c r="A46" i="9" s="1"/>
  <c r="A47" i="9" s="1"/>
  <c r="R24" i="9"/>
  <c r="B24" i="9"/>
  <c r="C23" i="9"/>
  <c r="D23" i="9" s="1"/>
  <c r="D24" i="9" s="1"/>
  <c r="C12" i="9"/>
  <c r="C24" i="9" l="1"/>
  <c r="B90" i="9"/>
  <c r="E13" i="9"/>
  <c r="D13" i="9"/>
  <c r="I6" i="10"/>
  <c r="B40" i="9"/>
  <c r="G7" i="10"/>
  <c r="H7" i="10"/>
  <c r="J71" i="9"/>
  <c r="G4" i="10"/>
  <c r="H4" i="10"/>
  <c r="G5" i="10"/>
  <c r="H5" i="10"/>
  <c r="G6" i="10"/>
  <c r="G3" i="10"/>
  <c r="H3" i="10"/>
  <c r="I8" i="10"/>
  <c r="G21" i="10"/>
  <c r="I21" i="10"/>
  <c r="H21" i="10"/>
  <c r="K72" i="9"/>
  <c r="I72" i="9"/>
  <c r="D12" i="9"/>
  <c r="E23" i="9"/>
  <c r="E24" i="9" s="1"/>
  <c r="B24" i="10" l="1"/>
  <c r="G13" i="9"/>
  <c r="F13" i="9"/>
  <c r="H8" i="10"/>
  <c r="G8" i="10"/>
  <c r="B11" i="10" s="1"/>
  <c r="J69" i="9"/>
  <c r="J70" i="9"/>
  <c r="K71" i="9"/>
  <c r="I71" i="9"/>
  <c r="E12" i="9"/>
  <c r="F23" i="9"/>
  <c r="F24" i="9" s="1"/>
  <c r="H40" i="9" l="1"/>
  <c r="G40" i="9"/>
  <c r="E40" i="9"/>
  <c r="I13" i="9"/>
  <c r="H13" i="9"/>
  <c r="J68" i="9"/>
  <c r="J67" i="9" s="1"/>
  <c r="K70" i="9"/>
  <c r="I70" i="9"/>
  <c r="F12" i="9"/>
  <c r="G23" i="9"/>
  <c r="G24" i="9" s="1"/>
  <c r="C41" i="9" l="1"/>
  <c r="K13" i="9"/>
  <c r="J13" i="9"/>
  <c r="J66" i="9"/>
  <c r="K69" i="9"/>
  <c r="K68" i="9" s="1"/>
  <c r="I69" i="9"/>
  <c r="G12" i="9"/>
  <c r="H23" i="9"/>
  <c r="H24" i="9" s="1"/>
  <c r="E41" i="9" l="1"/>
  <c r="G41" i="9"/>
  <c r="H41" i="9"/>
  <c r="M13" i="9"/>
  <c r="L13" i="9"/>
  <c r="J65" i="9"/>
  <c r="J64" i="9"/>
  <c r="K67" i="9"/>
  <c r="I68" i="9"/>
  <c r="H12" i="9"/>
  <c r="I23" i="9"/>
  <c r="I24" i="9" s="1"/>
  <c r="O13" i="9" l="1"/>
  <c r="N13" i="9"/>
  <c r="C42" i="9"/>
  <c r="F42" i="9" s="1"/>
  <c r="B42" i="9"/>
  <c r="D42" i="9" s="1"/>
  <c r="J62" i="9"/>
  <c r="J63" i="9"/>
  <c r="K66" i="9"/>
  <c r="I67" i="9"/>
  <c r="I12" i="9"/>
  <c r="J23" i="9"/>
  <c r="J24" i="9" s="1"/>
  <c r="E42" i="9" l="1"/>
  <c r="H42" i="9"/>
  <c r="Q13" i="9"/>
  <c r="P13" i="9"/>
  <c r="J61" i="9"/>
  <c r="K65" i="9"/>
  <c r="I66" i="9"/>
  <c r="I65" i="9" s="1"/>
  <c r="J12" i="9"/>
  <c r="K23" i="9"/>
  <c r="K24" i="9" s="1"/>
  <c r="B43" i="9" l="1"/>
  <c r="D43" i="9" s="1"/>
  <c r="C43" i="9"/>
  <c r="F43" i="9" s="1"/>
  <c r="K64" i="9"/>
  <c r="I64" i="9"/>
  <c r="K12" i="9"/>
  <c r="L23" i="9"/>
  <c r="L24" i="9" s="1"/>
  <c r="E43" i="9" l="1"/>
  <c r="H43" i="9"/>
  <c r="G43" i="9"/>
  <c r="C90" i="9"/>
  <c r="K63" i="9"/>
  <c r="I63" i="9"/>
  <c r="L12" i="9"/>
  <c r="M23" i="9"/>
  <c r="M24" i="9" s="1"/>
  <c r="I62" i="9" l="1"/>
  <c r="B44" i="9"/>
  <c r="D44" i="9" s="1"/>
  <c r="C44" i="9"/>
  <c r="F44" i="9" s="1"/>
  <c r="K62" i="9"/>
  <c r="C62" i="9" s="1"/>
  <c r="M12" i="9"/>
  <c r="N23" i="9"/>
  <c r="N24" i="9" s="1"/>
  <c r="E44" i="9" l="1"/>
  <c r="G44" i="9"/>
  <c r="H44" i="9"/>
  <c r="K61" i="9"/>
  <c r="B62" i="9"/>
  <c r="E90" i="9"/>
  <c r="N12" i="9"/>
  <c r="O23" i="9"/>
  <c r="O24" i="9" s="1"/>
  <c r="C45" i="9" l="1"/>
  <c r="F45" i="9" s="1"/>
  <c r="B45" i="9"/>
  <c r="D45" i="9" s="1"/>
  <c r="H90" i="9"/>
  <c r="G90" i="9"/>
  <c r="B91" i="9" s="1"/>
  <c r="D91" i="9" s="1"/>
  <c r="O12" i="9"/>
  <c r="P23" i="9"/>
  <c r="P24" i="9" s="1"/>
  <c r="P12" i="9" l="1"/>
  <c r="Q23" i="9"/>
  <c r="Q24" i="9" s="1"/>
  <c r="H91" i="9" l="1"/>
  <c r="H45" i="9"/>
  <c r="G45" i="9"/>
  <c r="E45" i="9"/>
  <c r="Q12" i="9"/>
  <c r="G91" i="9" l="1"/>
  <c r="E91" i="9"/>
  <c r="B46" i="9"/>
  <c r="D46" i="9" s="1"/>
  <c r="C46" i="9"/>
  <c r="C92" i="9"/>
  <c r="F92" i="9" s="1"/>
  <c r="B92" i="9"/>
  <c r="D92" i="9" s="1"/>
  <c r="H62" i="9"/>
  <c r="H46" i="9" l="1"/>
  <c r="G46" i="9"/>
  <c r="E46" i="9"/>
  <c r="G62" i="9"/>
  <c r="B63" i="9" s="1"/>
  <c r="D63" i="9" s="1"/>
  <c r="E92" i="9"/>
  <c r="H92" i="9"/>
  <c r="G92" i="9"/>
  <c r="E62" i="9"/>
  <c r="B47" i="9" l="1"/>
  <c r="D47" i="9" s="1"/>
  <c r="C47" i="9"/>
  <c r="F47" i="9" s="1"/>
  <c r="C93" i="9"/>
  <c r="F93" i="9" s="1"/>
  <c r="C63" i="9"/>
  <c r="B93" i="9"/>
  <c r="D93" i="9" s="1"/>
  <c r="E47" i="9" l="1"/>
  <c r="G47" i="9"/>
  <c r="H63" i="9"/>
  <c r="G63" i="9"/>
  <c r="B64" i="9" s="1"/>
  <c r="D64" i="9" s="1"/>
  <c r="E63" i="9"/>
  <c r="G93" i="9"/>
  <c r="E93" i="9"/>
  <c r="H93" i="9"/>
  <c r="C94" i="9" l="1"/>
  <c r="F94" i="9" s="1"/>
  <c r="C64" i="9"/>
  <c r="F64" i="9" s="1"/>
  <c r="B94" i="9"/>
  <c r="D94" i="9" s="1"/>
  <c r="H64" i="9" l="1"/>
  <c r="G64" i="9"/>
  <c r="E64" i="9"/>
  <c r="G94" i="9" l="1"/>
  <c r="H94" i="9"/>
  <c r="E94" i="9"/>
  <c r="B65" i="9"/>
  <c r="D65" i="9" s="1"/>
  <c r="C65" i="9"/>
  <c r="F65" i="9" s="1"/>
  <c r="B95" i="9" l="1"/>
  <c r="D95" i="9" s="1"/>
  <c r="C95" i="9"/>
  <c r="H65" i="9"/>
  <c r="G65" i="9"/>
  <c r="B66" i="9" s="1"/>
  <c r="D66" i="9" s="1"/>
  <c r="E65" i="9"/>
  <c r="F95" i="9" l="1"/>
  <c r="H95" i="9" s="1"/>
  <c r="C66" i="9"/>
  <c r="E95" i="9"/>
  <c r="G95" i="9"/>
  <c r="B96" i="9"/>
  <c r="D96" i="9" s="1"/>
  <c r="C96" i="9" l="1"/>
  <c r="F96" i="9" s="1"/>
  <c r="F66" i="9"/>
  <c r="C67" i="9"/>
  <c r="F67" i="9" s="1"/>
  <c r="G96" i="9"/>
  <c r="E66" i="9" l="1"/>
  <c r="H66" i="9"/>
  <c r="G66" i="9"/>
  <c r="B67" i="9" s="1"/>
  <c r="D67" i="9" s="1"/>
  <c r="E67" i="9" s="1"/>
  <c r="E96" i="9"/>
  <c r="H96" i="9"/>
  <c r="B97" i="9" s="1"/>
  <c r="D97" i="9" s="1"/>
  <c r="C97" i="9"/>
  <c r="F97" i="9" s="1"/>
  <c r="B68" i="9"/>
  <c r="D68" i="9" s="1"/>
  <c r="H67" i="9" l="1"/>
  <c r="G67" i="9"/>
  <c r="H97" i="9"/>
  <c r="E97" i="9"/>
  <c r="G97" i="9"/>
  <c r="C98" i="9" s="1"/>
  <c r="F98" i="9" s="1"/>
  <c r="C68" i="9" l="1"/>
  <c r="F68" i="9" s="1"/>
  <c r="B98" i="9"/>
  <c r="D98" i="9" l="1"/>
  <c r="E98" i="9" s="1"/>
  <c r="G68" i="9"/>
  <c r="H68" i="9"/>
  <c r="E68" i="9"/>
  <c r="C69" i="9"/>
  <c r="F69" i="9" s="1"/>
  <c r="G98" i="9" l="1"/>
  <c r="H98" i="9"/>
  <c r="B69" i="9"/>
  <c r="D69" i="9" s="1"/>
  <c r="G69" i="9" s="1"/>
  <c r="C99" i="9"/>
  <c r="F99" i="9" s="1"/>
  <c r="B99" i="9"/>
  <c r="B70" i="9"/>
  <c r="D70" i="9" s="1"/>
  <c r="E69" i="9"/>
  <c r="H69" i="9"/>
  <c r="C70" i="9" s="1"/>
  <c r="F70" i="9" s="1"/>
  <c r="D99" i="9" l="1"/>
  <c r="H99" i="9"/>
  <c r="E99" i="9"/>
  <c r="G99" i="9"/>
  <c r="E70" i="9"/>
  <c r="H70" i="9"/>
  <c r="G70" i="9"/>
  <c r="B71" i="9" s="1"/>
  <c r="D71" i="9" s="1"/>
  <c r="C100" i="9" l="1"/>
  <c r="F100" i="9" s="1"/>
  <c r="B100" i="9"/>
  <c r="D100" i="9" s="1"/>
  <c r="C71" i="9"/>
  <c r="F71" i="9" l="1"/>
  <c r="G71" i="9" s="1"/>
  <c r="E71" i="9"/>
  <c r="E100" i="9"/>
  <c r="G100" i="9"/>
  <c r="H100" i="9"/>
  <c r="B101" i="9" s="1"/>
  <c r="D101" i="9" s="1"/>
  <c r="B72" i="9"/>
  <c r="D72" i="9" s="1"/>
  <c r="H71" i="9" l="1"/>
  <c r="C72" i="9" s="1"/>
  <c r="F72" i="9" s="1"/>
  <c r="C101" i="9"/>
  <c r="F101" i="9" l="1"/>
  <c r="G101" i="9" s="1"/>
  <c r="G72" i="9"/>
  <c r="E72" i="9"/>
  <c r="H72" i="9"/>
  <c r="E101" i="9"/>
  <c r="H101" i="9"/>
  <c r="B102" i="9"/>
  <c r="D102" i="9" s="1"/>
  <c r="C73" i="9"/>
  <c r="F73" i="9" s="1"/>
  <c r="B73" i="9"/>
  <c r="D73" i="9" s="1"/>
  <c r="C102" i="9" l="1"/>
  <c r="F102" i="9" s="1"/>
  <c r="G102" i="9"/>
  <c r="H102" i="9"/>
  <c r="B103" i="9" s="1"/>
  <c r="D103" i="9" s="1"/>
  <c r="C103" i="9"/>
  <c r="F103" i="9" s="1"/>
  <c r="E102" i="9"/>
  <c r="E73" i="9"/>
  <c r="G73" i="9"/>
  <c r="H73" i="9"/>
  <c r="E103" i="9" l="1"/>
  <c r="H103" i="9"/>
  <c r="G103" i="9"/>
  <c r="C74" i="9"/>
  <c r="F74" i="9" s="1"/>
  <c r="B74" i="9"/>
  <c r="D74" i="9" s="1"/>
  <c r="C104" i="9" l="1"/>
  <c r="F104" i="9" s="1"/>
  <c r="B104" i="9"/>
  <c r="E74" i="9"/>
  <c r="G74" i="9"/>
  <c r="H74" i="9"/>
  <c r="D104" i="9" l="1"/>
  <c r="E104" i="9"/>
  <c r="B75" i="9"/>
  <c r="D75" i="9" s="1"/>
  <c r="C75" i="9"/>
  <c r="F75" i="9" s="1"/>
  <c r="G104" i="9" l="1"/>
  <c r="H104" i="9"/>
  <c r="E75" i="9"/>
  <c r="H75" i="9"/>
  <c r="G75" i="9"/>
  <c r="B76" i="9" s="1"/>
  <c r="D76" i="9" s="1"/>
  <c r="C76" i="9" l="1"/>
  <c r="F76" i="9" s="1"/>
  <c r="B79" i="9" l="1"/>
  <c r="E76" i="9" l="1"/>
  <c r="H76" i="9"/>
  <c r="G76" i="9"/>
</calcChain>
</file>

<file path=xl/sharedStrings.xml><?xml version="1.0" encoding="utf-8"?>
<sst xmlns="http://schemas.openxmlformats.org/spreadsheetml/2006/main" count="116" uniqueCount="49">
  <si>
    <t>x*</t>
  </si>
  <si>
    <t>f(x)</t>
  </si>
  <si>
    <t>Определить с помощью пассивного поиска минимум функции f (х), 
заданной на отрезке [0, 8]</t>
  </si>
  <si>
    <t>а) при N=16, ε = 0,1</t>
  </si>
  <si>
    <t>a</t>
  </si>
  <si>
    <t>b</t>
  </si>
  <si>
    <t>N</t>
  </si>
  <si>
    <t>ε</t>
  </si>
  <si>
    <t>Номер отсчета</t>
  </si>
  <si>
    <t>x</t>
  </si>
  <si>
    <t>Δ</t>
  </si>
  <si>
    <t>f*</t>
  </si>
  <si>
    <t>б) при N=17</t>
  </si>
  <si>
    <t>Определить методом дихотомии минимум функции f (х), заданной на отрезке [0, 8], при N=16, ε = 0,1</t>
  </si>
  <si>
    <r>
      <t xml:space="preserve">Номер </t>
    </r>
    <r>
      <rPr>
        <sz val="10"/>
        <color theme="1"/>
        <rFont val="Calibri"/>
        <family val="2"/>
        <charset val="204"/>
        <scheme val="minor"/>
      </rPr>
      <t>итерации</t>
    </r>
  </si>
  <si>
    <r>
      <t>x</t>
    </r>
    <r>
      <rPr>
        <sz val="8"/>
        <color theme="1"/>
        <rFont val="Calibri"/>
        <family val="2"/>
        <charset val="204"/>
        <scheme val="minor"/>
      </rPr>
      <t>1</t>
    </r>
  </si>
  <si>
    <r>
      <t>f</t>
    </r>
    <r>
      <rPr>
        <sz val="8"/>
        <color theme="1"/>
        <rFont val="Calibri"/>
        <family val="2"/>
        <charset val="204"/>
        <scheme val="minor"/>
      </rPr>
      <t>2</t>
    </r>
  </si>
  <si>
    <r>
      <t>f</t>
    </r>
    <r>
      <rPr>
        <sz val="8"/>
        <color theme="1"/>
        <rFont val="Calibri"/>
        <family val="2"/>
        <charset val="204"/>
        <scheme val="minor"/>
      </rPr>
      <t>1</t>
    </r>
  </si>
  <si>
    <r>
      <rPr>
        <sz val="11"/>
        <color theme="1"/>
        <rFont val="Calibri"/>
        <family val="2"/>
        <charset val="204"/>
        <scheme val="minor"/>
      </rPr>
      <t>x</t>
    </r>
    <r>
      <rPr>
        <sz val="8"/>
        <color theme="1"/>
        <rFont val="Calibri"/>
        <family val="2"/>
        <charset val="204"/>
        <scheme val="minor"/>
      </rPr>
      <t>2</t>
    </r>
  </si>
  <si>
    <t>-</t>
  </si>
  <si>
    <t>Определить методом Фибоначчи минимум функции f (х), заданной на отрезке [0, 8], при N=16, ε = 0,2</t>
  </si>
  <si>
    <r>
      <t>F</t>
    </r>
    <r>
      <rPr>
        <sz val="8"/>
        <color theme="1"/>
        <rFont val="Calibri"/>
        <family val="2"/>
        <charset val="204"/>
        <scheme val="minor"/>
      </rPr>
      <t>N-j-1</t>
    </r>
  </si>
  <si>
    <r>
      <t>F</t>
    </r>
    <r>
      <rPr>
        <sz val="8"/>
        <color theme="1"/>
        <rFont val="Calibri"/>
        <family val="2"/>
        <charset val="204"/>
        <scheme val="minor"/>
      </rPr>
      <t>N-j+1</t>
    </r>
  </si>
  <si>
    <t>&lt;=            &gt;</t>
  </si>
  <si>
    <t>Определить методом золотого сечения минимум функции f (х), заданной на отрезке [0, 8], при N=16</t>
  </si>
  <si>
    <r>
      <t>Ф</t>
    </r>
    <r>
      <rPr>
        <sz val="8"/>
        <color theme="1"/>
        <rFont val="Calibri"/>
        <family val="2"/>
        <charset val="204"/>
        <scheme val="minor"/>
      </rPr>
      <t>1</t>
    </r>
  </si>
  <si>
    <r>
      <t>Ф</t>
    </r>
    <r>
      <rPr>
        <sz val="8"/>
        <color theme="1"/>
        <rFont val="Calibri"/>
        <family val="2"/>
        <charset val="204"/>
        <scheme val="minor"/>
      </rPr>
      <t>2</t>
    </r>
  </si>
  <si>
    <t>I</t>
  </si>
  <si>
    <r>
      <t>V</t>
    </r>
    <r>
      <rPr>
        <sz val="8"/>
        <color theme="1"/>
        <rFont val="Calibri"/>
        <family val="2"/>
        <charset val="204"/>
        <scheme val="minor"/>
      </rPr>
      <t>i</t>
    </r>
  </si>
  <si>
    <r>
      <t>K</t>
    </r>
    <r>
      <rPr>
        <sz val="8"/>
        <color theme="1"/>
        <rFont val="Calibri"/>
        <family val="2"/>
        <charset val="204"/>
        <scheme val="minor"/>
      </rPr>
      <t>i</t>
    </r>
  </si>
  <si>
    <r>
      <t>S</t>
    </r>
    <r>
      <rPr>
        <sz val="8"/>
        <color theme="1"/>
        <rFont val="Calibri"/>
        <family val="2"/>
        <charset val="204"/>
        <scheme val="minor"/>
      </rPr>
      <t>i</t>
    </r>
  </si>
  <si>
    <r>
      <t>f</t>
    </r>
    <r>
      <rPr>
        <sz val="8"/>
        <color theme="1"/>
        <rFont val="Calibri"/>
        <family val="2"/>
        <charset val="204"/>
        <scheme val="minor"/>
      </rPr>
      <t>i</t>
    </r>
  </si>
  <si>
    <r>
      <t>q</t>
    </r>
    <r>
      <rPr>
        <sz val="8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0</t>
    </r>
  </si>
  <si>
    <t>Ki*Vi/qi0</t>
  </si>
  <si>
    <t>Si*qi</t>
  </si>
  <si>
    <t>fi*qi</t>
  </si>
  <si>
    <t>F</t>
  </si>
  <si>
    <t>L</t>
  </si>
  <si>
    <t>Оптимизация без ограничений на складские площади</t>
  </si>
  <si>
    <t>Оптимизация с ограничениями на складские площади</t>
  </si>
  <si>
    <r>
      <t>F</t>
    </r>
    <r>
      <rPr>
        <sz val="8"/>
        <color theme="1"/>
        <rFont val="Calibri"/>
        <family val="2"/>
        <charset val="204"/>
        <scheme val="minor"/>
      </rPr>
      <t>N-j</t>
    </r>
  </si>
  <si>
    <t>f(x) = x^2 - 7 * x + 6</t>
  </si>
  <si>
    <r>
      <t>[x6</t>
    </r>
    <r>
      <rPr>
        <sz val="11"/>
        <color theme="1"/>
        <rFont val="Calibri"/>
        <family val="2"/>
        <charset val="204"/>
        <scheme val="minor"/>
      </rPr>
      <t>;x8]</t>
    </r>
  </si>
  <si>
    <r>
      <t>[x7</t>
    </r>
    <r>
      <rPr>
        <sz val="11"/>
        <color theme="1"/>
        <rFont val="Calibri"/>
        <family val="2"/>
        <charset val="204"/>
        <scheme val="minor"/>
      </rPr>
      <t>;x9]</t>
    </r>
  </si>
  <si>
    <t>[3,11111; 4]</t>
  </si>
  <si>
    <t>[2,716667; 3,605556]</t>
  </si>
  <si>
    <t>[3.425391; 3.555625]</t>
  </si>
  <si>
    <t>[3.49462; 3.50154]</t>
  </si>
  <si>
    <t>[3.497928; 3.50379]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</si>
</sst>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Border="1" applyAlignment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9" xfId="0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7" xfId="0" applyFont="1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7" xfId="0" applyFill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0" fontId="0" fillId="0" borderId="7" xfId="0" applyFill="1" applyBorder="1" applyAlignment="1">
      <alignment horizontal="right" wrapText="1"/>
    </xf>
    <xf numFmtId="0" fontId="0" fillId="0" borderId="19" xfId="0" applyBorder="1"/>
    <xf numFmtId="0" fontId="0" fillId="0" borderId="20" xfId="0" applyBorder="1"/>
    <xf numFmtId="0" fontId="0" fillId="0" borderId="10" xfId="0" applyFill="1" applyBorder="1" applyAlignment="1">
      <alignment horizontal="center"/>
    </xf>
    <xf numFmtId="0" fontId="0" fillId="0" borderId="2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2" xfId="0" applyNumberFormat="1" applyBorder="1"/>
    <xf numFmtId="0" fontId="0" fillId="0" borderId="4" xfId="0" applyBorder="1" applyAlignment="1">
      <alignment horizontal="left" vertical="top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717176</xdr:colOff>
      <xdr:row>0</xdr:row>
      <xdr:rowOff>0</xdr:rowOff>
    </xdr:from>
    <xdr:to>
      <xdr:col>7</xdr:col>
      <xdr:colOff>170342</xdr:colOff>
      <xdr:row>1</xdr:row>
      <xdr:rowOff>122561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EDE73F7-11A6-497A-A38D-4883CD80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1941" y="0"/>
          <a:ext cx="2187401" cy="316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132826</xdr:rowOff>
    </xdr:from>
    <xdr:to>
      <xdr:col>8</xdr:col>
      <xdr:colOff>328268</xdr:colOff>
      <xdr:row>29</xdr:row>
      <xdr:rowOff>181161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E2E7DF-1642-4914-94C7-50E3835D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55626"/>
          <a:ext cx="5205068" cy="784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78D8-DCBD-40B5-90EE-710D7B331737}">
  <dimension ref="A1:R108"/>
  <sheetViews>
    <sheetView topLeftCell="A93" zoomScale="131" zoomScaleNormal="85" workbookViewId="0">
      <selection activeCell="B80" sqref="B80"/>
    </sheetView>
  </sheetViews>
  <sheetFormatPr defaultRowHeight="14.5" x14ac:dyDescent="0.35"/>
  <cols>
    <col min="2" max="2" width="12.1796875" customWidth="1"/>
    <col min="3" max="3" width="9.1796875" bestFit="1" customWidth="1"/>
    <col min="4" max="4" width="10.81640625" customWidth="1"/>
    <col min="6" max="6" width="10.81640625" customWidth="1"/>
  </cols>
  <sheetData>
    <row r="1" spans="1:18" ht="15" thickBot="1" x14ac:dyDescent="0.4">
      <c r="A1" s="37" t="s">
        <v>41</v>
      </c>
      <c r="B1" s="38"/>
      <c r="C1" s="39"/>
      <c r="D1" s="11"/>
      <c r="E1" s="1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ht="15" thickBot="1" x14ac:dyDescent="0.4"/>
    <row r="4" spans="1:18" ht="14.5" customHeight="1" x14ac:dyDescent="0.35">
      <c r="A4" s="48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9"/>
      <c r="M4" s="9"/>
      <c r="N4" s="9"/>
      <c r="O4" s="9"/>
      <c r="P4" s="9"/>
      <c r="Q4" s="9"/>
      <c r="R4" s="10"/>
    </row>
    <row r="5" spans="1:18" x14ac:dyDescent="0.35">
      <c r="A5" s="13" t="s">
        <v>4</v>
      </c>
      <c r="B5" s="7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/>
    </row>
    <row r="6" spans="1:18" x14ac:dyDescent="0.35">
      <c r="A6" s="13" t="s">
        <v>5</v>
      </c>
      <c r="B6" s="7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2"/>
    </row>
    <row r="7" spans="1:18" x14ac:dyDescent="0.35">
      <c r="A7" s="1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12"/>
    </row>
    <row r="8" spans="1:18" x14ac:dyDescent="0.35">
      <c r="A8" s="40" t="s">
        <v>3</v>
      </c>
      <c r="B8" s="4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2"/>
    </row>
    <row r="9" spans="1:18" x14ac:dyDescent="0.35">
      <c r="A9" s="13" t="s">
        <v>6</v>
      </c>
      <c r="B9" s="7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2"/>
    </row>
    <row r="10" spans="1:18" x14ac:dyDescent="0.35">
      <c r="A10" s="13" t="s">
        <v>7</v>
      </c>
      <c r="B10" s="7">
        <v>0.1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2"/>
    </row>
    <row r="11" spans="1:18" x14ac:dyDescent="0.35">
      <c r="A11" s="1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2"/>
    </row>
    <row r="12" spans="1:18" ht="29.5" customHeight="1" x14ac:dyDescent="0.35">
      <c r="A12" s="15" t="s">
        <v>8</v>
      </c>
      <c r="B12" s="1">
        <v>1</v>
      </c>
      <c r="C12" s="1">
        <f>B12+1</f>
        <v>2</v>
      </c>
      <c r="D12" s="1">
        <f t="shared" ref="D12:Q12" si="0">C12+1</f>
        <v>3</v>
      </c>
      <c r="E12" s="1">
        <f t="shared" si="0"/>
        <v>4</v>
      </c>
      <c r="F12" s="1">
        <f t="shared" si="0"/>
        <v>5</v>
      </c>
      <c r="G12" s="1">
        <f t="shared" si="0"/>
        <v>6</v>
      </c>
      <c r="H12" s="1">
        <f t="shared" si="0"/>
        <v>7</v>
      </c>
      <c r="I12" s="1">
        <f t="shared" si="0"/>
        <v>8</v>
      </c>
      <c r="J12" s="1">
        <f t="shared" si="0"/>
        <v>9</v>
      </c>
      <c r="K12" s="1">
        <f t="shared" si="0"/>
        <v>10</v>
      </c>
      <c r="L12" s="1">
        <f t="shared" si="0"/>
        <v>11</v>
      </c>
      <c r="M12" s="1">
        <f t="shared" si="0"/>
        <v>12</v>
      </c>
      <c r="N12" s="1">
        <f t="shared" si="0"/>
        <v>13</v>
      </c>
      <c r="O12" s="1">
        <f t="shared" si="0"/>
        <v>14</v>
      </c>
      <c r="P12" s="1">
        <f t="shared" si="0"/>
        <v>15</v>
      </c>
      <c r="Q12" s="1">
        <f t="shared" si="0"/>
        <v>16</v>
      </c>
      <c r="R12" s="12"/>
    </row>
    <row r="13" spans="1:18" x14ac:dyDescent="0.35">
      <c r="A13" s="16" t="s">
        <v>9</v>
      </c>
      <c r="B13" s="1">
        <f>$B$5+($B$6-$B$5)/($B$9/2+1)*B12-$B$10/2</f>
        <v>0.8388888888888888</v>
      </c>
      <c r="C13" s="1">
        <f>$B$5+($B$6-$B$5)/($B$9/2+1)*B12+$B$10/2</f>
        <v>0.93888888888888888</v>
      </c>
      <c r="D13" s="1">
        <f>$B$5+($B$6-$B$5)/($B$9/2+1)*C12-$B$10/2</f>
        <v>1.7277777777777776</v>
      </c>
      <c r="E13" s="1">
        <f>$B$5+($B$6-$B$5)/($B$9/2+1)*C12+$B$10/2</f>
        <v>1.8277777777777777</v>
      </c>
      <c r="F13" s="1">
        <f>$B$5+($B$6-$B$5)/($B$9/2+1)*D12-$B$10/2</f>
        <v>2.6166666666666667</v>
      </c>
      <c r="G13" s="1">
        <f>$B$5+($B$6-$B$5)/($B$9/2+1)*D12+$B$10/2</f>
        <v>2.7166666666666663</v>
      </c>
      <c r="H13" s="1">
        <f>$B$5+($B$6-$B$5)/($B$9/2+1)*E12-$B$10/2</f>
        <v>3.5055555555555555</v>
      </c>
      <c r="I13" s="1">
        <f>$B$5+($B$6-$B$5)/($B$9/2+1)*E12+$B$10/2</f>
        <v>3.6055555555555552</v>
      </c>
      <c r="J13" s="1">
        <f>$B$5+($B$6-$B$5)/($B$9/2+1)*F12-$B$10/2</f>
        <v>4.3944444444444448</v>
      </c>
      <c r="K13" s="1">
        <f>$B$5+($B$6-$B$5)/($B$9/2+1)*F12+$B$10/2</f>
        <v>4.4944444444444445</v>
      </c>
      <c r="L13" s="1">
        <f>$B$5+($B$6-$B$5)/($B$9/2+1)*G12-$B$10/2</f>
        <v>5.2833333333333332</v>
      </c>
      <c r="M13" s="1">
        <f>$B$5+($B$6-$B$5)/($B$9/2+1)*G12+$B$10/2</f>
        <v>5.3833333333333329</v>
      </c>
      <c r="N13" s="1">
        <f>$B$5+($B$6-$B$5)/($B$9/2+1)*H12-$B$10/2</f>
        <v>6.1722222222222216</v>
      </c>
      <c r="O13" s="1">
        <f>$B$5+($B$6-$B$5)/($B$9/2+1)*H12+$B$10/2</f>
        <v>6.2722222222222213</v>
      </c>
      <c r="P13" s="1">
        <f>$B$5+($B$6-$B$5)/($B$9/2+1)*I12-$B$10/2</f>
        <v>7.0611111111111109</v>
      </c>
      <c r="Q13" s="1">
        <f>$B$5+($B$6-$B$5)/($B$9/2+1)*I12+$B$10/2</f>
        <v>7.1611111111111105</v>
      </c>
      <c r="R13" s="12"/>
    </row>
    <row r="14" spans="1:18" x14ac:dyDescent="0.35">
      <c r="A14" s="16" t="s">
        <v>1</v>
      </c>
      <c r="B14" s="1">
        <f>B13*B13-7*B13+6</f>
        <v>0.83151234567901255</v>
      </c>
      <c r="C14" s="1">
        <f>C13*C13-7*C13+6</f>
        <v>0.30929012345679041</v>
      </c>
      <c r="D14" s="1">
        <f t="shared" ref="D14:E14" si="1">D13*D13-7*D13+6</f>
        <v>-3.1092283950617272</v>
      </c>
      <c r="E14" s="1">
        <f t="shared" si="1"/>
        <v>-3.4536728395061722</v>
      </c>
      <c r="F14" s="1">
        <f t="shared" ref="F14" si="2">F13*F13-7*F13+6</f>
        <v>-5.4697222222222219</v>
      </c>
      <c r="G14" s="1">
        <f t="shared" ref="G14" si="3">G13*G13-7*G13+6</f>
        <v>-5.6363888888888898</v>
      </c>
      <c r="H14" s="1">
        <f t="shared" ref="H14" si="4">H13*H13-7*H13+6</f>
        <v>-6.249969135802468</v>
      </c>
      <c r="I14" s="1">
        <f t="shared" ref="I14" si="5">I13*I13-7*I13+6</f>
        <v>-6.2388580246913588</v>
      </c>
      <c r="J14" s="1">
        <f t="shared" ref="J14" si="6">J13*J13-7*J13+6</f>
        <v>-5.4499691358024691</v>
      </c>
      <c r="K14" s="1">
        <f t="shared" ref="K14" si="7">K13*K13-7*K13+6</f>
        <v>-5.2610802469135827</v>
      </c>
      <c r="L14" s="1">
        <f t="shared" ref="L14" si="8">L13*L13-7*L13+6</f>
        <v>-3.0697222222222251</v>
      </c>
      <c r="M14" s="1">
        <f t="shared" ref="M14" si="9">M13*M13-7*M13+6</f>
        <v>-2.703055555555558</v>
      </c>
      <c r="N14" s="1">
        <f t="shared" ref="N14" si="10">N13*N13-7*N13+6</f>
        <v>0.89077160493827279</v>
      </c>
      <c r="O14" s="1">
        <f t="shared" ref="O14" si="11">O13*O13-7*O13+6</f>
        <v>1.43521604938271</v>
      </c>
      <c r="P14" s="1">
        <f t="shared" ref="P14" si="12">P13*P13-7*P13+6</f>
        <v>6.4315123456790104</v>
      </c>
      <c r="Q14" s="1">
        <f t="shared" ref="Q14" si="13">Q13*Q13-7*Q13+6</f>
        <v>7.1537345679012319</v>
      </c>
      <c r="R14" s="12"/>
    </row>
    <row r="15" spans="1:18" x14ac:dyDescent="0.35">
      <c r="A15" s="1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2"/>
    </row>
    <row r="16" spans="1:18" x14ac:dyDescent="0.35">
      <c r="A16" s="17" t="s">
        <v>10</v>
      </c>
      <c r="B16" s="1" t="s">
        <v>42</v>
      </c>
      <c r="C16" s="41" t="s">
        <v>45</v>
      </c>
      <c r="D16" s="4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2"/>
    </row>
    <row r="17" spans="1:18" x14ac:dyDescent="0.35">
      <c r="A17" s="16" t="s">
        <v>0</v>
      </c>
      <c r="B17" s="1">
        <f>H13</f>
        <v>3.5055555555555555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2"/>
    </row>
    <row r="18" spans="1:18" x14ac:dyDescent="0.35">
      <c r="A18" s="16" t="s">
        <v>11</v>
      </c>
      <c r="B18" s="1">
        <f>MIN(B14:Q14)</f>
        <v>-6.249969135802468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2"/>
    </row>
    <row r="19" spans="1:18" x14ac:dyDescent="0.35">
      <c r="A19" s="1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2"/>
    </row>
    <row r="20" spans="1:18" x14ac:dyDescent="0.35">
      <c r="A20" s="40" t="s">
        <v>12</v>
      </c>
      <c r="B20" s="4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2"/>
    </row>
    <row r="21" spans="1:18" x14ac:dyDescent="0.35">
      <c r="A21" s="13" t="s">
        <v>6</v>
      </c>
      <c r="B21" s="7">
        <v>17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2"/>
    </row>
    <row r="22" spans="1:18" x14ac:dyDescent="0.35">
      <c r="A22" s="18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2"/>
    </row>
    <row r="23" spans="1:18" ht="29" x14ac:dyDescent="0.35">
      <c r="A23" s="15" t="s">
        <v>8</v>
      </c>
      <c r="B23" s="1">
        <v>1</v>
      </c>
      <c r="C23" s="1">
        <f>B23+1</f>
        <v>2</v>
      </c>
      <c r="D23" s="1">
        <f t="shared" ref="D23:Q23" si="14">C23+1</f>
        <v>3</v>
      </c>
      <c r="E23" s="1">
        <f t="shared" si="14"/>
        <v>4</v>
      </c>
      <c r="F23" s="1">
        <f t="shared" si="14"/>
        <v>5</v>
      </c>
      <c r="G23" s="1">
        <f t="shared" si="14"/>
        <v>6</v>
      </c>
      <c r="H23" s="1">
        <f t="shared" si="14"/>
        <v>7</v>
      </c>
      <c r="I23" s="1">
        <f t="shared" si="14"/>
        <v>8</v>
      </c>
      <c r="J23" s="1">
        <f t="shared" si="14"/>
        <v>9</v>
      </c>
      <c r="K23" s="1">
        <f t="shared" si="14"/>
        <v>10</v>
      </c>
      <c r="L23" s="1">
        <f t="shared" si="14"/>
        <v>11</v>
      </c>
      <c r="M23" s="1">
        <f t="shared" si="14"/>
        <v>12</v>
      </c>
      <c r="N23" s="1">
        <f t="shared" si="14"/>
        <v>13</v>
      </c>
      <c r="O23" s="1">
        <f t="shared" si="14"/>
        <v>14</v>
      </c>
      <c r="P23" s="1">
        <f t="shared" si="14"/>
        <v>15</v>
      </c>
      <c r="Q23" s="1">
        <f t="shared" si="14"/>
        <v>16</v>
      </c>
      <c r="R23" s="19">
        <v>17</v>
      </c>
    </row>
    <row r="24" spans="1:18" x14ac:dyDescent="0.35">
      <c r="A24" s="16" t="s">
        <v>9</v>
      </c>
      <c r="B24" s="1">
        <f>$B$5+($B$6-$B$5)/($B$21+1)*B23</f>
        <v>0.44444444444444442</v>
      </c>
      <c r="C24" s="1">
        <f t="shared" ref="C24:R24" si="15">$B$5+($B$6-$B$5)/($B$21+1)*C23</f>
        <v>0.88888888888888884</v>
      </c>
      <c r="D24" s="1">
        <f t="shared" si="15"/>
        <v>1.3333333333333333</v>
      </c>
      <c r="E24" s="1">
        <f t="shared" si="15"/>
        <v>1.7777777777777777</v>
      </c>
      <c r="F24" s="1">
        <f t="shared" si="15"/>
        <v>2.2222222222222223</v>
      </c>
      <c r="G24" s="1">
        <f t="shared" si="15"/>
        <v>2.6666666666666665</v>
      </c>
      <c r="H24" s="1">
        <f t="shared" si="15"/>
        <v>3.1111111111111107</v>
      </c>
      <c r="I24" s="1">
        <f t="shared" si="15"/>
        <v>3.5555555555555554</v>
      </c>
      <c r="J24" s="1">
        <f t="shared" si="15"/>
        <v>4</v>
      </c>
      <c r="K24" s="1">
        <f t="shared" si="15"/>
        <v>4.4444444444444446</v>
      </c>
      <c r="L24" s="1">
        <f t="shared" si="15"/>
        <v>4.8888888888888884</v>
      </c>
      <c r="M24" s="1">
        <f t="shared" si="15"/>
        <v>5.333333333333333</v>
      </c>
      <c r="N24" s="1">
        <f t="shared" si="15"/>
        <v>5.7777777777777777</v>
      </c>
      <c r="O24" s="1">
        <f t="shared" si="15"/>
        <v>6.2222222222222214</v>
      </c>
      <c r="P24" s="1">
        <f t="shared" si="15"/>
        <v>6.6666666666666661</v>
      </c>
      <c r="Q24" s="1">
        <f t="shared" si="15"/>
        <v>7.1111111111111107</v>
      </c>
      <c r="R24" s="32">
        <f t="shared" si="15"/>
        <v>7.5555555555555554</v>
      </c>
    </row>
    <row r="25" spans="1:18" x14ac:dyDescent="0.35">
      <c r="A25" s="16" t="s">
        <v>1</v>
      </c>
      <c r="B25" s="1">
        <f>B24*B24-7*B24+6</f>
        <v>3.0864197530864201</v>
      </c>
      <c r="C25" s="1">
        <f>C24*C24-7*C24+6</f>
        <v>0.56790123456790198</v>
      </c>
      <c r="D25" s="1">
        <f t="shared" ref="D25:R25" si="16">D24*D24-7*D24+6</f>
        <v>-1.5555555555555545</v>
      </c>
      <c r="E25" s="1">
        <f t="shared" si="16"/>
        <v>-3.2839506172839492</v>
      </c>
      <c r="F25" s="1">
        <f t="shared" si="16"/>
        <v>-4.6172839506172849</v>
      </c>
      <c r="G25" s="1">
        <f t="shared" si="16"/>
        <v>-5.5555555555555536</v>
      </c>
      <c r="H25" s="1">
        <f t="shared" si="16"/>
        <v>-6.0987654320987659</v>
      </c>
      <c r="I25" s="1">
        <f t="shared" si="16"/>
        <v>-6.2469135802469111</v>
      </c>
      <c r="J25" s="1">
        <f t="shared" si="16"/>
        <v>-6</v>
      </c>
      <c r="K25" s="1">
        <f t="shared" si="16"/>
        <v>-5.3580246913580254</v>
      </c>
      <c r="L25" s="1">
        <f t="shared" si="16"/>
        <v>-4.3209876543209909</v>
      </c>
      <c r="M25" s="1">
        <f t="shared" si="16"/>
        <v>-2.8888888888888857</v>
      </c>
      <c r="N25" s="1">
        <f t="shared" si="16"/>
        <v>-1.0617283950617278</v>
      </c>
      <c r="O25" s="1">
        <f t="shared" si="16"/>
        <v>1.1604938271604865</v>
      </c>
      <c r="P25" s="1">
        <f t="shared" si="16"/>
        <v>3.7777777777777715</v>
      </c>
      <c r="Q25" s="1">
        <f t="shared" si="16"/>
        <v>6.790123456790127</v>
      </c>
      <c r="R25" s="1">
        <f t="shared" si="16"/>
        <v>10.197530864197532</v>
      </c>
    </row>
    <row r="26" spans="1:18" x14ac:dyDescent="0.35">
      <c r="A26" s="1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2"/>
    </row>
    <row r="27" spans="1:18" x14ac:dyDescent="0.35">
      <c r="A27" s="17" t="s">
        <v>10</v>
      </c>
      <c r="B27" s="1" t="s">
        <v>43</v>
      </c>
      <c r="C27" s="41" t="s">
        <v>44</v>
      </c>
      <c r="D27" s="4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2"/>
    </row>
    <row r="28" spans="1:18" x14ac:dyDescent="0.35">
      <c r="A28" s="16" t="s">
        <v>0</v>
      </c>
      <c r="B28" s="1">
        <f>I24</f>
        <v>3.5555555555555554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2"/>
    </row>
    <row r="29" spans="1:18" ht="15" thickBot="1" x14ac:dyDescent="0.4">
      <c r="A29" s="20" t="s">
        <v>11</v>
      </c>
      <c r="B29" s="21">
        <f>MIN(B25:R25)</f>
        <v>-6.2469135802469111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3"/>
    </row>
    <row r="31" spans="1:18" ht="15" thickBot="1" x14ac:dyDescent="0.4"/>
    <row r="32" spans="1:18" x14ac:dyDescent="0.35">
      <c r="A32" s="45" t="s">
        <v>13</v>
      </c>
      <c r="B32" s="46"/>
      <c r="C32" s="46"/>
      <c r="D32" s="46"/>
      <c r="E32" s="46"/>
      <c r="F32" s="46"/>
      <c r="G32" s="46"/>
      <c r="H32" s="46"/>
      <c r="I32" s="46"/>
      <c r="J32" s="46"/>
      <c r="K32" s="47"/>
    </row>
    <row r="33" spans="1:11" x14ac:dyDescent="0.35">
      <c r="A33" s="13" t="s">
        <v>4</v>
      </c>
      <c r="B33" s="7">
        <v>0</v>
      </c>
      <c r="C33" s="3"/>
      <c r="D33" s="3"/>
      <c r="E33" s="3"/>
      <c r="F33" s="3"/>
      <c r="G33" s="3"/>
      <c r="H33" s="3"/>
      <c r="I33" s="3"/>
      <c r="J33" s="3"/>
      <c r="K33" s="12"/>
    </row>
    <row r="34" spans="1:11" x14ac:dyDescent="0.35">
      <c r="A34" s="13" t="s">
        <v>5</v>
      </c>
      <c r="B34" s="7">
        <v>8</v>
      </c>
      <c r="C34" s="3"/>
      <c r="D34" s="3"/>
      <c r="E34" s="3"/>
      <c r="F34" s="3"/>
      <c r="G34" s="3"/>
      <c r="H34" s="3"/>
      <c r="I34" s="3"/>
      <c r="J34" s="3"/>
      <c r="K34" s="12"/>
    </row>
    <row r="35" spans="1:11" x14ac:dyDescent="0.35">
      <c r="A35" s="13" t="s">
        <v>6</v>
      </c>
      <c r="B35" s="7">
        <v>16</v>
      </c>
      <c r="C35" s="3"/>
      <c r="D35" s="3"/>
      <c r="E35" s="3"/>
      <c r="F35" s="3"/>
      <c r="G35" s="3"/>
      <c r="H35" s="3"/>
      <c r="I35" s="3"/>
      <c r="J35" s="3"/>
      <c r="K35" s="12"/>
    </row>
    <row r="36" spans="1:11" x14ac:dyDescent="0.35">
      <c r="A36" s="13" t="s">
        <v>7</v>
      </c>
      <c r="B36" s="7">
        <v>0.1</v>
      </c>
      <c r="C36" s="3"/>
      <c r="D36" s="3"/>
      <c r="E36" s="3"/>
      <c r="F36" s="3"/>
      <c r="G36" s="3"/>
      <c r="H36" s="3"/>
      <c r="I36" s="3"/>
      <c r="J36" s="3"/>
      <c r="K36" s="12"/>
    </row>
    <row r="37" spans="1:11" x14ac:dyDescent="0.35">
      <c r="A37" s="14"/>
      <c r="B37" s="3"/>
      <c r="C37" s="3"/>
      <c r="D37" s="3"/>
      <c r="E37" s="3"/>
      <c r="F37" s="3"/>
      <c r="G37" s="3"/>
      <c r="H37" s="3"/>
      <c r="I37" s="3"/>
      <c r="J37" s="3"/>
      <c r="K37" s="12"/>
    </row>
    <row r="38" spans="1:11" ht="29" x14ac:dyDescent="0.35">
      <c r="A38" s="26" t="s">
        <v>14</v>
      </c>
      <c r="B38" s="5" t="s">
        <v>15</v>
      </c>
      <c r="C38" s="24" t="s">
        <v>18</v>
      </c>
      <c r="D38" s="5" t="s">
        <v>17</v>
      </c>
      <c r="E38" s="25" t="s">
        <v>23</v>
      </c>
      <c r="F38" s="5" t="s">
        <v>16</v>
      </c>
      <c r="G38" s="5" t="s">
        <v>4</v>
      </c>
      <c r="H38" s="5" t="s">
        <v>5</v>
      </c>
      <c r="I38" s="3"/>
      <c r="J38" s="3"/>
      <c r="K38" s="12"/>
    </row>
    <row r="39" spans="1:11" x14ac:dyDescent="0.35">
      <c r="A39" s="28">
        <v>0</v>
      </c>
      <c r="B39" s="5" t="s">
        <v>19</v>
      </c>
      <c r="C39" s="5" t="s">
        <v>19</v>
      </c>
      <c r="D39" s="5" t="s">
        <v>19</v>
      </c>
      <c r="E39" s="5"/>
      <c r="F39" s="5" t="s">
        <v>19</v>
      </c>
      <c r="G39" s="1">
        <f>B33</f>
        <v>0</v>
      </c>
      <c r="H39" s="1">
        <f>B34</f>
        <v>8</v>
      </c>
      <c r="I39" s="3"/>
      <c r="J39" s="3"/>
      <c r="K39" s="12"/>
    </row>
    <row r="40" spans="1:11" x14ac:dyDescent="0.35">
      <c r="A40" s="16">
        <v>1</v>
      </c>
      <c r="B40" s="1">
        <f>1/2*(G39+H39)-$B$36/2</f>
        <v>3.95</v>
      </c>
      <c r="C40" s="1">
        <f>1/2*(G39+H39)+$B$36/2</f>
        <v>4.05</v>
      </c>
      <c r="D40" s="1">
        <f>B40*B40-7*B40+6</f>
        <v>-6.0475000000000012</v>
      </c>
      <c r="E40" s="5" t="str">
        <f>IF(D40&lt;=F40, "&lt;=", "&gt;")</f>
        <v>&lt;=</v>
      </c>
      <c r="F40" s="1">
        <f>C40*C40-7*C40+6</f>
        <v>-5.947499999999998</v>
      </c>
      <c r="G40" s="1">
        <f>IF(D40&lt;=F40, G39,B40)</f>
        <v>0</v>
      </c>
      <c r="H40" s="1">
        <f>IF(D40&lt;=F40, C40, H39)</f>
        <v>4.05</v>
      </c>
      <c r="I40" s="3"/>
      <c r="J40" s="3"/>
      <c r="K40" s="12"/>
    </row>
    <row r="41" spans="1:11" x14ac:dyDescent="0.35">
      <c r="A41" s="16">
        <f>A40+1</f>
        <v>2</v>
      </c>
      <c r="B41" s="1">
        <f>1/2*(G40+H40)-$B$36/2</f>
        <v>1.9749999999999999</v>
      </c>
      <c r="C41" s="1">
        <f t="shared" ref="C41:C46" si="17">1/2*(G40+H40)+$B$36/2</f>
        <v>2.0749999999999997</v>
      </c>
      <c r="D41" s="1">
        <f t="shared" ref="D41:D47" si="18">B41*B41-7*B41+6</f>
        <v>-3.9243749999999995</v>
      </c>
      <c r="E41" s="5" t="str">
        <f t="shared" ref="E41:E47" si="19">IF(D41&lt;=F41, "&lt;=", "&gt;")</f>
        <v>&gt;</v>
      </c>
      <c r="F41" s="1">
        <f t="shared" ref="F41:F47" si="20">C41*C41-7*C41+6</f>
        <v>-4.2193749999999994</v>
      </c>
      <c r="G41" s="1">
        <f t="shared" ref="G41:G46" si="21">IF(D41&lt;=F41, G40,B41)</f>
        <v>1.9749999999999999</v>
      </c>
      <c r="H41" s="1">
        <f t="shared" ref="H41:H46" si="22">IF(D41&lt;=F41, C41, H40)</f>
        <v>4.05</v>
      </c>
      <c r="I41" s="3"/>
      <c r="J41" s="3"/>
      <c r="K41" s="12"/>
    </row>
    <row r="42" spans="1:11" x14ac:dyDescent="0.35">
      <c r="A42" s="16">
        <f t="shared" ref="A42:A46" si="23">A41+1</f>
        <v>3</v>
      </c>
      <c r="B42" s="1">
        <f t="shared" ref="B41:B46" si="24">1/2*(G41+H41)-$B$36/2</f>
        <v>2.9624999999999999</v>
      </c>
      <c r="C42" s="1">
        <f t="shared" si="17"/>
        <v>3.0624999999999996</v>
      </c>
      <c r="D42" s="1">
        <f t="shared" si="18"/>
        <v>-5.9610937500000016</v>
      </c>
      <c r="E42" s="5" t="str">
        <f t="shared" si="19"/>
        <v>&gt;</v>
      </c>
      <c r="F42" s="1">
        <f t="shared" si="20"/>
        <v>-6.05859375</v>
      </c>
      <c r="G42" s="1">
        <f>IF(D42&lt;=F42, G41,B42)</f>
        <v>2.9624999999999999</v>
      </c>
      <c r="H42" s="1">
        <f t="shared" si="22"/>
        <v>4.05</v>
      </c>
      <c r="I42" s="3"/>
      <c r="J42" s="3"/>
      <c r="K42" s="12"/>
    </row>
    <row r="43" spans="1:11" x14ac:dyDescent="0.35">
      <c r="A43" s="16">
        <f t="shared" si="23"/>
        <v>4</v>
      </c>
      <c r="B43" s="1">
        <f t="shared" si="24"/>
        <v>3.4562499999999998</v>
      </c>
      <c r="C43" s="1">
        <f t="shared" si="17"/>
        <v>3.5562499999999995</v>
      </c>
      <c r="D43" s="1">
        <f t="shared" si="18"/>
        <v>-6.2480859374999991</v>
      </c>
      <c r="E43" s="5" t="str">
        <f t="shared" si="19"/>
        <v>&lt;=</v>
      </c>
      <c r="F43" s="1">
        <f t="shared" si="20"/>
        <v>-6.2468359375000002</v>
      </c>
      <c r="G43" s="1">
        <f t="shared" si="21"/>
        <v>2.9624999999999999</v>
      </c>
      <c r="H43" s="1">
        <f t="shared" si="22"/>
        <v>3.5562499999999995</v>
      </c>
      <c r="I43" s="3"/>
      <c r="J43" s="3"/>
      <c r="K43" s="12"/>
    </row>
    <row r="44" spans="1:11" x14ac:dyDescent="0.35">
      <c r="A44" s="16">
        <f t="shared" si="23"/>
        <v>5</v>
      </c>
      <c r="B44" s="1">
        <f t="shared" si="24"/>
        <v>3.2093749999999996</v>
      </c>
      <c r="C44" s="1">
        <f t="shared" si="17"/>
        <v>3.3093749999999993</v>
      </c>
      <c r="D44" s="1">
        <f t="shared" si="18"/>
        <v>-6.1655371093749984</v>
      </c>
      <c r="E44" s="5" t="str">
        <f t="shared" si="19"/>
        <v>&gt;</v>
      </c>
      <c r="F44" s="1">
        <f t="shared" si="20"/>
        <v>-6.2136621093749991</v>
      </c>
      <c r="G44" s="1">
        <f t="shared" si="21"/>
        <v>3.2093749999999996</v>
      </c>
      <c r="H44" s="1">
        <f t="shared" si="22"/>
        <v>3.5562499999999995</v>
      </c>
      <c r="I44" s="3"/>
      <c r="J44" s="3"/>
      <c r="K44" s="12"/>
    </row>
    <row r="45" spans="1:11" x14ac:dyDescent="0.35">
      <c r="A45" s="16">
        <f t="shared" si="23"/>
        <v>6</v>
      </c>
      <c r="B45" s="1">
        <f t="shared" si="24"/>
        <v>3.3328124999999997</v>
      </c>
      <c r="C45" s="1">
        <f t="shared" si="17"/>
        <v>3.4328124999999994</v>
      </c>
      <c r="D45" s="1">
        <f t="shared" si="18"/>
        <v>-6.2220483398437505</v>
      </c>
      <c r="E45" s="5" t="str">
        <f t="shared" si="19"/>
        <v>&gt;</v>
      </c>
      <c r="F45" s="1">
        <f t="shared" si="20"/>
        <v>-6.2454858398437487</v>
      </c>
      <c r="G45" s="1">
        <f t="shared" si="21"/>
        <v>3.3328124999999997</v>
      </c>
      <c r="H45" s="1">
        <f t="shared" si="22"/>
        <v>3.5562499999999995</v>
      </c>
      <c r="I45" s="3"/>
      <c r="J45" s="3"/>
      <c r="K45" s="12"/>
    </row>
    <row r="46" spans="1:11" x14ac:dyDescent="0.35">
      <c r="A46" s="16">
        <f t="shared" si="23"/>
        <v>7</v>
      </c>
      <c r="B46" s="1">
        <f t="shared" si="24"/>
        <v>3.39453125</v>
      </c>
      <c r="C46" s="1">
        <f t="shared" si="17"/>
        <v>3.4945312499999996</v>
      </c>
      <c r="D46" s="1">
        <f t="shared" si="18"/>
        <v>-6.2388763427734375</v>
      </c>
      <c r="E46" s="5" t="str">
        <f t="shared" si="19"/>
        <v>&gt;</v>
      </c>
      <c r="F46" s="1">
        <f>C46*C46-7*C46+6</f>
        <v>-6.2499700927734363</v>
      </c>
      <c r="G46" s="1">
        <f t="shared" si="21"/>
        <v>3.39453125</v>
      </c>
      <c r="H46" s="1">
        <f t="shared" si="22"/>
        <v>3.5562499999999995</v>
      </c>
      <c r="I46" s="3"/>
      <c r="J46" s="3"/>
      <c r="K46" s="12"/>
    </row>
    <row r="47" spans="1:11" x14ac:dyDescent="0.35">
      <c r="A47" s="16">
        <f>A46+1</f>
        <v>8</v>
      </c>
      <c r="B47" s="1">
        <f t="shared" ref="B47" si="25">1/2*(G46+H46)-$B$36/2</f>
        <v>3.4253906249999999</v>
      </c>
      <c r="C47" s="1">
        <f t="shared" ref="C47" si="26">1/2*(G46+H46)+$B$36/2</f>
        <v>3.5253906249999996</v>
      </c>
      <c r="D47" s="1">
        <f t="shared" si="18"/>
        <v>-6.2444334411621103</v>
      </c>
      <c r="E47" s="5" t="str">
        <f t="shared" si="19"/>
        <v>&gt;</v>
      </c>
      <c r="F47" s="1">
        <f t="shared" si="20"/>
        <v>-6.2493553161621094</v>
      </c>
      <c r="G47" s="1">
        <f t="shared" ref="G47" si="27">IF(D47&lt;=F47, G46,B47)</f>
        <v>3.4253906249999999</v>
      </c>
      <c r="H47" s="1">
        <f>IF(D47&lt;=F47, C47, H46)</f>
        <v>3.5562499999999995</v>
      </c>
      <c r="I47" s="3"/>
      <c r="J47" s="3"/>
      <c r="K47" s="12"/>
    </row>
    <row r="48" spans="1:11" x14ac:dyDescent="0.35">
      <c r="A48" s="14"/>
      <c r="B48" s="3"/>
      <c r="C48" s="3"/>
      <c r="D48" s="3"/>
      <c r="E48" s="3"/>
      <c r="F48" s="3"/>
      <c r="G48" s="3"/>
      <c r="H48" s="3"/>
      <c r="I48" s="3"/>
      <c r="J48" s="3"/>
      <c r="K48" s="12"/>
    </row>
    <row r="49" spans="1:11" x14ac:dyDescent="0.35">
      <c r="A49" s="17" t="s">
        <v>10</v>
      </c>
      <c r="B49" s="41" t="s">
        <v>46</v>
      </c>
      <c r="C49" s="41"/>
      <c r="D49" s="11"/>
      <c r="E49" s="3"/>
      <c r="F49" s="3"/>
      <c r="G49" s="3"/>
      <c r="H49" s="3"/>
      <c r="I49" s="3"/>
      <c r="J49" s="3"/>
      <c r="K49" s="12"/>
    </row>
    <row r="50" spans="1:11" x14ac:dyDescent="0.35">
      <c r="A50" s="16" t="s">
        <v>0</v>
      </c>
      <c r="B50" s="1">
        <f>C46</f>
        <v>3.4945312499999996</v>
      </c>
      <c r="C50" s="3"/>
      <c r="D50" s="3"/>
      <c r="E50" s="3"/>
      <c r="F50" s="3"/>
      <c r="G50" s="3"/>
      <c r="H50" s="3"/>
      <c r="I50" s="3"/>
      <c r="J50" s="3"/>
      <c r="K50" s="12"/>
    </row>
    <row r="51" spans="1:11" ht="15" thickBot="1" x14ac:dyDescent="0.4">
      <c r="A51" s="20" t="s">
        <v>11</v>
      </c>
      <c r="B51" s="21">
        <f>MIN(MIN(D40:D47),MIN(F40:F47))</f>
        <v>-6.2499700927734363</v>
      </c>
      <c r="C51" s="22"/>
      <c r="D51" s="22"/>
      <c r="E51" s="22"/>
      <c r="F51" s="22"/>
      <c r="G51" s="22"/>
      <c r="H51" s="22"/>
      <c r="I51" s="22"/>
      <c r="J51" s="22"/>
      <c r="K51" s="23"/>
    </row>
    <row r="53" spans="1:11" ht="15" thickBot="1" x14ac:dyDescent="0.4"/>
    <row r="54" spans="1:11" x14ac:dyDescent="0.35">
      <c r="A54" s="42" t="s">
        <v>20</v>
      </c>
      <c r="B54" s="43"/>
      <c r="C54" s="43"/>
      <c r="D54" s="43"/>
      <c r="E54" s="43"/>
      <c r="F54" s="43"/>
      <c r="G54" s="43"/>
      <c r="H54" s="43"/>
      <c r="I54" s="43"/>
      <c r="J54" s="43"/>
      <c r="K54" s="44"/>
    </row>
    <row r="55" spans="1:11" x14ac:dyDescent="0.35">
      <c r="A55" s="13" t="s">
        <v>4</v>
      </c>
      <c r="B55" s="7">
        <v>0</v>
      </c>
      <c r="C55" s="3"/>
      <c r="D55" s="3"/>
      <c r="E55" s="3"/>
      <c r="F55" s="3"/>
      <c r="G55" s="3"/>
      <c r="H55" s="3"/>
      <c r="I55" s="3"/>
      <c r="J55" s="3"/>
      <c r="K55" s="12"/>
    </row>
    <row r="56" spans="1:11" x14ac:dyDescent="0.35">
      <c r="A56" s="13" t="s">
        <v>5</v>
      </c>
      <c r="B56" s="7">
        <v>8</v>
      </c>
      <c r="C56" s="3"/>
      <c r="D56" s="3"/>
      <c r="E56" s="3"/>
      <c r="F56" s="3"/>
      <c r="G56" s="3"/>
      <c r="H56" s="3"/>
      <c r="I56" s="3"/>
      <c r="J56" s="3"/>
      <c r="K56" s="12"/>
    </row>
    <row r="57" spans="1:11" x14ac:dyDescent="0.35">
      <c r="A57" s="13" t="s">
        <v>6</v>
      </c>
      <c r="B57" s="7">
        <v>16</v>
      </c>
      <c r="C57" s="3"/>
      <c r="D57" s="3"/>
      <c r="E57" s="3"/>
      <c r="F57" s="3"/>
      <c r="G57" s="3"/>
      <c r="H57" s="3"/>
      <c r="I57" s="3"/>
      <c r="J57" s="3"/>
      <c r="K57" s="12"/>
    </row>
    <row r="58" spans="1:11" x14ac:dyDescent="0.35">
      <c r="A58" s="13" t="s">
        <v>7</v>
      </c>
      <c r="B58" s="7">
        <v>5.0000000000000001E-3</v>
      </c>
      <c r="C58" s="3"/>
      <c r="D58" s="3"/>
      <c r="E58" s="3"/>
      <c r="F58" s="3"/>
      <c r="G58" s="3"/>
      <c r="H58" s="3"/>
      <c r="I58" s="3"/>
      <c r="J58" s="3"/>
      <c r="K58" s="12"/>
    </row>
    <row r="59" spans="1:11" x14ac:dyDescent="0.35">
      <c r="A59" s="14"/>
      <c r="B59" s="3"/>
      <c r="C59" s="3"/>
      <c r="D59" s="3"/>
      <c r="E59" s="3"/>
      <c r="F59" s="3"/>
      <c r="G59" s="3"/>
      <c r="H59" s="3"/>
      <c r="I59" s="3"/>
      <c r="J59" s="3"/>
      <c r="K59" s="12"/>
    </row>
    <row r="60" spans="1:11" ht="29" x14ac:dyDescent="0.35">
      <c r="A60" s="26" t="s">
        <v>14</v>
      </c>
      <c r="B60" s="8" t="s">
        <v>15</v>
      </c>
      <c r="C60" s="24" t="s">
        <v>18</v>
      </c>
      <c r="D60" s="8" t="s">
        <v>17</v>
      </c>
      <c r="E60" s="25" t="s">
        <v>23</v>
      </c>
      <c r="F60" s="8" t="s">
        <v>16</v>
      </c>
      <c r="G60" s="8" t="s">
        <v>4</v>
      </c>
      <c r="H60" s="8" t="s">
        <v>5</v>
      </c>
      <c r="I60" s="27" t="s">
        <v>21</v>
      </c>
      <c r="J60" s="27" t="s">
        <v>40</v>
      </c>
      <c r="K60" s="31" t="s">
        <v>22</v>
      </c>
    </row>
    <row r="61" spans="1:11" x14ac:dyDescent="0.35">
      <c r="A61" s="28">
        <v>0</v>
      </c>
      <c r="B61" s="8" t="s">
        <v>19</v>
      </c>
      <c r="C61" s="8" t="s">
        <v>19</v>
      </c>
      <c r="D61" s="8" t="s">
        <v>19</v>
      </c>
      <c r="E61" s="8"/>
      <c r="F61" s="8" t="s">
        <v>19</v>
      </c>
      <c r="G61" s="1">
        <f>B55</f>
        <v>0</v>
      </c>
      <c r="H61" s="1">
        <f>B56</f>
        <v>8</v>
      </c>
      <c r="I61" s="1">
        <f>I63+I62</f>
        <v>987</v>
      </c>
      <c r="J61" s="1">
        <f t="shared" ref="I61:J73" si="28">J63+J62</f>
        <v>1597</v>
      </c>
      <c r="K61" s="19">
        <f t="shared" ref="K61:K73" si="29">K63+K62</f>
        <v>2584</v>
      </c>
    </row>
    <row r="62" spans="1:11" x14ac:dyDescent="0.35">
      <c r="A62" s="16">
        <v>1</v>
      </c>
      <c r="B62" s="33">
        <f>G61+I62/K62*(H61-G61)-POWER(-1,$B$57-A62+1)/K62*$B$58</f>
        <v>3.0557263619286159</v>
      </c>
      <c r="C62" s="1">
        <f>G61+J62/K62*(H61-G61)+POWER(-1,$B$57-A62+1)/K62*$B$58</f>
        <v>4.9442736380713832</v>
      </c>
      <c r="D62" s="1">
        <f>B62*B62-7*B62+6</f>
        <v>-6.0526209345148168</v>
      </c>
      <c r="E62" s="8" t="str">
        <f>IF(D62&lt;=F62, "&lt;=", "&gt;")</f>
        <v>&lt;=</v>
      </c>
      <c r="F62" s="1">
        <f>C62*C62-7*C62+6</f>
        <v>-4.1640736583720539</v>
      </c>
      <c r="G62" s="1">
        <f>IF(D62&lt;=F62,G61,B62)</f>
        <v>0</v>
      </c>
      <c r="H62" s="1">
        <f>IF(D62&lt;=F62,C62,H61)</f>
        <v>4.9442736380713832</v>
      </c>
      <c r="I62" s="1">
        <f t="shared" si="28"/>
        <v>610</v>
      </c>
      <c r="J62" s="1">
        <f t="shared" si="28"/>
        <v>987</v>
      </c>
      <c r="K62" s="19">
        <f t="shared" si="29"/>
        <v>1597</v>
      </c>
    </row>
    <row r="63" spans="1:11" x14ac:dyDescent="0.35">
      <c r="A63" s="16">
        <f>A62+1</f>
        <v>2</v>
      </c>
      <c r="B63" s="33">
        <f t="shared" ref="B63:B76" si="30">IF(D62&lt;=F62,G62+I63/K63*(H62-G62)-POWER(-1,$B$57-A63+1)/K63*$B$58,C62)</f>
        <v>1.8885472761427673</v>
      </c>
      <c r="C63" s="1">
        <f>IF(D62&gt;F62,G62+J63/K63*(H62-G62)+POWER(-1,$B$57-A63+1)/K63*$B$58,B62)</f>
        <v>3.0557263619286159</v>
      </c>
      <c r="D63" s="1">
        <f t="shared" ref="D63:D76" si="31">B63*B63-7*B63+6</f>
        <v>-3.6532201187731062</v>
      </c>
      <c r="E63" s="8" t="str">
        <f t="shared" ref="E63:E76" si="32">IF(D63&lt;=F63, "&lt;=", "&gt;")</f>
        <v>&gt;</v>
      </c>
      <c r="F63" s="1">
        <f t="shared" ref="F63:F76" si="33">C63*C63-7*C63+6</f>
        <v>-6.0526209345148168</v>
      </c>
      <c r="G63" s="1">
        <f t="shared" ref="G63:G75" si="34">IF(D63&lt;=F63,G62,B63)</f>
        <v>1.8885472761427673</v>
      </c>
      <c r="H63" s="1">
        <f t="shared" ref="H63:H75" si="35">IF(D63&lt;=F63,C63,H62)</f>
        <v>4.9442736380713832</v>
      </c>
      <c r="I63" s="1">
        <f t="shared" si="28"/>
        <v>377</v>
      </c>
      <c r="J63" s="1">
        <f t="shared" si="28"/>
        <v>610</v>
      </c>
      <c r="K63" s="19">
        <f t="shared" si="29"/>
        <v>987</v>
      </c>
    </row>
    <row r="64" spans="1:11" x14ac:dyDescent="0.35">
      <c r="A64" s="16">
        <f t="shared" ref="A64:A76" si="36">A63+1</f>
        <v>3</v>
      </c>
      <c r="B64" s="33">
        <f t="shared" si="30"/>
        <v>3.0557263619286159</v>
      </c>
      <c r="C64" s="1">
        <f t="shared" ref="C64:C76" si="37">IF(D63&gt;F63,G63+J64/K64*(H63-G63)+POWER(-1,$B$57-A64+1)/K64*$B$58,B63)</f>
        <v>3.7770945522855346</v>
      </c>
      <c r="D64" s="1">
        <f t="shared" si="31"/>
        <v>-6.0526209345148168</v>
      </c>
      <c r="E64" s="8" t="str">
        <f t="shared" si="32"/>
        <v>&gt;</v>
      </c>
      <c r="F64" s="1">
        <f t="shared" si="33"/>
        <v>-6.1732186090936807</v>
      </c>
      <c r="G64" s="1">
        <f t="shared" si="34"/>
        <v>3.0557263619286159</v>
      </c>
      <c r="H64" s="1">
        <f t="shared" si="35"/>
        <v>4.9442736380713832</v>
      </c>
      <c r="I64" s="1">
        <f t="shared" si="28"/>
        <v>233</v>
      </c>
      <c r="J64" s="1">
        <f t="shared" si="28"/>
        <v>377</v>
      </c>
      <c r="K64" s="19">
        <f t="shared" si="29"/>
        <v>610</v>
      </c>
    </row>
    <row r="65" spans="1:11" x14ac:dyDescent="0.35">
      <c r="A65" s="16">
        <f t="shared" si="36"/>
        <v>4</v>
      </c>
      <c r="B65" s="33">
        <f t="shared" si="30"/>
        <v>3.7770945522855346</v>
      </c>
      <c r="C65" s="1">
        <f t="shared" si="37"/>
        <v>4.2229054477144645</v>
      </c>
      <c r="D65" s="1">
        <f t="shared" si="31"/>
        <v>-6.1732186090936807</v>
      </c>
      <c r="E65" s="8" t="str">
        <f t="shared" si="32"/>
        <v>&lt;=</v>
      </c>
      <c r="F65" s="1">
        <f t="shared" si="33"/>
        <v>-5.7274077136647499</v>
      </c>
      <c r="G65" s="1">
        <f t="shared" si="34"/>
        <v>3.0557263619286159</v>
      </c>
      <c r="H65" s="1">
        <f t="shared" si="35"/>
        <v>4.2229054477144645</v>
      </c>
      <c r="I65" s="1">
        <f t="shared" si="28"/>
        <v>144</v>
      </c>
      <c r="J65" s="1">
        <f t="shared" si="28"/>
        <v>233</v>
      </c>
      <c r="K65" s="19">
        <f t="shared" si="29"/>
        <v>377</v>
      </c>
    </row>
    <row r="66" spans="1:11" x14ac:dyDescent="0.35">
      <c r="A66" s="16">
        <f t="shared" si="36"/>
        <v>5</v>
      </c>
      <c r="B66" s="33">
        <f t="shared" si="30"/>
        <v>3.501537257357545</v>
      </c>
      <c r="C66" s="1">
        <f t="shared" si="37"/>
        <v>3.7770945522855346</v>
      </c>
      <c r="D66" s="1">
        <f t="shared" si="31"/>
        <v>-6.2499976368398169</v>
      </c>
      <c r="E66" s="8" t="str">
        <f t="shared" si="32"/>
        <v>&lt;=</v>
      </c>
      <c r="F66" s="1">
        <f t="shared" si="33"/>
        <v>-6.1732186090936807</v>
      </c>
      <c r="G66" s="1">
        <f t="shared" si="34"/>
        <v>3.0557263619286159</v>
      </c>
      <c r="H66" s="1">
        <f t="shared" si="35"/>
        <v>3.7770945522855346</v>
      </c>
      <c r="I66" s="1">
        <f t="shared" si="28"/>
        <v>89</v>
      </c>
      <c r="J66" s="1">
        <f t="shared" si="28"/>
        <v>144</v>
      </c>
      <c r="K66" s="19">
        <f t="shared" si="29"/>
        <v>233</v>
      </c>
    </row>
    <row r="67" spans="1:11" x14ac:dyDescent="0.35">
      <c r="A67" s="16">
        <f t="shared" si="36"/>
        <v>6</v>
      </c>
      <c r="B67" s="33">
        <f t="shared" si="30"/>
        <v>3.331283656856606</v>
      </c>
      <c r="C67" s="1">
        <f t="shared" si="37"/>
        <v>3.501537257357545</v>
      </c>
      <c r="D67" s="1">
        <f t="shared" si="31"/>
        <v>-6.2215347955563214</v>
      </c>
      <c r="E67" s="8" t="str">
        <f t="shared" si="32"/>
        <v>&gt;</v>
      </c>
      <c r="F67" s="1">
        <f t="shared" si="33"/>
        <v>-6.2499976368398169</v>
      </c>
      <c r="G67" s="1">
        <f t="shared" si="34"/>
        <v>3.331283656856606</v>
      </c>
      <c r="H67" s="1">
        <f t="shared" si="35"/>
        <v>3.7770945522855346</v>
      </c>
      <c r="I67" s="1">
        <f t="shared" si="28"/>
        <v>55</v>
      </c>
      <c r="J67" s="1">
        <f t="shared" si="28"/>
        <v>89</v>
      </c>
      <c r="K67" s="19">
        <f t="shared" si="29"/>
        <v>144</v>
      </c>
    </row>
    <row r="68" spans="1:11" x14ac:dyDescent="0.35">
      <c r="A68" s="16">
        <f t="shared" si="36"/>
        <v>7</v>
      </c>
      <c r="B68" s="33">
        <f t="shared" si="30"/>
        <v>3.501537257357545</v>
      </c>
      <c r="C68" s="1">
        <f t="shared" si="37"/>
        <v>3.6068409517845952</v>
      </c>
      <c r="D68" s="1">
        <f t="shared" si="31"/>
        <v>-6.2499976368398169</v>
      </c>
      <c r="E68" s="8" t="str">
        <f t="shared" si="32"/>
        <v>&lt;=</v>
      </c>
      <c r="F68" s="1">
        <f t="shared" si="33"/>
        <v>-6.2385850110217635</v>
      </c>
      <c r="G68" s="1">
        <f t="shared" si="34"/>
        <v>3.331283656856606</v>
      </c>
      <c r="H68" s="1">
        <f t="shared" si="35"/>
        <v>3.6068409517845952</v>
      </c>
      <c r="I68" s="1">
        <f t="shared" si="28"/>
        <v>34</v>
      </c>
      <c r="J68" s="1">
        <f t="shared" si="28"/>
        <v>55</v>
      </c>
      <c r="K68" s="19">
        <f t="shared" si="29"/>
        <v>89</v>
      </c>
    </row>
    <row r="69" spans="1:11" x14ac:dyDescent="0.35">
      <c r="A69" s="16">
        <f t="shared" si="36"/>
        <v>8</v>
      </c>
      <c r="B69" s="33">
        <f t="shared" si="30"/>
        <v>3.4365873512836562</v>
      </c>
      <c r="C69" s="1">
        <f t="shared" si="37"/>
        <v>3.501537257357545</v>
      </c>
      <c r="D69" s="1">
        <f t="shared" si="31"/>
        <v>-6.2459788359827773</v>
      </c>
      <c r="E69" s="8" t="str">
        <f t="shared" si="32"/>
        <v>&gt;</v>
      </c>
      <c r="F69" s="1">
        <f t="shared" si="33"/>
        <v>-6.2499976368398169</v>
      </c>
      <c r="G69" s="1">
        <f t="shared" si="34"/>
        <v>3.4365873512836562</v>
      </c>
      <c r="H69" s="1">
        <f t="shared" si="35"/>
        <v>3.6068409517845952</v>
      </c>
      <c r="I69" s="1">
        <f t="shared" si="28"/>
        <v>21</v>
      </c>
      <c r="J69" s="1">
        <f t="shared" si="28"/>
        <v>34</v>
      </c>
      <c r="K69" s="19">
        <f t="shared" si="29"/>
        <v>55</v>
      </c>
    </row>
    <row r="70" spans="1:11" x14ac:dyDescent="0.35">
      <c r="A70" s="16">
        <f>A69+1</f>
        <v>9</v>
      </c>
      <c r="B70" s="33">
        <f t="shared" si="30"/>
        <v>3.501537257357545</v>
      </c>
      <c r="C70" s="1">
        <f>IF(D69&gt;F69,G69+J70/K70*(H69-G69)+POWER(-1,$B$57-A70+1)/K70*$B$58,B69)</f>
        <v>3.5418910457107065</v>
      </c>
      <c r="D70" s="1">
        <f t="shared" si="31"/>
        <v>-6.2499976368398169</v>
      </c>
      <c r="E70" s="8" t="str">
        <f t="shared" si="32"/>
        <v>&lt;=</v>
      </c>
      <c r="F70" s="1">
        <f t="shared" si="33"/>
        <v>-6.2482451402892636</v>
      </c>
      <c r="G70" s="1">
        <f t="shared" si="34"/>
        <v>3.4365873512836562</v>
      </c>
      <c r="H70" s="1">
        <f t="shared" si="35"/>
        <v>3.5418910457107065</v>
      </c>
      <c r="I70" s="1">
        <f t="shared" si="28"/>
        <v>13</v>
      </c>
      <c r="J70" s="1">
        <f t="shared" si="28"/>
        <v>21</v>
      </c>
      <c r="K70" s="19">
        <f t="shared" si="29"/>
        <v>34</v>
      </c>
    </row>
    <row r="71" spans="1:11" x14ac:dyDescent="0.35">
      <c r="A71" s="16">
        <f t="shared" si="36"/>
        <v>10</v>
      </c>
      <c r="B71" s="33">
        <f t="shared" si="30"/>
        <v>3.4769411396368182</v>
      </c>
      <c r="C71" s="1">
        <f t="shared" si="37"/>
        <v>3.501537257357545</v>
      </c>
      <c r="D71" s="1">
        <f t="shared" si="31"/>
        <v>-6.2494682889587523</v>
      </c>
      <c r="E71" s="8" t="str">
        <f t="shared" si="32"/>
        <v>&gt;</v>
      </c>
      <c r="F71" s="1">
        <f t="shared" si="33"/>
        <v>-6.2499976368398169</v>
      </c>
      <c r="G71" s="1">
        <f t="shared" si="34"/>
        <v>3.4769411396368182</v>
      </c>
      <c r="H71" s="1">
        <f t="shared" si="35"/>
        <v>3.5418910457107065</v>
      </c>
      <c r="I71" s="1">
        <f t="shared" si="28"/>
        <v>8</v>
      </c>
      <c r="J71" s="1">
        <f t="shared" si="28"/>
        <v>13</v>
      </c>
      <c r="K71" s="19">
        <f t="shared" si="29"/>
        <v>21</v>
      </c>
    </row>
    <row r="72" spans="1:11" x14ac:dyDescent="0.35">
      <c r="A72" s="16">
        <f t="shared" si="36"/>
        <v>11</v>
      </c>
      <c r="B72" s="33">
        <f t="shared" si="30"/>
        <v>3.501537257357545</v>
      </c>
      <c r="C72" s="1">
        <f t="shared" si="37"/>
        <v>3.5172949279899801</v>
      </c>
      <c r="D72" s="1">
        <f t="shared" si="31"/>
        <v>-6.2499976368398169</v>
      </c>
      <c r="E72" s="8" t="str">
        <f t="shared" si="32"/>
        <v>&lt;=</v>
      </c>
      <c r="F72" s="1">
        <f t="shared" si="33"/>
        <v>-6.2497008854658223</v>
      </c>
      <c r="G72" s="1">
        <f>IF(D72&lt;=F72,G71,B72)</f>
        <v>3.4769411396368182</v>
      </c>
      <c r="H72" s="1">
        <f>IF(D72&lt;=F72,C72,H71)</f>
        <v>3.5172949279899801</v>
      </c>
      <c r="I72" s="1">
        <f t="shared" si="28"/>
        <v>5</v>
      </c>
      <c r="J72" s="1">
        <f t="shared" si="28"/>
        <v>8</v>
      </c>
      <c r="K72" s="19">
        <f t="shared" si="29"/>
        <v>13</v>
      </c>
    </row>
    <row r="73" spans="1:11" x14ac:dyDescent="0.35">
      <c r="A73" s="16">
        <f t="shared" si="36"/>
        <v>12</v>
      </c>
      <c r="B73" s="33">
        <f t="shared" si="30"/>
        <v>3.4926988102692538</v>
      </c>
      <c r="C73" s="1">
        <f t="shared" si="37"/>
        <v>3.501537257357545</v>
      </c>
      <c r="D73" s="1">
        <f t="shared" si="31"/>
        <v>-6.2499466926285159</v>
      </c>
      <c r="E73" s="8" t="str">
        <f t="shared" si="32"/>
        <v>&gt;</v>
      </c>
      <c r="F73" s="1">
        <f t="shared" si="33"/>
        <v>-6.2499976368398169</v>
      </c>
      <c r="G73" s="1">
        <f t="shared" si="34"/>
        <v>3.4926988102692538</v>
      </c>
      <c r="H73" s="1">
        <f t="shared" si="35"/>
        <v>3.5172949279899801</v>
      </c>
      <c r="I73" s="1">
        <f t="shared" si="28"/>
        <v>3</v>
      </c>
      <c r="J73" s="1">
        <f t="shared" si="28"/>
        <v>5</v>
      </c>
      <c r="K73" s="19">
        <f t="shared" si="29"/>
        <v>8</v>
      </c>
    </row>
    <row r="74" spans="1:11" x14ac:dyDescent="0.35">
      <c r="A74" s="16">
        <f t="shared" si="36"/>
        <v>13</v>
      </c>
      <c r="B74" s="33">
        <f t="shared" si="30"/>
        <v>3.501537257357545</v>
      </c>
      <c r="C74" s="1">
        <f t="shared" si="37"/>
        <v>3.5084564809016894</v>
      </c>
      <c r="D74" s="1">
        <f t="shared" si="31"/>
        <v>-6.2499976368398169</v>
      </c>
      <c r="E74" s="8" t="str">
        <f t="shared" si="32"/>
        <v>&lt;=</v>
      </c>
      <c r="F74" s="1">
        <f t="shared" si="33"/>
        <v>-6.2499284879307595</v>
      </c>
      <c r="G74" s="1">
        <f t="shared" si="34"/>
        <v>3.4926988102692538</v>
      </c>
      <c r="H74" s="1">
        <f t="shared" si="35"/>
        <v>3.5084564809016894</v>
      </c>
      <c r="I74" s="1">
        <f>I76+I75</f>
        <v>2</v>
      </c>
      <c r="J74" s="1">
        <f>J76+J75</f>
        <v>3</v>
      </c>
      <c r="K74" s="19">
        <f>K76+K75</f>
        <v>5</v>
      </c>
    </row>
    <row r="75" spans="1:11" x14ac:dyDescent="0.35">
      <c r="A75" s="16">
        <f t="shared" si="36"/>
        <v>14</v>
      </c>
      <c r="B75" s="33">
        <f t="shared" si="30"/>
        <v>3.4996180338133986</v>
      </c>
      <c r="C75" s="1">
        <f t="shared" si="37"/>
        <v>3.501537257357545</v>
      </c>
      <c r="D75" s="1">
        <f t="shared" si="31"/>
        <v>-6.2499998541018336</v>
      </c>
      <c r="E75" s="8" t="str">
        <f t="shared" si="32"/>
        <v>&lt;=</v>
      </c>
      <c r="F75" s="1">
        <f t="shared" si="33"/>
        <v>-6.2499976368398169</v>
      </c>
      <c r="G75" s="1">
        <f t="shared" si="34"/>
        <v>3.4926988102692538</v>
      </c>
      <c r="H75" s="1">
        <f t="shared" si="35"/>
        <v>3.501537257357545</v>
      </c>
      <c r="I75" s="1">
        <v>1</v>
      </c>
      <c r="J75" s="1">
        <v>2</v>
      </c>
      <c r="K75" s="19">
        <v>3</v>
      </c>
    </row>
    <row r="76" spans="1:11" x14ac:dyDescent="0.35">
      <c r="A76" s="16">
        <f t="shared" si="36"/>
        <v>15</v>
      </c>
      <c r="B76" s="33">
        <f t="shared" si="30"/>
        <v>3.4946180338133996</v>
      </c>
      <c r="C76" s="1">
        <f t="shared" si="37"/>
        <v>3.4996180338133986</v>
      </c>
      <c r="D76" s="1">
        <f t="shared" si="31"/>
        <v>-6.2499710344399659</v>
      </c>
      <c r="E76" s="8" t="str">
        <f t="shared" si="32"/>
        <v>&gt;</v>
      </c>
      <c r="F76" s="1">
        <f t="shared" si="33"/>
        <v>-6.2499998541018336</v>
      </c>
      <c r="G76" s="1">
        <f t="shared" ref="G76" si="38">IF(D76&lt;=F76,G75,B76)</f>
        <v>3.4946180338133996</v>
      </c>
      <c r="H76" s="1">
        <f t="shared" ref="H76" si="39">IF(D76&lt;=F76,C76,H75)</f>
        <v>3.501537257357545</v>
      </c>
      <c r="I76" s="1">
        <v>1</v>
      </c>
      <c r="J76" s="1">
        <v>1</v>
      </c>
      <c r="K76" s="19">
        <v>2</v>
      </c>
    </row>
    <row r="77" spans="1:11" x14ac:dyDescent="0.35">
      <c r="A77" s="14"/>
      <c r="B77" s="3"/>
      <c r="C77" s="3"/>
      <c r="D77" s="3"/>
      <c r="E77" s="3"/>
      <c r="F77" s="3"/>
      <c r="G77" s="3"/>
      <c r="H77" s="3"/>
      <c r="I77" s="3"/>
      <c r="J77" s="3"/>
      <c r="K77" s="12"/>
    </row>
    <row r="78" spans="1:11" x14ac:dyDescent="0.35">
      <c r="A78" s="17" t="s">
        <v>10</v>
      </c>
      <c r="B78" s="41" t="s">
        <v>47</v>
      </c>
      <c r="C78" s="41"/>
      <c r="D78" s="11"/>
      <c r="E78" s="3"/>
      <c r="F78" s="3"/>
      <c r="G78" s="3"/>
      <c r="H78" s="3"/>
      <c r="I78" s="3"/>
      <c r="J78" s="3"/>
      <c r="K78" s="12"/>
    </row>
    <row r="79" spans="1:11" x14ac:dyDescent="0.35">
      <c r="A79" s="16" t="s">
        <v>0</v>
      </c>
      <c r="B79" s="1">
        <f>C76</f>
        <v>3.4996180338133986</v>
      </c>
      <c r="C79" s="3"/>
      <c r="D79" s="3"/>
      <c r="E79" s="3"/>
      <c r="F79" s="3"/>
      <c r="G79" s="3"/>
      <c r="H79" s="3"/>
      <c r="I79" s="3"/>
      <c r="J79" s="3"/>
      <c r="K79" s="12"/>
    </row>
    <row r="80" spans="1:11" ht="15" thickBot="1" x14ac:dyDescent="0.4">
      <c r="A80" s="20" t="s">
        <v>11</v>
      </c>
      <c r="B80" s="35">
        <f>MIN(MIN(D62:D76),MIN(F62:F76))</f>
        <v>-6.2499998541018336</v>
      </c>
      <c r="C80" s="22"/>
      <c r="D80" s="22"/>
      <c r="E80" s="22"/>
      <c r="F80" s="22"/>
      <c r="G80" s="22"/>
      <c r="H80" s="22"/>
      <c r="I80" s="22"/>
      <c r="J80" s="22"/>
      <c r="K80" s="23"/>
    </row>
    <row r="82" spans="1:11" ht="15" thickBot="1" x14ac:dyDescent="0.4"/>
    <row r="83" spans="1:11" x14ac:dyDescent="0.35">
      <c r="A83" s="42" t="s">
        <v>24</v>
      </c>
      <c r="B83" s="43"/>
      <c r="C83" s="43"/>
      <c r="D83" s="43"/>
      <c r="E83" s="43"/>
      <c r="F83" s="43"/>
      <c r="G83" s="43"/>
      <c r="H83" s="43"/>
      <c r="I83" s="43"/>
      <c r="J83" s="43"/>
      <c r="K83" s="44"/>
    </row>
    <row r="84" spans="1:11" x14ac:dyDescent="0.35">
      <c r="A84" s="13" t="s">
        <v>4</v>
      </c>
      <c r="B84" s="7">
        <v>0</v>
      </c>
      <c r="C84" s="3"/>
      <c r="D84" s="3"/>
      <c r="E84" s="3"/>
      <c r="F84" s="3"/>
      <c r="G84" s="3"/>
      <c r="H84" s="3"/>
      <c r="I84" s="3"/>
      <c r="J84" s="3"/>
      <c r="K84" s="12"/>
    </row>
    <row r="85" spans="1:11" x14ac:dyDescent="0.35">
      <c r="A85" s="13" t="s">
        <v>5</v>
      </c>
      <c r="B85" s="7">
        <v>8</v>
      </c>
      <c r="C85" s="3"/>
      <c r="D85" s="3"/>
      <c r="E85" s="3"/>
      <c r="F85" s="3"/>
      <c r="G85" s="3"/>
      <c r="H85" s="3"/>
      <c r="I85" s="3"/>
      <c r="J85" s="3"/>
      <c r="K85" s="12"/>
    </row>
    <row r="86" spans="1:11" x14ac:dyDescent="0.35">
      <c r="A86" s="13" t="s">
        <v>6</v>
      </c>
      <c r="B86" s="7">
        <v>16</v>
      </c>
      <c r="C86" s="3"/>
      <c r="D86" s="3"/>
      <c r="E86" s="3"/>
      <c r="F86" s="3"/>
      <c r="G86" s="3"/>
      <c r="H86" s="3"/>
      <c r="I86" s="3"/>
      <c r="J86" s="3"/>
      <c r="K86" s="12"/>
    </row>
    <row r="87" spans="1:11" x14ac:dyDescent="0.35">
      <c r="A87" s="14"/>
      <c r="B87" s="3"/>
      <c r="C87" s="3"/>
      <c r="D87" s="3"/>
      <c r="E87" s="3"/>
      <c r="F87" s="3"/>
      <c r="G87" s="3"/>
      <c r="H87" s="3"/>
      <c r="I87" s="3"/>
      <c r="J87" s="3"/>
      <c r="K87" s="12"/>
    </row>
    <row r="88" spans="1:11" ht="29" x14ac:dyDescent="0.35">
      <c r="A88" s="26" t="s">
        <v>14</v>
      </c>
      <c r="B88" s="5" t="s">
        <v>15</v>
      </c>
      <c r="C88" s="24" t="s">
        <v>18</v>
      </c>
      <c r="D88" s="5" t="s">
        <v>17</v>
      </c>
      <c r="E88" s="25" t="s">
        <v>23</v>
      </c>
      <c r="F88" s="5" t="s">
        <v>16</v>
      </c>
      <c r="G88" s="5" t="s">
        <v>4</v>
      </c>
      <c r="H88" s="5" t="s">
        <v>5</v>
      </c>
      <c r="I88" s="27" t="s">
        <v>25</v>
      </c>
      <c r="J88" s="27" t="s">
        <v>26</v>
      </c>
      <c r="K88" s="12"/>
    </row>
    <row r="89" spans="1:11" x14ac:dyDescent="0.35">
      <c r="A89" s="28">
        <v>0</v>
      </c>
      <c r="B89" s="5" t="s">
        <v>19</v>
      </c>
      <c r="C89" s="5" t="s">
        <v>19</v>
      </c>
      <c r="D89" s="5" t="s">
        <v>19</v>
      </c>
      <c r="E89" s="5"/>
      <c r="F89" s="5" t="s">
        <v>19</v>
      </c>
      <c r="G89" s="1">
        <f>B83</f>
        <v>0</v>
      </c>
      <c r="H89" s="1">
        <f>B85</f>
        <v>8</v>
      </c>
      <c r="I89" s="1">
        <f>(3-SQRT(5))/2</f>
        <v>0.3819660112501051</v>
      </c>
      <c r="J89" s="1">
        <f>(SQRT(5)-1)/2</f>
        <v>0.6180339887498949</v>
      </c>
      <c r="K89" s="12"/>
    </row>
    <row r="90" spans="1:11" x14ac:dyDescent="0.35">
      <c r="A90" s="16">
        <v>1</v>
      </c>
      <c r="B90" s="33">
        <f>G89+$I$89*(H89-G89)</f>
        <v>3.0557280900008408</v>
      </c>
      <c r="C90" s="33">
        <f>G89+$J$89*(H89-G89)</f>
        <v>4.9442719099991592</v>
      </c>
      <c r="D90" s="1">
        <f>B90*B90-7*B90+6</f>
        <v>-6.0526224699856996</v>
      </c>
      <c r="E90" s="5" t="str">
        <f>IF(D90&lt;=F90, "&lt;=", "&gt;")</f>
        <v>&lt;=</v>
      </c>
      <c r="F90" s="1">
        <f>C90*C90-7*C90+6</f>
        <v>-4.1640786499873812</v>
      </c>
      <c r="G90" s="33">
        <f>IF(D90&lt;=F90,G89,B90)</f>
        <v>0</v>
      </c>
      <c r="H90" s="1">
        <f>IF(D90&lt;=F90,C90,H89)</f>
        <v>4.9442719099991592</v>
      </c>
      <c r="K90" s="12"/>
    </row>
    <row r="91" spans="1:11" x14ac:dyDescent="0.35">
      <c r="A91" s="16">
        <f>A90+1</f>
        <v>2</v>
      </c>
      <c r="B91" s="33">
        <f t="shared" ref="B91:B104" si="40">IF(D90&lt;=F90,G90+$I$89*(H90-G90),C90)</f>
        <v>1.8885438199983176</v>
      </c>
      <c r="C91" s="33">
        <f>IF(D90&gt;F90,G90+$J$89*(H90-G90),B90)</f>
        <v>3.0557280900008408</v>
      </c>
      <c r="D91" s="1">
        <f t="shared" ref="D91:D104" si="41">B91*B91-7*B91+6</f>
        <v>-3.6532089799343836</v>
      </c>
      <c r="E91" s="5" t="str">
        <f>IF(D91&lt;=F91, "&lt;=", "&gt;")</f>
        <v>&gt;</v>
      </c>
      <c r="F91" s="1">
        <f t="shared" ref="F91:F104" si="42">C91*C91-7*C91+6</f>
        <v>-6.0526224699856996</v>
      </c>
      <c r="G91" s="33">
        <f t="shared" ref="G91:G103" si="43">IF(D91&lt;=F91,G90,B91)</f>
        <v>1.8885438199983176</v>
      </c>
      <c r="H91" s="1">
        <f>IF(D91&lt;=F91,C91,H90)</f>
        <v>4.9442719099991592</v>
      </c>
      <c r="I91" s="3"/>
      <c r="J91" s="3"/>
      <c r="K91" s="12"/>
    </row>
    <row r="92" spans="1:11" x14ac:dyDescent="0.35">
      <c r="A92" s="16">
        <f t="shared" ref="A92:A97" si="44">A91+1</f>
        <v>3</v>
      </c>
      <c r="B92" s="33">
        <f t="shared" si="40"/>
        <v>3.0557280900008408</v>
      </c>
      <c r="C92" s="33">
        <f t="shared" ref="C91:C104" si="45">IF(D91&gt;F91,G91+$J$89*(H91-G91),B91)</f>
        <v>3.7770876399966355</v>
      </c>
      <c r="D92" s="1">
        <f t="shared" si="41"/>
        <v>-6.0526224699856996</v>
      </c>
      <c r="E92" s="5" t="str">
        <f t="shared" ref="E92:E102" si="46">IF(D92&lt;=F92, "&lt;=", "&gt;")</f>
        <v>&gt;</v>
      </c>
      <c r="F92" s="1">
        <f t="shared" si="42"/>
        <v>-6.1732224397610942</v>
      </c>
      <c r="G92" s="33">
        <f t="shared" si="43"/>
        <v>3.0557280900008408</v>
      </c>
      <c r="H92" s="1">
        <f t="shared" ref="H92:H103" si="47">IF(D92&lt;=F92,C92,H91)</f>
        <v>4.9442719099991592</v>
      </c>
      <c r="I92" s="3"/>
      <c r="J92" s="3"/>
      <c r="K92" s="12"/>
    </row>
    <row r="93" spans="1:11" x14ac:dyDescent="0.35">
      <c r="A93" s="16">
        <f t="shared" si="44"/>
        <v>4</v>
      </c>
      <c r="B93" s="33">
        <f t="shared" si="40"/>
        <v>3.7770876399966355</v>
      </c>
      <c r="C93" s="33">
        <f t="shared" si="45"/>
        <v>4.2229123600033649</v>
      </c>
      <c r="D93" s="1">
        <f t="shared" si="41"/>
        <v>-6.1732224397610942</v>
      </c>
      <c r="E93" s="5" t="str">
        <f t="shared" si="46"/>
        <v>&lt;=</v>
      </c>
      <c r="F93" s="1">
        <f t="shared" si="42"/>
        <v>-5.727397719754368</v>
      </c>
      <c r="G93" s="33">
        <f t="shared" si="43"/>
        <v>3.0557280900008408</v>
      </c>
      <c r="H93" s="1">
        <f t="shared" si="47"/>
        <v>4.2229123600033649</v>
      </c>
      <c r="I93" s="3"/>
      <c r="J93" s="3"/>
      <c r="K93" s="12"/>
    </row>
    <row r="94" spans="1:11" x14ac:dyDescent="0.35">
      <c r="A94" s="16">
        <f t="shared" si="44"/>
        <v>5</v>
      </c>
      <c r="B94" s="33">
        <f t="shared" si="40"/>
        <v>3.5015528100075706</v>
      </c>
      <c r="C94" s="33">
        <f t="shared" si="45"/>
        <v>3.7770876399966355</v>
      </c>
      <c r="D94" s="1">
        <f t="shared" si="41"/>
        <v>-6.2499975887810812</v>
      </c>
      <c r="E94" s="5" t="str">
        <f t="shared" si="46"/>
        <v>&lt;=</v>
      </c>
      <c r="F94" s="1">
        <f t="shared" si="42"/>
        <v>-6.1732224397610942</v>
      </c>
      <c r="G94" s="33">
        <f t="shared" si="43"/>
        <v>3.0557280900008408</v>
      </c>
      <c r="H94" s="1">
        <f t="shared" si="47"/>
        <v>3.7770876399966355</v>
      </c>
      <c r="I94" s="3"/>
      <c r="J94" s="3"/>
      <c r="K94" s="12"/>
    </row>
    <row r="95" spans="1:11" x14ac:dyDescent="0.35">
      <c r="A95" s="16">
        <f t="shared" si="44"/>
        <v>6</v>
      </c>
      <c r="B95" s="33">
        <f t="shared" si="40"/>
        <v>3.3312629199899053</v>
      </c>
      <c r="C95" s="33">
        <f t="shared" si="45"/>
        <v>3.5015528100075706</v>
      </c>
      <c r="D95" s="1">
        <f t="shared" si="41"/>
        <v>-6.221527797829669</v>
      </c>
      <c r="E95" s="5" t="str">
        <f t="shared" si="46"/>
        <v>&gt;</v>
      </c>
      <c r="F95" s="1">
        <f t="shared" si="42"/>
        <v>-6.2499975887810812</v>
      </c>
      <c r="G95" s="33">
        <f t="shared" si="43"/>
        <v>3.3312629199899053</v>
      </c>
      <c r="H95" s="1">
        <f t="shared" si="47"/>
        <v>3.7770876399966355</v>
      </c>
      <c r="I95" s="3"/>
      <c r="J95" s="3"/>
      <c r="K95" s="12"/>
    </row>
    <row r="96" spans="1:11" x14ac:dyDescent="0.35">
      <c r="A96" s="16">
        <f t="shared" si="44"/>
        <v>7</v>
      </c>
      <c r="B96" s="33">
        <f t="shared" si="40"/>
        <v>3.5015528100075706</v>
      </c>
      <c r="C96" s="33">
        <f t="shared" si="45"/>
        <v>3.6067977499789698</v>
      </c>
      <c r="D96" s="1">
        <f t="shared" si="41"/>
        <v>-6.2499975887810812</v>
      </c>
      <c r="E96" s="5" t="str">
        <f t="shared" si="46"/>
        <v>&lt;=</v>
      </c>
      <c r="F96" s="1">
        <f t="shared" si="42"/>
        <v>-6.2385942405994292</v>
      </c>
      <c r="G96" s="33">
        <f t="shared" si="43"/>
        <v>3.3312629199899053</v>
      </c>
      <c r="H96" s="1">
        <f t="shared" si="47"/>
        <v>3.6067977499789698</v>
      </c>
      <c r="I96" s="3"/>
      <c r="J96" s="3"/>
      <c r="K96" s="12"/>
    </row>
    <row r="97" spans="1:11" x14ac:dyDescent="0.35">
      <c r="A97" s="16">
        <f t="shared" si="44"/>
        <v>8</v>
      </c>
      <c r="B97" s="33">
        <f t="shared" si="40"/>
        <v>3.4365078599613041</v>
      </c>
      <c r="C97" s="33">
        <f t="shared" si="45"/>
        <v>3.5015528100075706</v>
      </c>
      <c r="D97" s="1">
        <f t="shared" si="41"/>
        <v>-6.2459687481533077</v>
      </c>
      <c r="E97" s="5" t="str">
        <f t="shared" si="46"/>
        <v>&gt;</v>
      </c>
      <c r="F97" s="1">
        <f t="shared" si="42"/>
        <v>-6.2499975887810812</v>
      </c>
      <c r="G97" s="33">
        <f t="shared" si="43"/>
        <v>3.4365078599613041</v>
      </c>
      <c r="H97" s="1">
        <f t="shared" si="47"/>
        <v>3.6067977499789698</v>
      </c>
      <c r="I97" s="3"/>
      <c r="J97" s="3"/>
      <c r="K97" s="12"/>
    </row>
    <row r="98" spans="1:11" x14ac:dyDescent="0.35">
      <c r="A98" s="16">
        <f>A97+1</f>
        <v>9</v>
      </c>
      <c r="B98" s="33">
        <f t="shared" si="40"/>
        <v>3.5015528100075706</v>
      </c>
      <c r="C98" s="33">
        <f t="shared" si="45"/>
        <v>3.541752799932703</v>
      </c>
      <c r="D98" s="1">
        <f t="shared" si="41"/>
        <v>-6.2499975887810812</v>
      </c>
      <c r="E98" s="5" t="str">
        <f t="shared" si="46"/>
        <v>&lt;=</v>
      </c>
      <c r="F98" s="1">
        <f t="shared" si="42"/>
        <v>-6.2482567036977805</v>
      </c>
      <c r="G98" s="33">
        <f t="shared" si="43"/>
        <v>3.4365078599613041</v>
      </c>
      <c r="H98" s="1">
        <f t="shared" si="47"/>
        <v>3.541752799932703</v>
      </c>
      <c r="I98" s="3"/>
      <c r="J98" s="3"/>
      <c r="K98" s="12"/>
    </row>
    <row r="99" spans="1:11" x14ac:dyDescent="0.35">
      <c r="A99" s="16">
        <f t="shared" ref="A99:A104" si="48">A98+1</f>
        <v>10</v>
      </c>
      <c r="B99" s="33">
        <f t="shared" si="40"/>
        <v>3.4767078498864361</v>
      </c>
      <c r="C99" s="33">
        <f t="shared" si="45"/>
        <v>3.5015528100075706</v>
      </c>
      <c r="D99" s="1">
        <f t="shared" si="41"/>
        <v>-6.2494574757430854</v>
      </c>
      <c r="E99" s="5" t="str">
        <f t="shared" si="46"/>
        <v>&gt;</v>
      </c>
      <c r="F99" s="1">
        <f t="shared" si="42"/>
        <v>-6.2499975887810812</v>
      </c>
      <c r="G99" s="33">
        <f t="shared" si="43"/>
        <v>3.4767078498864361</v>
      </c>
      <c r="H99" s="1">
        <f t="shared" si="47"/>
        <v>3.541752799932703</v>
      </c>
      <c r="I99" s="3"/>
      <c r="J99" s="3"/>
      <c r="K99" s="12"/>
    </row>
    <row r="100" spans="1:11" x14ac:dyDescent="0.35">
      <c r="A100" s="16">
        <f t="shared" si="48"/>
        <v>11</v>
      </c>
      <c r="B100" s="33">
        <f t="shared" si="40"/>
        <v>3.5015528100075706</v>
      </c>
      <c r="C100" s="33">
        <f t="shared" si="45"/>
        <v>3.5169078398115681</v>
      </c>
      <c r="D100" s="1">
        <f t="shared" si="41"/>
        <v>-6.2499975887810812</v>
      </c>
      <c r="E100" s="5" t="str">
        <f t="shared" si="46"/>
        <v>&lt;=</v>
      </c>
      <c r="F100" s="1">
        <f t="shared" si="42"/>
        <v>-6.2497141249529058</v>
      </c>
      <c r="G100" s="33">
        <f t="shared" si="43"/>
        <v>3.4767078498864361</v>
      </c>
      <c r="H100" s="1">
        <f t="shared" si="47"/>
        <v>3.5169078398115681</v>
      </c>
      <c r="I100" s="3"/>
      <c r="J100" s="3"/>
      <c r="K100" s="12"/>
    </row>
    <row r="101" spans="1:11" x14ac:dyDescent="0.35">
      <c r="A101" s="16">
        <f t="shared" si="48"/>
        <v>12</v>
      </c>
      <c r="B101" s="33">
        <f t="shared" si="40"/>
        <v>3.4920628796904332</v>
      </c>
      <c r="C101" s="33">
        <f t="shared" si="45"/>
        <v>3.5015528100075706</v>
      </c>
      <c r="D101" s="1">
        <f t="shared" si="41"/>
        <v>-6.2499370021211913</v>
      </c>
      <c r="E101" s="5" t="str">
        <f t="shared" si="46"/>
        <v>&gt;</v>
      </c>
      <c r="F101" s="1">
        <f t="shared" si="42"/>
        <v>-6.2499975887810812</v>
      </c>
      <c r="G101" s="33">
        <f>IF(D101&lt;=F101,G100,B101)</f>
        <v>3.4920628796904332</v>
      </c>
      <c r="H101" s="1">
        <f t="shared" si="47"/>
        <v>3.5169078398115681</v>
      </c>
      <c r="I101" s="3"/>
      <c r="J101" s="3"/>
      <c r="K101" s="12"/>
    </row>
    <row r="102" spans="1:11" x14ac:dyDescent="0.35">
      <c r="A102" s="16">
        <f t="shared" si="48"/>
        <v>13</v>
      </c>
      <c r="B102" s="33">
        <f t="shared" si="40"/>
        <v>3.5015528100075706</v>
      </c>
      <c r="C102" s="33">
        <f t="shared" si="45"/>
        <v>3.5074179094944302</v>
      </c>
      <c r="D102" s="1">
        <f t="shared" si="41"/>
        <v>-6.2499975887810812</v>
      </c>
      <c r="E102" s="34" t="str">
        <f t="shared" si="46"/>
        <v>&lt;=</v>
      </c>
      <c r="F102" s="1">
        <f t="shared" si="42"/>
        <v>-6.2499449746187334</v>
      </c>
      <c r="G102" s="33">
        <f>IF(D102&lt;=F102,G101,B102)</f>
        <v>3.4920628796904332</v>
      </c>
      <c r="H102" s="1">
        <f t="shared" si="47"/>
        <v>3.5074179094944302</v>
      </c>
      <c r="I102" s="3"/>
      <c r="J102" s="3"/>
      <c r="K102" s="12"/>
    </row>
    <row r="103" spans="1:11" x14ac:dyDescent="0.35">
      <c r="A103" s="16">
        <f t="shared" si="48"/>
        <v>14</v>
      </c>
      <c r="B103" s="33">
        <f t="shared" si="40"/>
        <v>3.4979279791772924</v>
      </c>
      <c r="C103" s="33">
        <f t="shared" si="45"/>
        <v>3.5015528100075706</v>
      </c>
      <c r="D103" s="1">
        <f t="shared" si="41"/>
        <v>-6.2499957067297114</v>
      </c>
      <c r="E103" s="5" t="str">
        <f>IF(D103&lt;=F103, "&lt;=", "&gt;")</f>
        <v>&gt;</v>
      </c>
      <c r="F103" s="1">
        <f t="shared" si="42"/>
        <v>-6.2499975887810812</v>
      </c>
      <c r="G103" s="33">
        <f t="shared" si="43"/>
        <v>3.4979279791772924</v>
      </c>
      <c r="H103" s="1">
        <f t="shared" si="47"/>
        <v>3.5074179094944302</v>
      </c>
      <c r="I103" s="3"/>
      <c r="J103" s="3"/>
      <c r="K103" s="12"/>
    </row>
    <row r="104" spans="1:11" x14ac:dyDescent="0.35">
      <c r="A104" s="16">
        <f t="shared" si="48"/>
        <v>15</v>
      </c>
      <c r="B104" s="33">
        <f t="shared" si="40"/>
        <v>3.5015528100075706</v>
      </c>
      <c r="C104" s="33">
        <f t="shared" si="45"/>
        <v>3.5037930786641516</v>
      </c>
      <c r="D104" s="1">
        <f t="shared" si="41"/>
        <v>-6.2499975887810812</v>
      </c>
      <c r="E104" s="5" t="str">
        <f>IF(D104 &lt;= F104, "&lt;=", "&gt;")</f>
        <v>&lt;=</v>
      </c>
      <c r="F104" s="1">
        <f t="shared" si="42"/>
        <v>-6.2499856125542461</v>
      </c>
      <c r="G104" s="33">
        <f t="shared" ref="G104" si="49">IF(D104&lt;=F104,G103,B104)</f>
        <v>3.4979279791772924</v>
      </c>
      <c r="H104" s="1">
        <f t="shared" ref="H104" si="50">IF(D104&lt;=F104,C104,H103)</f>
        <v>3.5037930786641516</v>
      </c>
      <c r="I104" s="3"/>
      <c r="J104" s="3"/>
      <c r="K104" s="12"/>
    </row>
    <row r="105" spans="1:11" x14ac:dyDescent="0.35">
      <c r="A105" s="14"/>
      <c r="B105" s="3"/>
      <c r="C105" s="3"/>
      <c r="D105" s="3"/>
      <c r="E105" s="3"/>
      <c r="F105" s="3"/>
      <c r="G105" s="3"/>
      <c r="H105" s="3"/>
      <c r="I105" s="3"/>
      <c r="J105" s="3"/>
      <c r="K105" s="12"/>
    </row>
    <row r="106" spans="1:11" x14ac:dyDescent="0.35">
      <c r="A106" s="17" t="s">
        <v>10</v>
      </c>
      <c r="B106" s="41" t="s">
        <v>48</v>
      </c>
      <c r="C106" s="41"/>
      <c r="D106" s="11"/>
      <c r="E106" s="3"/>
      <c r="F106" s="3"/>
      <c r="G106" s="3"/>
      <c r="H106" s="3"/>
      <c r="I106" s="3"/>
      <c r="J106" s="3"/>
      <c r="K106" s="12"/>
    </row>
    <row r="107" spans="1:11" x14ac:dyDescent="0.35">
      <c r="A107" s="16" t="s">
        <v>0</v>
      </c>
      <c r="B107" s="33">
        <f>B104</f>
        <v>3.5015528100075706</v>
      </c>
      <c r="C107" s="3"/>
      <c r="D107" s="3"/>
      <c r="E107" s="3"/>
      <c r="F107" s="3"/>
      <c r="G107" s="3"/>
      <c r="H107" s="3"/>
      <c r="I107" s="3"/>
      <c r="J107" s="3"/>
      <c r="K107" s="12"/>
    </row>
    <row r="108" spans="1:11" ht="15" thickBot="1" x14ac:dyDescent="0.4">
      <c r="A108" s="20" t="s">
        <v>11</v>
      </c>
      <c r="B108" s="35">
        <f>D104</f>
        <v>-6.2499975887810812</v>
      </c>
      <c r="C108" s="22"/>
      <c r="D108" s="22"/>
      <c r="E108" s="22"/>
      <c r="F108" s="22"/>
      <c r="G108" s="22"/>
      <c r="H108" s="22"/>
      <c r="I108" s="22"/>
      <c r="J108" s="22"/>
      <c r="K108" s="23"/>
    </row>
  </sheetData>
  <mergeCells count="12">
    <mergeCell ref="B106:C106"/>
    <mergeCell ref="C16:D16"/>
    <mergeCell ref="A20:B20"/>
    <mergeCell ref="C27:D27"/>
    <mergeCell ref="A32:K32"/>
    <mergeCell ref="A54:K54"/>
    <mergeCell ref="A4:K4"/>
    <mergeCell ref="A1:C1"/>
    <mergeCell ref="A8:B8"/>
    <mergeCell ref="A83:K83"/>
    <mergeCell ref="B49:C49"/>
    <mergeCell ref="B78:C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181E-46A6-4078-9534-68D97F5377E8}">
  <dimension ref="A1:I24"/>
  <sheetViews>
    <sheetView tabSelected="1" topLeftCell="G1" workbookViewId="0">
      <selection activeCell="Z7" sqref="Z7"/>
    </sheetView>
  </sheetViews>
  <sheetFormatPr defaultRowHeight="14.5" x14ac:dyDescent="0.35"/>
  <sheetData>
    <row r="1" spans="1:9" x14ac:dyDescent="0.35">
      <c r="A1" s="42" t="s">
        <v>38</v>
      </c>
      <c r="B1" s="43"/>
      <c r="C1" s="43"/>
      <c r="D1" s="43"/>
      <c r="E1" s="43"/>
      <c r="F1" s="43"/>
      <c r="G1" s="43"/>
      <c r="H1" s="43"/>
      <c r="I1" s="44"/>
    </row>
    <row r="2" spans="1:9" x14ac:dyDescent="0.35">
      <c r="A2" s="29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30" t="s">
        <v>35</v>
      </c>
    </row>
    <row r="3" spans="1:9" x14ac:dyDescent="0.35">
      <c r="A3" s="16">
        <v>1</v>
      </c>
      <c r="B3" s="1">
        <v>700</v>
      </c>
      <c r="C3" s="1">
        <v>5</v>
      </c>
      <c r="D3" s="1">
        <v>15</v>
      </c>
      <c r="E3" s="1">
        <v>20</v>
      </c>
      <c r="F3" s="1">
        <f>SQRT(2*C3*B3/D3)</f>
        <v>21.602468994692867</v>
      </c>
      <c r="G3" s="1">
        <f>C3*B3/F3</f>
        <v>162.01851746019651</v>
      </c>
      <c r="H3" s="1">
        <f>D3*F3</f>
        <v>324.03703492039301</v>
      </c>
      <c r="I3" s="19">
        <f>E3*F3</f>
        <v>432.04937989385735</v>
      </c>
    </row>
    <row r="4" spans="1:9" x14ac:dyDescent="0.35">
      <c r="A4" s="16">
        <v>2</v>
      </c>
      <c r="B4" s="1">
        <v>200</v>
      </c>
      <c r="C4" s="1">
        <v>5</v>
      </c>
      <c r="D4" s="1">
        <v>4</v>
      </c>
      <c r="E4" s="1">
        <v>5</v>
      </c>
      <c r="F4" s="1">
        <f t="shared" ref="F4:F7" si="0">SQRT(2*C4*B4/D4)</f>
        <v>22.360679774997898</v>
      </c>
      <c r="G4" s="1">
        <f t="shared" ref="G4:G7" si="1">C4*B4/F4</f>
        <v>44.721359549995789</v>
      </c>
      <c r="H4" s="1">
        <f t="shared" ref="H4:H7" si="2">D4*F4</f>
        <v>89.442719099991592</v>
      </c>
      <c r="I4" s="19">
        <f t="shared" ref="I4:I7" si="3">E4*F4</f>
        <v>111.80339887498948</v>
      </c>
    </row>
    <row r="5" spans="1:9" x14ac:dyDescent="0.35">
      <c r="A5" s="16">
        <v>3</v>
      </c>
      <c r="B5" s="1">
        <v>500</v>
      </c>
      <c r="C5" s="1">
        <v>20</v>
      </c>
      <c r="D5" s="1">
        <v>10</v>
      </c>
      <c r="E5" s="1">
        <v>2</v>
      </c>
      <c r="F5" s="1">
        <f t="shared" si="0"/>
        <v>44.721359549995796</v>
      </c>
      <c r="G5" s="1">
        <f t="shared" si="1"/>
        <v>223.60679774997897</v>
      </c>
      <c r="H5" s="1">
        <f t="shared" si="2"/>
        <v>447.21359549995793</v>
      </c>
      <c r="I5" s="19">
        <f t="shared" si="3"/>
        <v>89.442719099991592</v>
      </c>
    </row>
    <row r="6" spans="1:9" x14ac:dyDescent="0.35">
      <c r="A6" s="16">
        <v>4</v>
      </c>
      <c r="B6" s="1">
        <v>150</v>
      </c>
      <c r="C6" s="1">
        <v>3</v>
      </c>
      <c r="D6" s="1">
        <v>2</v>
      </c>
      <c r="E6" s="1">
        <v>8</v>
      </c>
      <c r="F6" s="1">
        <f t="shared" si="0"/>
        <v>21.213203435596427</v>
      </c>
      <c r="G6" s="1">
        <f t="shared" si="1"/>
        <v>21.213203435596427</v>
      </c>
      <c r="H6" s="1">
        <f t="shared" si="2"/>
        <v>42.426406871192853</v>
      </c>
      <c r="I6" s="19">
        <f t="shared" si="3"/>
        <v>169.70562748477141</v>
      </c>
    </row>
    <row r="7" spans="1:9" x14ac:dyDescent="0.35">
      <c r="A7" s="16">
        <v>5</v>
      </c>
      <c r="B7" s="1">
        <v>800</v>
      </c>
      <c r="C7" s="1">
        <v>4</v>
      </c>
      <c r="D7" s="1">
        <v>20</v>
      </c>
      <c r="E7" s="1">
        <v>4</v>
      </c>
      <c r="F7" s="1">
        <f t="shared" si="0"/>
        <v>17.888543819998318</v>
      </c>
      <c r="G7" s="1">
        <f t="shared" si="1"/>
        <v>178.88543819998316</v>
      </c>
      <c r="H7" s="1">
        <f t="shared" si="2"/>
        <v>357.77087639996637</v>
      </c>
      <c r="I7" s="19">
        <f t="shared" si="3"/>
        <v>71.554175279993274</v>
      </c>
    </row>
    <row r="8" spans="1:9" x14ac:dyDescent="0.35">
      <c r="A8" s="14"/>
      <c r="B8" s="3"/>
      <c r="C8" s="3"/>
      <c r="D8" s="3"/>
      <c r="E8" s="3"/>
      <c r="F8" s="3"/>
      <c r="G8" s="2">
        <f>SUM(G3:G7)</f>
        <v>630.44531639575087</v>
      </c>
      <c r="H8" s="2">
        <f>SUM(H3:H7)</f>
        <v>1260.8906327915017</v>
      </c>
      <c r="I8" s="19">
        <f>SUM(I3:I7)</f>
        <v>874.55530063360311</v>
      </c>
    </row>
    <row r="9" spans="1:9" x14ac:dyDescent="0.35">
      <c r="A9" s="14"/>
      <c r="B9" s="3"/>
      <c r="C9" s="3"/>
      <c r="D9" s="3"/>
      <c r="E9" s="3"/>
      <c r="F9" s="3"/>
      <c r="G9" s="3"/>
      <c r="H9" s="3"/>
      <c r="I9" s="12"/>
    </row>
    <row r="10" spans="1:9" x14ac:dyDescent="0.35">
      <c r="A10" s="16" t="s">
        <v>36</v>
      </c>
      <c r="B10" s="1">
        <v>500</v>
      </c>
      <c r="C10" s="3"/>
      <c r="D10" s="3"/>
      <c r="E10" s="3"/>
      <c r="F10" s="3"/>
      <c r="G10" s="3"/>
      <c r="H10" s="3"/>
      <c r="I10" s="12"/>
    </row>
    <row r="11" spans="1:9" ht="15" thickBot="1" x14ac:dyDescent="0.4">
      <c r="A11" s="20" t="s">
        <v>37</v>
      </c>
      <c r="B11" s="21">
        <f>G8+1/2*H8</f>
        <v>1260.8906327915017</v>
      </c>
      <c r="C11" s="22"/>
      <c r="D11" s="22"/>
      <c r="E11" s="22"/>
      <c r="F11" s="22"/>
      <c r="G11" s="22"/>
      <c r="H11" s="22"/>
      <c r="I11" s="23"/>
    </row>
    <row r="13" spans="1:9" ht="15" thickBot="1" x14ac:dyDescent="0.4"/>
    <row r="14" spans="1:9" x14ac:dyDescent="0.35">
      <c r="A14" s="42" t="s">
        <v>39</v>
      </c>
      <c r="B14" s="43"/>
      <c r="C14" s="43"/>
      <c r="D14" s="43"/>
      <c r="E14" s="43"/>
      <c r="F14" s="43"/>
      <c r="G14" s="43"/>
      <c r="H14" s="43"/>
      <c r="I14" s="44"/>
    </row>
    <row r="15" spans="1:9" x14ac:dyDescent="0.35">
      <c r="A15" s="29" t="s">
        <v>27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33</v>
      </c>
      <c r="H15" s="4" t="s">
        <v>34</v>
      </c>
      <c r="I15" s="30" t="s">
        <v>35</v>
      </c>
    </row>
    <row r="16" spans="1:9" x14ac:dyDescent="0.35">
      <c r="A16" s="16">
        <v>1</v>
      </c>
      <c r="B16" s="1">
        <v>700</v>
      </c>
      <c r="C16" s="1">
        <v>5</v>
      </c>
      <c r="D16" s="1">
        <v>15</v>
      </c>
      <c r="E16" s="1">
        <v>20</v>
      </c>
      <c r="F16" s="1">
        <v>11.892776680287637</v>
      </c>
      <c r="G16" s="1">
        <f>C16*B16/F16</f>
        <v>294.29628539155834</v>
      </c>
      <c r="H16" s="1">
        <f>D16*F16</f>
        <v>178.39165020431457</v>
      </c>
      <c r="I16" s="19">
        <f>E16*F16</f>
        <v>237.85553360575275</v>
      </c>
    </row>
    <row r="17" spans="1:9" x14ac:dyDescent="0.35">
      <c r="A17" s="16">
        <v>2</v>
      </c>
      <c r="B17" s="1">
        <v>200</v>
      </c>
      <c r="C17" s="1">
        <v>5</v>
      </c>
      <c r="D17" s="1">
        <v>4</v>
      </c>
      <c r="E17" s="1">
        <v>5</v>
      </c>
      <c r="F17" s="1">
        <v>12.584998965746305</v>
      </c>
      <c r="G17" s="1">
        <f t="shared" ref="G17:G20" si="4">C17*B17/F17</f>
        <v>79.459680745448424</v>
      </c>
      <c r="H17" s="1">
        <f t="shared" ref="H17:H20" si="5">D17*F17</f>
        <v>50.339995862985219</v>
      </c>
      <c r="I17" s="19">
        <f t="shared" ref="I17:I20" si="6">E17*F17</f>
        <v>62.924994828731528</v>
      </c>
    </row>
    <row r="18" spans="1:9" x14ac:dyDescent="0.35">
      <c r="A18" s="16">
        <v>3</v>
      </c>
      <c r="B18" s="1">
        <v>500</v>
      </c>
      <c r="C18" s="1">
        <v>20</v>
      </c>
      <c r="D18" s="1">
        <v>10</v>
      </c>
      <c r="E18" s="1">
        <v>2</v>
      </c>
      <c r="F18" s="1">
        <v>38.561717668296204</v>
      </c>
      <c r="G18" s="1">
        <f t="shared" si="4"/>
        <v>259.32454788500183</v>
      </c>
      <c r="H18" s="1">
        <f t="shared" si="5"/>
        <v>385.61717668296205</v>
      </c>
      <c r="I18" s="19">
        <f t="shared" si="6"/>
        <v>77.123435336592408</v>
      </c>
    </row>
    <row r="19" spans="1:9" x14ac:dyDescent="0.35">
      <c r="A19" s="16">
        <v>4</v>
      </c>
      <c r="B19" s="1">
        <v>150</v>
      </c>
      <c r="C19" s="1">
        <v>3</v>
      </c>
      <c r="D19" s="1">
        <v>2</v>
      </c>
      <c r="E19" s="1">
        <v>8</v>
      </c>
      <c r="F19" s="1">
        <v>7.5499260958924737</v>
      </c>
      <c r="G19" s="1">
        <f t="shared" si="4"/>
        <v>59.603232440225057</v>
      </c>
      <c r="H19" s="1">
        <f>D19*F19</f>
        <v>15.099852191784947</v>
      </c>
      <c r="I19" s="19">
        <f t="shared" si="6"/>
        <v>60.399408767139789</v>
      </c>
    </row>
    <row r="20" spans="1:9" x14ac:dyDescent="0.35">
      <c r="A20" s="16">
        <v>5</v>
      </c>
      <c r="B20" s="1">
        <v>800</v>
      </c>
      <c r="C20" s="1">
        <v>4</v>
      </c>
      <c r="D20" s="1">
        <v>20</v>
      </c>
      <c r="E20" s="1">
        <v>4</v>
      </c>
      <c r="F20" s="1">
        <v>15.424156865445882</v>
      </c>
      <c r="G20" s="1">
        <f t="shared" si="4"/>
        <v>207.46676968572794</v>
      </c>
      <c r="H20" s="1">
        <f t="shared" si="5"/>
        <v>308.48313730891766</v>
      </c>
      <c r="I20" s="19">
        <f t="shared" si="6"/>
        <v>61.696627461783528</v>
      </c>
    </row>
    <row r="21" spans="1:9" x14ac:dyDescent="0.35">
      <c r="A21" s="14"/>
      <c r="B21" s="3"/>
      <c r="C21" s="3"/>
      <c r="D21" s="3"/>
      <c r="E21" s="3"/>
      <c r="F21" s="3"/>
      <c r="G21" s="2">
        <f>SUM(G16:G20)</f>
        <v>900.15051614796164</v>
      </c>
      <c r="H21" s="2">
        <f>SUM(H16:H20)</f>
        <v>937.93181225096453</v>
      </c>
      <c r="I21" s="19">
        <f>SUM(I16:I20)</f>
        <v>500</v>
      </c>
    </row>
    <row r="22" spans="1:9" x14ac:dyDescent="0.35">
      <c r="A22" s="14"/>
      <c r="B22" s="3"/>
      <c r="C22" s="3"/>
      <c r="D22" s="3"/>
      <c r="E22" s="3"/>
      <c r="F22" s="3"/>
      <c r="G22" s="3"/>
      <c r="H22" s="3"/>
      <c r="I22" s="12"/>
    </row>
    <row r="23" spans="1:9" x14ac:dyDescent="0.35">
      <c r="A23" s="16" t="s">
        <v>36</v>
      </c>
      <c r="B23" s="1">
        <v>500</v>
      </c>
      <c r="C23" s="3"/>
      <c r="D23" s="3"/>
      <c r="E23" s="3"/>
      <c r="F23" s="3"/>
      <c r="G23" s="3"/>
      <c r="H23" s="3"/>
      <c r="I23" s="12"/>
    </row>
    <row r="24" spans="1:9" ht="15" thickBot="1" x14ac:dyDescent="0.4">
      <c r="A24" s="20" t="s">
        <v>37</v>
      </c>
      <c r="B24" s="21">
        <f>G21+1/2*H21</f>
        <v>1369.116422273444</v>
      </c>
      <c r="C24" s="22"/>
      <c r="D24" s="22"/>
      <c r="E24" s="22"/>
      <c r="F24" s="22"/>
      <c r="G24" s="22"/>
      <c r="H24" s="22"/>
      <c r="I24" s="23"/>
    </row>
  </sheetData>
  <mergeCells count="2">
    <mergeCell ref="A1:I1"/>
    <mergeCell ref="A14:I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2015-06-05T18:19:34Z</dcterms:created>
  <dcterms:modified xsi:type="dcterms:W3CDTF">2025-11-21T00:10:14Z</dcterms:modified>
</cp:coreProperties>
</file>